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nce Department\FINANCE\08 FINANCE PYR\Salaires\Sal.2025\04\"/>
    </mc:Choice>
  </mc:AlternateContent>
  <xr:revisionPtr revIDLastSave="0" documentId="13_ncr:1_{9726DE91-0BB8-4045-9741-6DD8F39588EA}" xr6:coauthVersionLast="47" xr6:coauthVersionMax="47" xr10:uidLastSave="{00000000-0000-0000-0000-000000000000}"/>
  <bookViews>
    <workbookView xWindow="-120" yWindow="-120" windowWidth="29040" windowHeight="15840" activeTab="1" xr2:uid="{35461A71-29C0-4D32-A0A2-F2A0C723A1A0}"/>
  </bookViews>
  <sheets>
    <sheet name="VAC+13th (2)" sheetId="1" r:id="rId1"/>
    <sheet name="JV VAC+13th" sheetId="2" r:id="rId2"/>
  </sheets>
  <externalReferences>
    <externalReference r:id="rId3"/>
  </externalReferences>
  <definedNames>
    <definedName name="_xlnm._FilterDatabase" localSheetId="1" hidden="1">'JV VAC+13th'!$A$3:$M$67</definedName>
    <definedName name="_xlnm._FilterDatabase" localSheetId="0" hidden="1">'VAC+13th (2)'!$A$7:$CP$250</definedName>
    <definedName name="BG" localSheetId="1">#REF!</definedName>
    <definedName name="BG">#REF!</definedName>
    <definedName name="csDesignMode">1</definedName>
    <definedName name="DATA" localSheetId="1">#REF!</definedName>
    <definedName name="DATA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">'JV VAC+13th'!$A$1:$M$67</definedName>
    <definedName name="_xlnm.Print_Area" localSheetId="0">'VAC+13th (2)'!$A$1:$CK$286</definedName>
    <definedName name="_xlnm.Print_Titles" localSheetId="0">'VAC+13th (2)'!$7:$7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7" i="2" l="1"/>
  <c r="A66" i="2"/>
  <c r="A65" i="2"/>
  <c r="A64" i="2"/>
  <c r="A63" i="2"/>
  <c r="G62" i="2"/>
  <c r="A62" i="2"/>
  <c r="G61" i="2"/>
  <c r="A61" i="2"/>
  <c r="G60" i="2"/>
  <c r="A60" i="2"/>
  <c r="G59" i="2"/>
  <c r="A59" i="2"/>
  <c r="G58" i="2"/>
  <c r="A58" i="2"/>
  <c r="G57" i="2"/>
  <c r="A57" i="2"/>
  <c r="G56" i="2"/>
  <c r="A56" i="2"/>
  <c r="G55" i="2"/>
  <c r="A55" i="2"/>
  <c r="G54" i="2"/>
  <c r="A54" i="2"/>
  <c r="G53" i="2"/>
  <c r="A53" i="2"/>
  <c r="G52" i="2"/>
  <c r="A52" i="2"/>
  <c r="G51" i="2"/>
  <c r="A51" i="2"/>
  <c r="G50" i="2"/>
  <c r="A50" i="2"/>
  <c r="G49" i="2"/>
  <c r="A49" i="2"/>
  <c r="G48" i="2"/>
  <c r="A48" i="2"/>
  <c r="G47" i="2"/>
  <c r="A47" i="2"/>
  <c r="G46" i="2"/>
  <c r="A46" i="2"/>
  <c r="G45" i="2"/>
  <c r="A45" i="2"/>
  <c r="G44" i="2"/>
  <c r="A44" i="2"/>
  <c r="G43" i="2"/>
  <c r="A43" i="2"/>
  <c r="G42" i="2"/>
  <c r="A42" i="2"/>
  <c r="G41" i="2"/>
  <c r="A41" i="2"/>
  <c r="G40" i="2"/>
  <c r="A40" i="2"/>
  <c r="G39" i="2"/>
  <c r="A39" i="2"/>
  <c r="G38" i="2"/>
  <c r="A38" i="2"/>
  <c r="G37" i="2"/>
  <c r="A37" i="2"/>
  <c r="G36" i="2"/>
  <c r="F36" i="2"/>
  <c r="F37" i="2" s="1"/>
  <c r="B36" i="2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F4" i="2"/>
  <c r="BI277" i="1"/>
  <c r="BI279" i="1" s="1"/>
  <c r="BI276" i="1"/>
  <c r="BI275" i="1"/>
  <c r="BI274" i="1"/>
  <c r="AU273" i="1"/>
  <c r="AU274" i="1" s="1"/>
  <c r="AU272" i="1"/>
  <c r="CO269" i="1"/>
  <c r="CO271" i="1" s="1"/>
  <c r="AU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Q269" i="1"/>
  <c r="E269" i="1"/>
  <c r="CM264" i="1"/>
  <c r="CK264" i="1"/>
  <c r="BU264" i="1"/>
  <c r="BT264" i="1"/>
  <c r="BS264" i="1"/>
  <c r="BR264" i="1"/>
  <c r="BQ264" i="1"/>
  <c r="BP264" i="1"/>
  <c r="BO264" i="1"/>
  <c r="BN264" i="1"/>
  <c r="BM264" i="1"/>
  <c r="BL264" i="1"/>
  <c r="BI264" i="1" s="1"/>
  <c r="BK264" i="1"/>
  <c r="BJ264" i="1"/>
  <c r="AF264" i="1"/>
  <c r="W264" i="1"/>
  <c r="BA264" i="1" s="1"/>
  <c r="V264" i="1"/>
  <c r="AZ264" i="1" s="1"/>
  <c r="P264" i="1"/>
  <c r="Y264" i="1" s="1"/>
  <c r="BC264" i="1" s="1"/>
  <c r="H264" i="1"/>
  <c r="CM263" i="1"/>
  <c r="CF263" i="1"/>
  <c r="CD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AF263" i="1"/>
  <c r="Z263" i="1"/>
  <c r="BD263" i="1" s="1"/>
  <c r="P263" i="1"/>
  <c r="H263" i="1"/>
  <c r="J263" i="1" s="1"/>
  <c r="CM262" i="1"/>
  <c r="CG262" i="1"/>
  <c r="CF262" i="1"/>
  <c r="CB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AF262" i="1"/>
  <c r="AA262" i="1"/>
  <c r="BE262" i="1" s="1"/>
  <c r="Y262" i="1"/>
  <c r="BC262" i="1" s="1"/>
  <c r="P262" i="1"/>
  <c r="H262" i="1"/>
  <c r="J262" i="1" s="1"/>
  <c r="CA262" i="1" s="1"/>
  <c r="CM261" i="1"/>
  <c r="CH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 s="1"/>
  <c r="AF261" i="1"/>
  <c r="AC261" i="1"/>
  <c r="BG261" i="1" s="1"/>
  <c r="AB261" i="1"/>
  <c r="BF261" i="1" s="1"/>
  <c r="Y261" i="1"/>
  <c r="BC261" i="1" s="1"/>
  <c r="U261" i="1"/>
  <c r="AY261" i="1" s="1"/>
  <c r="S261" i="1"/>
  <c r="P261" i="1"/>
  <c r="W261" i="1" s="1"/>
  <c r="BA261" i="1" s="1"/>
  <c r="J261" i="1"/>
  <c r="CD261" i="1" s="1"/>
  <c r="H261" i="1"/>
  <c r="CM260" i="1"/>
  <c r="CI260" i="1"/>
  <c r="CH260" i="1"/>
  <c r="CF260" i="1"/>
  <c r="CC260" i="1"/>
  <c r="CB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AF260" i="1"/>
  <c r="AC260" i="1"/>
  <c r="BG260" i="1" s="1"/>
  <c r="AA260" i="1"/>
  <c r="BE260" i="1" s="1"/>
  <c r="W260" i="1"/>
  <c r="BA260" i="1" s="1"/>
  <c r="U260" i="1"/>
  <c r="AY260" i="1" s="1"/>
  <c r="T260" i="1"/>
  <c r="AX260" i="1" s="1"/>
  <c r="S260" i="1"/>
  <c r="P260" i="1"/>
  <c r="Y260" i="1" s="1"/>
  <c r="BC260" i="1" s="1"/>
  <c r="H260" i="1"/>
  <c r="J260" i="1" s="1"/>
  <c r="CM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AF259" i="1"/>
  <c r="P259" i="1"/>
  <c r="H259" i="1"/>
  <c r="CM258" i="1"/>
  <c r="CE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 s="1"/>
  <c r="AF258" i="1"/>
  <c r="AA258" i="1"/>
  <c r="BE258" i="1" s="1"/>
  <c r="Y258" i="1"/>
  <c r="BC258" i="1" s="1"/>
  <c r="P258" i="1"/>
  <c r="J258" i="1"/>
  <c r="H258" i="1"/>
  <c r="CM257" i="1"/>
  <c r="CI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AF257" i="1"/>
  <c r="W257" i="1"/>
  <c r="BA257" i="1" s="1"/>
  <c r="P257" i="1"/>
  <c r="AD257" i="1" s="1"/>
  <c r="BH257" i="1" s="1"/>
  <c r="H257" i="1"/>
  <c r="J257" i="1" s="1"/>
  <c r="CM256" i="1"/>
  <c r="CE256" i="1"/>
  <c r="CD256" i="1"/>
  <c r="BY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AF256" i="1"/>
  <c r="P256" i="1"/>
  <c r="H256" i="1"/>
  <c r="J256" i="1" s="1"/>
  <c r="CN254" i="1"/>
  <c r="CN269" i="1" s="1"/>
  <c r="CL254" i="1"/>
  <c r="AS254" i="1"/>
  <c r="AS253" i="1"/>
  <c r="AS251" i="1"/>
  <c r="CM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V250" i="1" s="1"/>
  <c r="BH250" i="1"/>
  <c r="BB250" i="1"/>
  <c r="AX250" i="1"/>
  <c r="AW250" i="1"/>
  <c r="AF250" i="1"/>
  <c r="AD250" i="1"/>
  <c r="AA250" i="1"/>
  <c r="BE250" i="1" s="1"/>
  <c r="Z250" i="1"/>
  <c r="BD250" i="1" s="1"/>
  <c r="X250" i="1"/>
  <c r="U250" i="1"/>
  <c r="P250" i="1"/>
  <c r="Y250" i="1" s="1"/>
  <c r="BC250" i="1" s="1"/>
  <c r="J250" i="1"/>
  <c r="I250" i="1"/>
  <c r="H250" i="1"/>
  <c r="CM249" i="1"/>
  <c r="BU249" i="1"/>
  <c r="BT249" i="1"/>
  <c r="BS249" i="1"/>
  <c r="BR249" i="1"/>
  <c r="BQ249" i="1"/>
  <c r="BP249" i="1"/>
  <c r="BO249" i="1"/>
  <c r="BN249" i="1"/>
  <c r="BM249" i="1"/>
  <c r="BL249" i="1"/>
  <c r="BK249" i="1"/>
  <c r="BI249" i="1" s="1"/>
  <c r="BV249" i="1" s="1"/>
  <c r="BJ249" i="1"/>
  <c r="BF249" i="1"/>
  <c r="BE249" i="1"/>
  <c r="AX249" i="1"/>
  <c r="AW249" i="1"/>
  <c r="AF249" i="1"/>
  <c r="AD249" i="1"/>
  <c r="BH249" i="1" s="1"/>
  <c r="AC249" i="1"/>
  <c r="BG249" i="1" s="1"/>
  <c r="AA249" i="1"/>
  <c r="Z249" i="1"/>
  <c r="BD249" i="1" s="1"/>
  <c r="X249" i="1"/>
  <c r="BB249" i="1" s="1"/>
  <c r="W249" i="1"/>
  <c r="BA249" i="1" s="1"/>
  <c r="U249" i="1"/>
  <c r="P249" i="1"/>
  <c r="Y249" i="1" s="1"/>
  <c r="BC249" i="1" s="1"/>
  <c r="I249" i="1"/>
  <c r="J249" i="1" s="1"/>
  <c r="H249" i="1"/>
  <c r="AB249" i="1" s="1"/>
  <c r="CM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 s="1"/>
  <c r="AX248" i="1"/>
  <c r="AF248" i="1"/>
  <c r="AA248" i="1"/>
  <c r="BE248" i="1" s="1"/>
  <c r="P248" i="1"/>
  <c r="I248" i="1"/>
  <c r="H248" i="1"/>
  <c r="X248" i="1" s="1"/>
  <c r="BB248" i="1" s="1"/>
  <c r="D248" i="1"/>
  <c r="CM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D247" i="1"/>
  <c r="AF247" i="1"/>
  <c r="Z247" i="1"/>
  <c r="P247" i="1"/>
  <c r="J247" i="1"/>
  <c r="I247" i="1"/>
  <c r="H247" i="1"/>
  <c r="Y247" i="1" s="1"/>
  <c r="BC247" i="1" s="1"/>
  <c r="D247" i="1"/>
  <c r="CM246" i="1"/>
  <c r="CK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 s="1"/>
  <c r="AF246" i="1"/>
  <c r="AA246" i="1"/>
  <c r="BE246" i="1" s="1"/>
  <c r="W246" i="1"/>
  <c r="BA246" i="1" s="1"/>
  <c r="P246" i="1"/>
  <c r="I246" i="1"/>
  <c r="J246" i="1" s="1"/>
  <c r="H246" i="1"/>
  <c r="U246" i="1" s="1"/>
  <c r="AY246" i="1" s="1"/>
  <c r="D246" i="1"/>
  <c r="CM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 s="1"/>
  <c r="AF245" i="1"/>
  <c r="Y245" i="1"/>
  <c r="BC245" i="1" s="1"/>
  <c r="P245" i="1"/>
  <c r="J245" i="1"/>
  <c r="I245" i="1"/>
  <c r="H245" i="1"/>
  <c r="D245" i="1"/>
  <c r="CM244" i="1"/>
  <c r="CK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AF244" i="1"/>
  <c r="Z244" i="1"/>
  <c r="BD244" i="1" s="1"/>
  <c r="Y244" i="1"/>
  <c r="BC244" i="1" s="1"/>
  <c r="X244" i="1"/>
  <c r="BB244" i="1" s="1"/>
  <c r="P244" i="1"/>
  <c r="AC244" i="1" s="1"/>
  <c r="BG244" i="1" s="1"/>
  <c r="I244" i="1"/>
  <c r="J244" i="1" s="1"/>
  <c r="H244" i="1"/>
  <c r="U244" i="1" s="1"/>
  <c r="AY244" i="1" s="1"/>
  <c r="D244" i="1"/>
  <c r="CM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 s="1"/>
  <c r="AF243" i="1"/>
  <c r="X243" i="1"/>
  <c r="BB243" i="1" s="1"/>
  <c r="P243" i="1"/>
  <c r="J243" i="1"/>
  <c r="I243" i="1"/>
  <c r="H243" i="1"/>
  <c r="D243" i="1"/>
  <c r="CM242" i="1"/>
  <c r="CK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AY242" i="1"/>
  <c r="AF242" i="1"/>
  <c r="Z242" i="1"/>
  <c r="BD242" i="1" s="1"/>
  <c r="Y242" i="1"/>
  <c r="BC242" i="1" s="1"/>
  <c r="X242" i="1"/>
  <c r="BB242" i="1" s="1"/>
  <c r="U242" i="1"/>
  <c r="S242" i="1"/>
  <c r="AW242" i="1" s="1"/>
  <c r="P242" i="1"/>
  <c r="AC242" i="1" s="1"/>
  <c r="BG242" i="1" s="1"/>
  <c r="J242" i="1"/>
  <c r="I242" i="1"/>
  <c r="H242" i="1"/>
  <c r="AA242" i="1" s="1"/>
  <c r="BE242" i="1" s="1"/>
  <c r="D242" i="1"/>
  <c r="CM241" i="1"/>
  <c r="CK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 s="1"/>
  <c r="BC241" i="1"/>
  <c r="AF241" i="1"/>
  <c r="Y241" i="1"/>
  <c r="P241" i="1"/>
  <c r="AD241" i="1" s="1"/>
  <c r="BH241" i="1" s="1"/>
  <c r="J241" i="1"/>
  <c r="I241" i="1"/>
  <c r="H241" i="1"/>
  <c r="D241" i="1"/>
  <c r="CM240" i="1"/>
  <c r="CK240" i="1"/>
  <c r="BU240" i="1"/>
  <c r="BT240" i="1"/>
  <c r="BS240" i="1"/>
  <c r="BR240" i="1"/>
  <c r="BQ240" i="1"/>
  <c r="BP240" i="1"/>
  <c r="BO240" i="1"/>
  <c r="BN240" i="1"/>
  <c r="BM240" i="1"/>
  <c r="BL240" i="1"/>
  <c r="BK240" i="1"/>
  <c r="BI240" i="1" s="1"/>
  <c r="BJ240" i="1"/>
  <c r="AF240" i="1"/>
  <c r="AA240" i="1"/>
  <c r="BE240" i="1" s="1"/>
  <c r="T240" i="1"/>
  <c r="AX240" i="1" s="1"/>
  <c r="P240" i="1"/>
  <c r="I240" i="1"/>
  <c r="J240" i="1" s="1"/>
  <c r="H240" i="1"/>
  <c r="D240" i="1"/>
  <c r="CM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H239" i="1"/>
  <c r="AF239" i="1"/>
  <c r="Z239" i="1"/>
  <c r="BD239" i="1" s="1"/>
  <c r="Y239" i="1"/>
  <c r="BC239" i="1" s="1"/>
  <c r="P239" i="1"/>
  <c r="AC239" i="1" s="1"/>
  <c r="BG239" i="1" s="1"/>
  <c r="I239" i="1"/>
  <c r="J239" i="1" s="1"/>
  <c r="H239" i="1"/>
  <c r="AD239" i="1" s="1"/>
  <c r="D239" i="1"/>
  <c r="CM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AF238" i="1"/>
  <c r="W238" i="1"/>
  <c r="BA238" i="1" s="1"/>
  <c r="V238" i="1"/>
  <c r="AZ238" i="1" s="1"/>
  <c r="P238" i="1"/>
  <c r="AB238" i="1" s="1"/>
  <c r="BF238" i="1" s="1"/>
  <c r="J238" i="1"/>
  <c r="I238" i="1"/>
  <c r="H238" i="1"/>
  <c r="D238" i="1"/>
  <c r="CM237" i="1"/>
  <c r="CK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G237" i="1"/>
  <c r="AF237" i="1"/>
  <c r="AD237" i="1"/>
  <c r="BH237" i="1" s="1"/>
  <c r="Z237" i="1"/>
  <c r="BD237" i="1" s="1"/>
  <c r="Y237" i="1"/>
  <c r="BC237" i="1" s="1"/>
  <c r="T237" i="1"/>
  <c r="AX237" i="1" s="1"/>
  <c r="S237" i="1"/>
  <c r="P237" i="1"/>
  <c r="AC237" i="1" s="1"/>
  <c r="I237" i="1"/>
  <c r="J237" i="1" s="1"/>
  <c r="H237" i="1"/>
  <c r="D237" i="1"/>
  <c r="CM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AF236" i="1"/>
  <c r="AC236" i="1"/>
  <c r="BG236" i="1" s="1"/>
  <c r="P236" i="1"/>
  <c r="J236" i="1"/>
  <c r="I236" i="1"/>
  <c r="H236" i="1"/>
  <c r="D236" i="1"/>
  <c r="CM235" i="1"/>
  <c r="CK235" i="1"/>
  <c r="BU235" i="1"/>
  <c r="BT235" i="1"/>
  <c r="BS235" i="1"/>
  <c r="BR235" i="1"/>
  <c r="BQ235" i="1"/>
  <c r="BP235" i="1"/>
  <c r="BO235" i="1"/>
  <c r="BN235" i="1"/>
  <c r="BM235" i="1"/>
  <c r="BL235" i="1"/>
  <c r="BK235" i="1"/>
  <c r="BI235" i="1" s="1"/>
  <c r="BJ235" i="1"/>
  <c r="AF235" i="1"/>
  <c r="Z235" i="1"/>
  <c r="BD235" i="1" s="1"/>
  <c r="Y235" i="1"/>
  <c r="BC235" i="1" s="1"/>
  <c r="T235" i="1"/>
  <c r="AX235" i="1" s="1"/>
  <c r="P235" i="1"/>
  <c r="AC235" i="1" s="1"/>
  <c r="BG235" i="1" s="1"/>
  <c r="I235" i="1"/>
  <c r="J235" i="1" s="1"/>
  <c r="H235" i="1"/>
  <c r="S235" i="1" s="1"/>
  <c r="D235" i="1"/>
  <c r="CM234" i="1"/>
  <c r="BU234" i="1"/>
  <c r="BT234" i="1"/>
  <c r="BS234" i="1"/>
  <c r="BR234" i="1"/>
  <c r="BQ234" i="1"/>
  <c r="BP234" i="1"/>
  <c r="BO234" i="1"/>
  <c r="BN234" i="1"/>
  <c r="BI234" i="1" s="1"/>
  <c r="BM234" i="1"/>
  <c r="BL234" i="1"/>
  <c r="BK234" i="1"/>
  <c r="BJ234" i="1"/>
  <c r="AF234" i="1"/>
  <c r="W234" i="1"/>
  <c r="BA234" i="1" s="1"/>
  <c r="V234" i="1"/>
  <c r="AZ234" i="1" s="1"/>
  <c r="P234" i="1"/>
  <c r="AB234" i="1" s="1"/>
  <c r="BF234" i="1" s="1"/>
  <c r="J234" i="1"/>
  <c r="I234" i="1"/>
  <c r="H234" i="1"/>
  <c r="D234" i="1"/>
  <c r="CM233" i="1"/>
  <c r="CK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G233" i="1"/>
  <c r="AF233" i="1"/>
  <c r="AD233" i="1"/>
  <c r="BH233" i="1" s="1"/>
  <c r="Z233" i="1"/>
  <c r="BD233" i="1" s="1"/>
  <c r="Y233" i="1"/>
  <c r="BC233" i="1" s="1"/>
  <c r="T233" i="1"/>
  <c r="AX233" i="1" s="1"/>
  <c r="S233" i="1"/>
  <c r="P233" i="1"/>
  <c r="AC233" i="1" s="1"/>
  <c r="I233" i="1"/>
  <c r="J233" i="1" s="1"/>
  <c r="H233" i="1"/>
  <c r="D233" i="1"/>
  <c r="CM232" i="1"/>
  <c r="BU232" i="1"/>
  <c r="BT232" i="1"/>
  <c r="BS232" i="1"/>
  <c r="BR232" i="1"/>
  <c r="BQ232" i="1"/>
  <c r="BP232" i="1"/>
  <c r="BO232" i="1"/>
  <c r="BN232" i="1"/>
  <c r="BI232" i="1" s="1"/>
  <c r="BM232" i="1"/>
  <c r="BL232" i="1"/>
  <c r="BK232" i="1"/>
  <c r="BJ232" i="1"/>
  <c r="AF232" i="1"/>
  <c r="AC232" i="1"/>
  <c r="BG232" i="1" s="1"/>
  <c r="AB232" i="1"/>
  <c r="BF232" i="1" s="1"/>
  <c r="X232" i="1"/>
  <c r="BB232" i="1" s="1"/>
  <c r="U232" i="1"/>
  <c r="AY232" i="1" s="1"/>
  <c r="P232" i="1"/>
  <c r="W232" i="1" s="1"/>
  <c r="BA232" i="1" s="1"/>
  <c r="J232" i="1"/>
  <c r="I232" i="1"/>
  <c r="H232" i="1"/>
  <c r="D232" i="1"/>
  <c r="CM231" i="1"/>
  <c r="CK231" i="1"/>
  <c r="BU231" i="1"/>
  <c r="BT231" i="1"/>
  <c r="BS231" i="1"/>
  <c r="BR231" i="1"/>
  <c r="BQ231" i="1"/>
  <c r="BP231" i="1"/>
  <c r="BO231" i="1"/>
  <c r="BN231" i="1"/>
  <c r="BM231" i="1"/>
  <c r="BL231" i="1"/>
  <c r="BK231" i="1"/>
  <c r="BI231" i="1" s="1"/>
  <c r="BJ231" i="1"/>
  <c r="AF231" i="1"/>
  <c r="AA231" i="1"/>
  <c r="BE231" i="1" s="1"/>
  <c r="P231" i="1"/>
  <c r="I231" i="1"/>
  <c r="H231" i="1"/>
  <c r="AB231" i="1" s="1"/>
  <c r="BF231" i="1" s="1"/>
  <c r="D231" i="1"/>
  <c r="CM230" i="1"/>
  <c r="CK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F230" i="1"/>
  <c r="BC230" i="1"/>
  <c r="AZ230" i="1"/>
  <c r="AY230" i="1"/>
  <c r="AF230" i="1"/>
  <c r="AD230" i="1"/>
  <c r="BH230" i="1" s="1"/>
  <c r="AC230" i="1"/>
  <c r="BG230" i="1" s="1"/>
  <c r="AB230" i="1"/>
  <c r="AA230" i="1"/>
  <c r="BE230" i="1" s="1"/>
  <c r="Y230" i="1"/>
  <c r="W230" i="1"/>
  <c r="BA230" i="1" s="1"/>
  <c r="V230" i="1"/>
  <c r="U230" i="1"/>
  <c r="S230" i="1"/>
  <c r="AW230" i="1" s="1"/>
  <c r="P230" i="1"/>
  <c r="I230" i="1"/>
  <c r="J230" i="1" s="1"/>
  <c r="H230" i="1"/>
  <c r="D230" i="1"/>
  <c r="CM229" i="1"/>
  <c r="CK229" i="1"/>
  <c r="BU229" i="1"/>
  <c r="BT229" i="1"/>
  <c r="BS229" i="1"/>
  <c r="BR229" i="1"/>
  <c r="BQ229" i="1"/>
  <c r="BP229" i="1"/>
  <c r="BO229" i="1"/>
  <c r="BN229" i="1"/>
  <c r="BM229" i="1"/>
  <c r="BL229" i="1"/>
  <c r="BK229" i="1"/>
  <c r="BI229" i="1" s="1"/>
  <c r="BJ229" i="1"/>
  <c r="AF229" i="1"/>
  <c r="P229" i="1"/>
  <c r="I229" i="1"/>
  <c r="H229" i="1"/>
  <c r="Y229" i="1" s="1"/>
  <c r="BC229" i="1" s="1"/>
  <c r="D229" i="1"/>
  <c r="CM228" i="1"/>
  <c r="CK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 s="1"/>
  <c r="BC228" i="1"/>
  <c r="AF228" i="1"/>
  <c r="AD228" i="1"/>
  <c r="BH228" i="1" s="1"/>
  <c r="AC228" i="1"/>
  <c r="BG228" i="1" s="1"/>
  <c r="AA228" i="1"/>
  <c r="BE228" i="1" s="1"/>
  <c r="Y228" i="1"/>
  <c r="W228" i="1"/>
  <c r="BA228" i="1" s="1"/>
  <c r="V228" i="1"/>
  <c r="AZ228" i="1" s="1"/>
  <c r="S228" i="1"/>
  <c r="AW228" i="1" s="1"/>
  <c r="P228" i="1"/>
  <c r="AB228" i="1" s="1"/>
  <c r="BF228" i="1" s="1"/>
  <c r="I228" i="1"/>
  <c r="J228" i="1" s="1"/>
  <c r="H228" i="1"/>
  <c r="D228" i="1"/>
  <c r="CM227" i="1"/>
  <c r="CK227" i="1"/>
  <c r="BU227" i="1"/>
  <c r="BT227" i="1"/>
  <c r="BS227" i="1"/>
  <c r="BR227" i="1"/>
  <c r="BQ227" i="1"/>
  <c r="BP227" i="1"/>
  <c r="BO227" i="1"/>
  <c r="BN227" i="1"/>
  <c r="BM227" i="1"/>
  <c r="BL227" i="1"/>
  <c r="BK227" i="1"/>
  <c r="BI227" i="1" s="1"/>
  <c r="BJ227" i="1"/>
  <c r="AF227" i="1"/>
  <c r="AB227" i="1"/>
  <c r="BF227" i="1" s="1"/>
  <c r="X227" i="1"/>
  <c r="BB227" i="1" s="1"/>
  <c r="U227" i="1"/>
  <c r="AY227" i="1" s="1"/>
  <c r="T227" i="1"/>
  <c r="AX227" i="1" s="1"/>
  <c r="P227" i="1"/>
  <c r="AC227" i="1" s="1"/>
  <c r="BG227" i="1" s="1"/>
  <c r="I227" i="1"/>
  <c r="J227" i="1" s="1"/>
  <c r="H227" i="1"/>
  <c r="D227" i="1"/>
  <c r="CM226" i="1"/>
  <c r="CK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 s="1"/>
  <c r="BH226" i="1"/>
  <c r="BF226" i="1"/>
  <c r="AZ226" i="1"/>
  <c r="AY226" i="1"/>
  <c r="AF226" i="1"/>
  <c r="AD226" i="1"/>
  <c r="AC226" i="1"/>
  <c r="BG226" i="1" s="1"/>
  <c r="AB226" i="1"/>
  <c r="AA226" i="1"/>
  <c r="BE226" i="1" s="1"/>
  <c r="Y226" i="1"/>
  <c r="BC226" i="1" s="1"/>
  <c r="W226" i="1"/>
  <c r="BA226" i="1" s="1"/>
  <c r="V226" i="1"/>
  <c r="U226" i="1"/>
  <c r="S226" i="1"/>
  <c r="AW226" i="1" s="1"/>
  <c r="P226" i="1"/>
  <c r="J226" i="1"/>
  <c r="I226" i="1"/>
  <c r="H226" i="1"/>
  <c r="D226" i="1"/>
  <c r="CM225" i="1"/>
  <c r="CK225" i="1"/>
  <c r="BU225" i="1"/>
  <c r="BT225" i="1"/>
  <c r="BS225" i="1"/>
  <c r="BR225" i="1"/>
  <c r="BQ225" i="1"/>
  <c r="BP225" i="1"/>
  <c r="BO225" i="1"/>
  <c r="BN225" i="1"/>
  <c r="BM225" i="1"/>
  <c r="BL225" i="1"/>
  <c r="BK225" i="1"/>
  <c r="BI225" i="1" s="1"/>
  <c r="BJ225" i="1"/>
  <c r="AF225" i="1"/>
  <c r="AB225" i="1"/>
  <c r="BF225" i="1" s="1"/>
  <c r="AA225" i="1"/>
  <c r="BE225" i="1" s="1"/>
  <c r="Y225" i="1"/>
  <c r="BC225" i="1" s="1"/>
  <c r="U225" i="1"/>
  <c r="AY225" i="1" s="1"/>
  <c r="T225" i="1"/>
  <c r="AX225" i="1" s="1"/>
  <c r="P225" i="1"/>
  <c r="AC225" i="1" s="1"/>
  <c r="BG225" i="1" s="1"/>
  <c r="I225" i="1"/>
  <c r="J225" i="1" s="1"/>
  <c r="H225" i="1"/>
  <c r="D225" i="1"/>
  <c r="CM224" i="1"/>
  <c r="CK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C224" i="1"/>
  <c r="AZ224" i="1"/>
  <c r="AF224" i="1"/>
  <c r="AD224" i="1"/>
  <c r="BH224" i="1" s="1"/>
  <c r="AC224" i="1"/>
  <c r="BG224" i="1" s="1"/>
  <c r="AA224" i="1"/>
  <c r="BE224" i="1" s="1"/>
  <c r="Y224" i="1"/>
  <c r="W224" i="1"/>
  <c r="BA224" i="1" s="1"/>
  <c r="V224" i="1"/>
  <c r="S224" i="1"/>
  <c r="AW224" i="1" s="1"/>
  <c r="P224" i="1"/>
  <c r="AB224" i="1" s="1"/>
  <c r="BF224" i="1" s="1"/>
  <c r="I224" i="1"/>
  <c r="J224" i="1" s="1"/>
  <c r="H224" i="1"/>
  <c r="D224" i="1"/>
  <c r="CM223" i="1"/>
  <c r="CK223" i="1"/>
  <c r="BU223" i="1"/>
  <c r="BT223" i="1"/>
  <c r="BS223" i="1"/>
  <c r="BR223" i="1"/>
  <c r="BQ223" i="1"/>
  <c r="BP223" i="1"/>
  <c r="BO223" i="1"/>
  <c r="BN223" i="1"/>
  <c r="BM223" i="1"/>
  <c r="BL223" i="1"/>
  <c r="BK223" i="1"/>
  <c r="BI223" i="1" s="1"/>
  <c r="BJ223" i="1"/>
  <c r="BH223" i="1"/>
  <c r="BF223" i="1"/>
  <c r="BE223" i="1"/>
  <c r="AY223" i="1"/>
  <c r="AW223" i="1"/>
  <c r="AF223" i="1"/>
  <c r="AD223" i="1"/>
  <c r="AB223" i="1"/>
  <c r="AA223" i="1"/>
  <c r="Y223" i="1"/>
  <c r="BC223" i="1" s="1"/>
  <c r="X223" i="1"/>
  <c r="BB223" i="1" s="1"/>
  <c r="V223" i="1"/>
  <c r="AZ223" i="1" s="1"/>
  <c r="U223" i="1"/>
  <c r="S223" i="1"/>
  <c r="P223" i="1"/>
  <c r="AC223" i="1" s="1"/>
  <c r="BG223" i="1" s="1"/>
  <c r="J223" i="1"/>
  <c r="I223" i="1"/>
  <c r="H223" i="1"/>
  <c r="D223" i="1"/>
  <c r="CM222" i="1"/>
  <c r="CK222" i="1"/>
  <c r="BU222" i="1"/>
  <c r="BT222" i="1"/>
  <c r="BS222" i="1"/>
  <c r="BR222" i="1"/>
  <c r="BQ222" i="1"/>
  <c r="BP222" i="1"/>
  <c r="BO222" i="1"/>
  <c r="BN222" i="1"/>
  <c r="BM222" i="1"/>
  <c r="BL222" i="1"/>
  <c r="BK222" i="1"/>
  <c r="BI222" i="1" s="1"/>
  <c r="BJ222" i="1"/>
  <c r="BH222" i="1"/>
  <c r="BF222" i="1"/>
  <c r="BE222" i="1"/>
  <c r="AY222" i="1"/>
  <c r="AW222" i="1"/>
  <c r="AF222" i="1"/>
  <c r="AD222" i="1"/>
  <c r="AB222" i="1"/>
  <c r="AA222" i="1"/>
  <c r="Y222" i="1"/>
  <c r="BC222" i="1" s="1"/>
  <c r="X222" i="1"/>
  <c r="BB222" i="1" s="1"/>
  <c r="V222" i="1"/>
  <c r="AZ222" i="1" s="1"/>
  <c r="U222" i="1"/>
  <c r="S222" i="1"/>
  <c r="P222" i="1"/>
  <c r="AC222" i="1" s="1"/>
  <c r="BG222" i="1" s="1"/>
  <c r="J222" i="1"/>
  <c r="I222" i="1"/>
  <c r="H222" i="1"/>
  <c r="Z222" i="1" s="1"/>
  <c r="BD222" i="1" s="1"/>
  <c r="D222" i="1"/>
  <c r="CM221" i="1"/>
  <c r="CK221" i="1"/>
  <c r="BU221" i="1"/>
  <c r="BT221" i="1"/>
  <c r="BS221" i="1"/>
  <c r="BR221" i="1"/>
  <c r="BQ221" i="1"/>
  <c r="BP221" i="1"/>
  <c r="BO221" i="1"/>
  <c r="BN221" i="1"/>
  <c r="BM221" i="1"/>
  <c r="BL221" i="1"/>
  <c r="BI221" i="1" s="1"/>
  <c r="BK221" i="1"/>
  <c r="BJ221" i="1"/>
  <c r="BH221" i="1"/>
  <c r="BF221" i="1"/>
  <c r="BE221" i="1"/>
  <c r="AY221" i="1"/>
  <c r="AW221" i="1"/>
  <c r="AF221" i="1"/>
  <c r="AD221" i="1"/>
  <c r="AB221" i="1"/>
  <c r="AA221" i="1"/>
  <c r="Y221" i="1"/>
  <c r="BC221" i="1" s="1"/>
  <c r="X221" i="1"/>
  <c r="BB221" i="1" s="1"/>
  <c r="V221" i="1"/>
  <c r="AZ221" i="1" s="1"/>
  <c r="U221" i="1"/>
  <c r="S221" i="1"/>
  <c r="P221" i="1"/>
  <c r="AC221" i="1" s="1"/>
  <c r="BG221" i="1" s="1"/>
  <c r="J221" i="1"/>
  <c r="I221" i="1"/>
  <c r="H221" i="1"/>
  <c r="D221" i="1"/>
  <c r="CM220" i="1"/>
  <c r="CK220" i="1"/>
  <c r="BU220" i="1"/>
  <c r="BT220" i="1"/>
  <c r="BS220" i="1"/>
  <c r="BR220" i="1"/>
  <c r="BQ220" i="1"/>
  <c r="BP220" i="1"/>
  <c r="BO220" i="1"/>
  <c r="BN220" i="1"/>
  <c r="BM220" i="1"/>
  <c r="BL220" i="1"/>
  <c r="BI220" i="1" s="1"/>
  <c r="BK220" i="1"/>
  <c r="BJ220" i="1"/>
  <c r="BF220" i="1"/>
  <c r="BE220" i="1"/>
  <c r="AZ220" i="1"/>
  <c r="AW220" i="1"/>
  <c r="AF220" i="1"/>
  <c r="AB220" i="1"/>
  <c r="AA220" i="1"/>
  <c r="Y220" i="1"/>
  <c r="BC220" i="1" s="1"/>
  <c r="X220" i="1"/>
  <c r="BB220" i="1" s="1"/>
  <c r="V220" i="1"/>
  <c r="S220" i="1"/>
  <c r="P220" i="1"/>
  <c r="AC220" i="1" s="1"/>
  <c r="BG220" i="1" s="1"/>
  <c r="J220" i="1"/>
  <c r="I220" i="1"/>
  <c r="H220" i="1"/>
  <c r="D220" i="1"/>
  <c r="CM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 s="1"/>
  <c r="AF219" i="1"/>
  <c r="P219" i="1"/>
  <c r="J219" i="1"/>
  <c r="I219" i="1"/>
  <c r="H219" i="1"/>
  <c r="D219" i="1"/>
  <c r="CM218" i="1"/>
  <c r="CK218" i="1"/>
  <c r="BU218" i="1"/>
  <c r="BT218" i="1"/>
  <c r="BS218" i="1"/>
  <c r="BR218" i="1"/>
  <c r="BQ218" i="1"/>
  <c r="BP218" i="1"/>
  <c r="BO218" i="1"/>
  <c r="BN218" i="1"/>
  <c r="BM218" i="1"/>
  <c r="BL218" i="1"/>
  <c r="BK218" i="1"/>
  <c r="BI218" i="1" s="1"/>
  <c r="BJ218" i="1"/>
  <c r="AF218" i="1"/>
  <c r="Z218" i="1"/>
  <c r="BD218" i="1" s="1"/>
  <c r="T218" i="1"/>
  <c r="AX218" i="1" s="1"/>
  <c r="P218" i="1"/>
  <c r="I218" i="1"/>
  <c r="H218" i="1"/>
  <c r="D218" i="1"/>
  <c r="CM217" i="1"/>
  <c r="BU217" i="1"/>
  <c r="BT217" i="1"/>
  <c r="BS217" i="1"/>
  <c r="BR217" i="1"/>
  <c r="BQ217" i="1"/>
  <c r="BP217" i="1"/>
  <c r="BO217" i="1"/>
  <c r="BN217" i="1"/>
  <c r="BM217" i="1"/>
  <c r="BL217" i="1"/>
  <c r="BI217" i="1" s="1"/>
  <c r="BK217" i="1"/>
  <c r="BJ217" i="1"/>
  <c r="AY217" i="1"/>
  <c r="AF217" i="1"/>
  <c r="AD217" i="1"/>
  <c r="BH217" i="1" s="1"/>
  <c r="AC217" i="1"/>
  <c r="BG217" i="1" s="1"/>
  <c r="AB217" i="1"/>
  <c r="BF217" i="1" s="1"/>
  <c r="W217" i="1"/>
  <c r="BA217" i="1" s="1"/>
  <c r="V217" i="1"/>
  <c r="AZ217" i="1" s="1"/>
  <c r="U217" i="1"/>
  <c r="P217" i="1"/>
  <c r="I217" i="1"/>
  <c r="J217" i="1" s="1"/>
  <c r="H217" i="1"/>
  <c r="D217" i="1"/>
  <c r="CM216" i="1"/>
  <c r="CK216" i="1"/>
  <c r="BU216" i="1"/>
  <c r="BT216" i="1"/>
  <c r="BS216" i="1"/>
  <c r="BR216" i="1"/>
  <c r="BQ216" i="1"/>
  <c r="BP216" i="1"/>
  <c r="BO216" i="1"/>
  <c r="BN216" i="1"/>
  <c r="BM216" i="1"/>
  <c r="BI216" i="1" s="1"/>
  <c r="BL216" i="1"/>
  <c r="BK216" i="1"/>
  <c r="BJ216" i="1"/>
  <c r="BH216" i="1"/>
  <c r="AZ216" i="1"/>
  <c r="AF216" i="1"/>
  <c r="AD216" i="1"/>
  <c r="AB216" i="1"/>
  <c r="BF216" i="1" s="1"/>
  <c r="Z216" i="1"/>
  <c r="BD216" i="1" s="1"/>
  <c r="Y216" i="1"/>
  <c r="BC216" i="1" s="1"/>
  <c r="X216" i="1"/>
  <c r="BB216" i="1" s="1"/>
  <c r="V216" i="1"/>
  <c r="U216" i="1"/>
  <c r="AY216" i="1" s="1"/>
  <c r="S216" i="1"/>
  <c r="AW216" i="1" s="1"/>
  <c r="P216" i="1"/>
  <c r="AC216" i="1" s="1"/>
  <c r="BG216" i="1" s="1"/>
  <c r="J216" i="1"/>
  <c r="I216" i="1"/>
  <c r="H216" i="1"/>
  <c r="AA216" i="1" s="1"/>
  <c r="BE216" i="1" s="1"/>
  <c r="D216" i="1"/>
  <c r="CM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AF215" i="1"/>
  <c r="X215" i="1"/>
  <c r="BB215" i="1" s="1"/>
  <c r="P215" i="1"/>
  <c r="J215" i="1"/>
  <c r="I215" i="1"/>
  <c r="H215" i="1"/>
  <c r="D215" i="1"/>
  <c r="CM214" i="1"/>
  <c r="CK214" i="1"/>
  <c r="BU214" i="1"/>
  <c r="BT214" i="1"/>
  <c r="BS214" i="1"/>
  <c r="BR214" i="1"/>
  <c r="BQ214" i="1"/>
  <c r="BP214" i="1"/>
  <c r="BO214" i="1"/>
  <c r="BN214" i="1"/>
  <c r="BM214" i="1"/>
  <c r="BL214" i="1"/>
  <c r="BK214" i="1"/>
  <c r="BI214" i="1" s="1"/>
  <c r="BJ214" i="1"/>
  <c r="AF214" i="1"/>
  <c r="U214" i="1"/>
  <c r="AY214" i="1" s="1"/>
  <c r="T214" i="1"/>
  <c r="AX214" i="1" s="1"/>
  <c r="P214" i="1"/>
  <c r="I214" i="1"/>
  <c r="H214" i="1"/>
  <c r="D214" i="1"/>
  <c r="CM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F213" i="1"/>
  <c r="AY213" i="1"/>
  <c r="AF213" i="1"/>
  <c r="AD213" i="1"/>
  <c r="BH213" i="1" s="1"/>
  <c r="AC213" i="1"/>
  <c r="BG213" i="1" s="1"/>
  <c r="AB213" i="1"/>
  <c r="W213" i="1"/>
  <c r="BA213" i="1" s="1"/>
  <c r="V213" i="1"/>
  <c r="AZ213" i="1" s="1"/>
  <c r="U213" i="1"/>
  <c r="P213" i="1"/>
  <c r="I213" i="1"/>
  <c r="J213" i="1" s="1"/>
  <c r="H213" i="1"/>
  <c r="D213" i="1"/>
  <c r="CM212" i="1"/>
  <c r="CK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AF212" i="1"/>
  <c r="AA212" i="1"/>
  <c r="BE212" i="1" s="1"/>
  <c r="Z212" i="1"/>
  <c r="BD212" i="1" s="1"/>
  <c r="U212" i="1"/>
  <c r="AY212" i="1" s="1"/>
  <c r="T212" i="1"/>
  <c r="AX212" i="1" s="1"/>
  <c r="S212" i="1"/>
  <c r="P212" i="1"/>
  <c r="AC212" i="1" s="1"/>
  <c r="BG212" i="1" s="1"/>
  <c r="I212" i="1"/>
  <c r="J212" i="1" s="1"/>
  <c r="H212" i="1"/>
  <c r="D212" i="1"/>
  <c r="CM211" i="1"/>
  <c r="AF211" i="1"/>
  <c r="AD211" i="1"/>
  <c r="AB211" i="1"/>
  <c r="X211" i="1"/>
  <c r="W211" i="1"/>
  <c r="P211" i="1"/>
  <c r="J211" i="1"/>
  <c r="I211" i="1"/>
  <c r="H211" i="1"/>
  <c r="D211" i="1"/>
  <c r="CM210" i="1"/>
  <c r="CK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G210" i="1"/>
  <c r="AF210" i="1"/>
  <c r="AA210" i="1"/>
  <c r="BE210" i="1" s="1"/>
  <c r="U210" i="1"/>
  <c r="AY210" i="1" s="1"/>
  <c r="T210" i="1"/>
  <c r="AX210" i="1" s="1"/>
  <c r="P210" i="1"/>
  <c r="AC210" i="1" s="1"/>
  <c r="I210" i="1"/>
  <c r="H210" i="1"/>
  <c r="D210" i="1"/>
  <c r="CM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 s="1"/>
  <c r="AF209" i="1"/>
  <c r="AD209" i="1"/>
  <c r="BH209" i="1" s="1"/>
  <c r="AC209" i="1"/>
  <c r="BG209" i="1" s="1"/>
  <c r="P209" i="1"/>
  <c r="J209" i="1"/>
  <c r="I209" i="1"/>
  <c r="H209" i="1"/>
  <c r="D209" i="1"/>
  <c r="CM208" i="1"/>
  <c r="CK208" i="1"/>
  <c r="BU208" i="1"/>
  <c r="BT208" i="1"/>
  <c r="BS208" i="1"/>
  <c r="BR208" i="1"/>
  <c r="BQ208" i="1"/>
  <c r="BP208" i="1"/>
  <c r="BO208" i="1"/>
  <c r="BN208" i="1"/>
  <c r="BM208" i="1"/>
  <c r="BL208" i="1"/>
  <c r="BI208" i="1" s="1"/>
  <c r="BK208" i="1"/>
  <c r="BJ208" i="1"/>
  <c r="AF208" i="1"/>
  <c r="AA208" i="1"/>
  <c r="BE208" i="1" s="1"/>
  <c r="Z208" i="1"/>
  <c r="BD208" i="1" s="1"/>
  <c r="V208" i="1"/>
  <c r="AZ208" i="1" s="1"/>
  <c r="T208" i="1"/>
  <c r="AX208" i="1" s="1"/>
  <c r="S208" i="1"/>
  <c r="P208" i="1"/>
  <c r="AC208" i="1" s="1"/>
  <c r="BG208" i="1" s="1"/>
  <c r="I208" i="1"/>
  <c r="J208" i="1" s="1"/>
  <c r="H208" i="1"/>
  <c r="D208" i="1"/>
  <c r="CM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AF207" i="1"/>
  <c r="AB207" i="1"/>
  <c r="BF207" i="1" s="1"/>
  <c r="Y207" i="1"/>
  <c r="BC207" i="1" s="1"/>
  <c r="P207" i="1"/>
  <c r="CK207" i="1" s="1"/>
  <c r="J207" i="1"/>
  <c r="I207" i="1"/>
  <c r="H207" i="1"/>
  <c r="D207" i="1"/>
  <c r="CM206" i="1"/>
  <c r="CK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AZ206" i="1"/>
  <c r="AF206" i="1"/>
  <c r="AB206" i="1"/>
  <c r="BF206" i="1" s="1"/>
  <c r="AA206" i="1"/>
  <c r="BE206" i="1" s="1"/>
  <c r="Z206" i="1"/>
  <c r="BD206" i="1" s="1"/>
  <c r="V206" i="1"/>
  <c r="T206" i="1"/>
  <c r="AX206" i="1" s="1"/>
  <c r="S206" i="1"/>
  <c r="P206" i="1"/>
  <c r="AC206" i="1" s="1"/>
  <c r="BG206" i="1" s="1"/>
  <c r="I206" i="1"/>
  <c r="J206" i="1" s="1"/>
  <c r="H206" i="1"/>
  <c r="D206" i="1"/>
  <c r="CM205" i="1"/>
  <c r="CK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AF205" i="1"/>
  <c r="AB205" i="1"/>
  <c r="BF205" i="1" s="1"/>
  <c r="Y205" i="1"/>
  <c r="BC205" i="1" s="1"/>
  <c r="P205" i="1"/>
  <c r="J205" i="1"/>
  <c r="I205" i="1"/>
  <c r="H205" i="1"/>
  <c r="D205" i="1"/>
  <c r="CM204" i="1"/>
  <c r="CK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AZ204" i="1"/>
  <c r="AF204" i="1"/>
  <c r="AB204" i="1"/>
  <c r="BF204" i="1" s="1"/>
  <c r="AA204" i="1"/>
  <c r="BE204" i="1" s="1"/>
  <c r="Z204" i="1"/>
  <c r="BD204" i="1" s="1"/>
  <c r="V204" i="1"/>
  <c r="T204" i="1"/>
  <c r="AX204" i="1" s="1"/>
  <c r="S204" i="1"/>
  <c r="P204" i="1"/>
  <c r="AC204" i="1" s="1"/>
  <c r="BG204" i="1" s="1"/>
  <c r="I204" i="1"/>
  <c r="J204" i="1" s="1"/>
  <c r="H204" i="1"/>
  <c r="D204" i="1"/>
  <c r="CM203" i="1"/>
  <c r="CK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AF203" i="1"/>
  <c r="AB203" i="1"/>
  <c r="BF203" i="1" s="1"/>
  <c r="Y203" i="1"/>
  <c r="BC203" i="1" s="1"/>
  <c r="P203" i="1"/>
  <c r="J203" i="1"/>
  <c r="I203" i="1"/>
  <c r="H203" i="1"/>
  <c r="D203" i="1"/>
  <c r="CM202" i="1"/>
  <c r="CK202" i="1"/>
  <c r="BU202" i="1"/>
  <c r="BT202" i="1"/>
  <c r="BS202" i="1"/>
  <c r="BR202" i="1"/>
  <c r="BQ202" i="1"/>
  <c r="BP202" i="1"/>
  <c r="BO202" i="1"/>
  <c r="BN202" i="1"/>
  <c r="BM202" i="1"/>
  <c r="BL202" i="1"/>
  <c r="BK202" i="1"/>
  <c r="BI202" i="1" s="1"/>
  <c r="BJ202" i="1"/>
  <c r="AW202" i="1"/>
  <c r="AF202" i="1"/>
  <c r="Z202" i="1"/>
  <c r="BD202" i="1" s="1"/>
  <c r="T202" i="1"/>
  <c r="AX202" i="1" s="1"/>
  <c r="S202" i="1"/>
  <c r="P202" i="1"/>
  <c r="I202" i="1"/>
  <c r="J202" i="1" s="1"/>
  <c r="H202" i="1"/>
  <c r="D202" i="1"/>
  <c r="CM201" i="1"/>
  <c r="CK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AY201" i="1"/>
  <c r="AF201" i="1"/>
  <c r="AD201" i="1"/>
  <c r="BH201" i="1" s="1"/>
  <c r="AC201" i="1"/>
  <c r="BG201" i="1" s="1"/>
  <c r="AB201" i="1"/>
  <c r="BF201" i="1" s="1"/>
  <c r="Y201" i="1"/>
  <c r="BC201" i="1" s="1"/>
  <c r="W201" i="1"/>
  <c r="BA201" i="1" s="1"/>
  <c r="V201" i="1"/>
  <c r="AZ201" i="1" s="1"/>
  <c r="U201" i="1"/>
  <c r="P201" i="1"/>
  <c r="I201" i="1"/>
  <c r="J201" i="1" s="1"/>
  <c r="H201" i="1"/>
  <c r="D201" i="1"/>
  <c r="CM200" i="1"/>
  <c r="CK200" i="1"/>
  <c r="BU200" i="1"/>
  <c r="BT200" i="1"/>
  <c r="BS200" i="1"/>
  <c r="BR200" i="1"/>
  <c r="BQ200" i="1"/>
  <c r="BP200" i="1"/>
  <c r="BO200" i="1"/>
  <c r="BN200" i="1"/>
  <c r="BM200" i="1"/>
  <c r="BI200" i="1" s="1"/>
  <c r="BL200" i="1"/>
  <c r="BK200" i="1"/>
  <c r="BJ200" i="1"/>
  <c r="AF200" i="1"/>
  <c r="AD200" i="1"/>
  <c r="BH200" i="1" s="1"/>
  <c r="Y200" i="1"/>
  <c r="BC200" i="1" s="1"/>
  <c r="X200" i="1"/>
  <c r="BB200" i="1" s="1"/>
  <c r="V200" i="1"/>
  <c r="AZ200" i="1" s="1"/>
  <c r="P200" i="1"/>
  <c r="AC200" i="1" s="1"/>
  <c r="BG200" i="1" s="1"/>
  <c r="J200" i="1"/>
  <c r="I200" i="1"/>
  <c r="H200" i="1"/>
  <c r="AB200" i="1" s="1"/>
  <c r="BF200" i="1" s="1"/>
  <c r="D200" i="1"/>
  <c r="CM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AF199" i="1"/>
  <c r="P199" i="1"/>
  <c r="I199" i="1"/>
  <c r="J199" i="1" s="1"/>
  <c r="H199" i="1"/>
  <c r="D199" i="1"/>
  <c r="CM198" i="1"/>
  <c r="CK198" i="1"/>
  <c r="BU198" i="1"/>
  <c r="BT198" i="1"/>
  <c r="BS198" i="1"/>
  <c r="BR198" i="1"/>
  <c r="BQ198" i="1"/>
  <c r="BP198" i="1"/>
  <c r="BO198" i="1"/>
  <c r="BN198" i="1"/>
  <c r="BM198" i="1"/>
  <c r="BL198" i="1"/>
  <c r="BK198" i="1"/>
  <c r="BI198" i="1" s="1"/>
  <c r="BJ198" i="1"/>
  <c r="AF198" i="1"/>
  <c r="Z198" i="1"/>
  <c r="BD198" i="1" s="1"/>
  <c r="U198" i="1"/>
  <c r="AY198" i="1" s="1"/>
  <c r="P198" i="1"/>
  <c r="I198" i="1"/>
  <c r="J198" i="1" s="1"/>
  <c r="H198" i="1"/>
  <c r="AA198" i="1" s="1"/>
  <c r="BE198" i="1" s="1"/>
  <c r="D198" i="1"/>
  <c r="CM197" i="1"/>
  <c r="CK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AZ197" i="1"/>
  <c r="AF197" i="1"/>
  <c r="AD197" i="1"/>
  <c r="BH197" i="1" s="1"/>
  <c r="AC197" i="1"/>
  <c r="BG197" i="1" s="1"/>
  <c r="AB197" i="1"/>
  <c r="BF197" i="1" s="1"/>
  <c r="Y197" i="1"/>
  <c r="BC197" i="1" s="1"/>
  <c r="W197" i="1"/>
  <c r="BA197" i="1" s="1"/>
  <c r="V197" i="1"/>
  <c r="U197" i="1"/>
  <c r="AY197" i="1" s="1"/>
  <c r="P197" i="1"/>
  <c r="J197" i="1"/>
  <c r="I197" i="1"/>
  <c r="H197" i="1"/>
  <c r="D197" i="1"/>
  <c r="CM196" i="1"/>
  <c r="CK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AF196" i="1"/>
  <c r="AD196" i="1"/>
  <c r="V196" i="1"/>
  <c r="AZ196" i="1" s="1"/>
  <c r="P196" i="1"/>
  <c r="AC196" i="1" s="1"/>
  <c r="BG196" i="1" s="1"/>
  <c r="J196" i="1"/>
  <c r="I196" i="1"/>
  <c r="H196" i="1"/>
  <c r="D196" i="1"/>
  <c r="CM195" i="1"/>
  <c r="CK195" i="1"/>
  <c r="BU195" i="1"/>
  <c r="BT195" i="1"/>
  <c r="BS195" i="1"/>
  <c r="BR195" i="1"/>
  <c r="BQ195" i="1"/>
  <c r="BP195" i="1"/>
  <c r="BO195" i="1"/>
  <c r="BN195" i="1"/>
  <c r="BM195" i="1"/>
  <c r="BL195" i="1"/>
  <c r="BK195" i="1"/>
  <c r="BI195" i="1" s="1"/>
  <c r="BJ195" i="1"/>
  <c r="BC195" i="1"/>
  <c r="AF195" i="1"/>
  <c r="AC195" i="1"/>
  <c r="BG195" i="1" s="1"/>
  <c r="V195" i="1"/>
  <c r="AZ195" i="1" s="1"/>
  <c r="S195" i="1"/>
  <c r="AW195" i="1" s="1"/>
  <c r="P195" i="1"/>
  <c r="Y195" i="1" s="1"/>
  <c r="I195" i="1"/>
  <c r="J195" i="1" s="1"/>
  <c r="H195" i="1"/>
  <c r="D195" i="1"/>
  <c r="CM194" i="1"/>
  <c r="CK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AF194" i="1"/>
  <c r="P194" i="1"/>
  <c r="I194" i="1"/>
  <c r="H194" i="1"/>
  <c r="D194" i="1"/>
  <c r="CM193" i="1"/>
  <c r="CK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H193" i="1"/>
  <c r="BF193" i="1"/>
  <c r="AF193" i="1"/>
  <c r="AD193" i="1"/>
  <c r="AC193" i="1"/>
  <c r="BG193" i="1" s="1"/>
  <c r="AB193" i="1"/>
  <c r="Y193" i="1"/>
  <c r="BC193" i="1" s="1"/>
  <c r="W193" i="1"/>
  <c r="BA193" i="1" s="1"/>
  <c r="V193" i="1"/>
  <c r="AZ193" i="1" s="1"/>
  <c r="U193" i="1"/>
  <c r="AY193" i="1" s="1"/>
  <c r="P193" i="1"/>
  <c r="J193" i="1"/>
  <c r="I193" i="1"/>
  <c r="H193" i="1"/>
  <c r="D193" i="1"/>
  <c r="CM192" i="1"/>
  <c r="CK192" i="1"/>
  <c r="BU192" i="1"/>
  <c r="BT192" i="1"/>
  <c r="BS192" i="1"/>
  <c r="BR192" i="1"/>
  <c r="BQ192" i="1"/>
  <c r="BP192" i="1"/>
  <c r="BO192" i="1"/>
  <c r="BN192" i="1"/>
  <c r="BI192" i="1" s="1"/>
  <c r="BM192" i="1"/>
  <c r="BL192" i="1"/>
  <c r="BK192" i="1"/>
  <c r="BJ192" i="1"/>
  <c r="AF192" i="1"/>
  <c r="AA192" i="1"/>
  <c r="BE192" i="1" s="1"/>
  <c r="Y192" i="1"/>
  <c r="BC192" i="1" s="1"/>
  <c r="X192" i="1"/>
  <c r="BB192" i="1" s="1"/>
  <c r="P192" i="1"/>
  <c r="AC192" i="1" s="1"/>
  <c r="BG192" i="1" s="1"/>
  <c r="J192" i="1"/>
  <c r="I192" i="1"/>
  <c r="H192" i="1"/>
  <c r="T192" i="1" s="1"/>
  <c r="AX192" i="1" s="1"/>
  <c r="D192" i="1"/>
  <c r="CM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AF191" i="1"/>
  <c r="P191" i="1"/>
  <c r="I191" i="1"/>
  <c r="J191" i="1" s="1"/>
  <c r="H191" i="1"/>
  <c r="D191" i="1"/>
  <c r="CM190" i="1"/>
  <c r="CK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AY190" i="1"/>
  <c r="AF190" i="1"/>
  <c r="AB190" i="1"/>
  <c r="BF190" i="1" s="1"/>
  <c r="AA190" i="1"/>
  <c r="BE190" i="1" s="1"/>
  <c r="Z190" i="1"/>
  <c r="BD190" i="1" s="1"/>
  <c r="U190" i="1"/>
  <c r="T190" i="1"/>
  <c r="AX190" i="1" s="1"/>
  <c r="S190" i="1"/>
  <c r="P190" i="1"/>
  <c r="AC190" i="1" s="1"/>
  <c r="BG190" i="1" s="1"/>
  <c r="I190" i="1"/>
  <c r="J190" i="1" s="1"/>
  <c r="H190" i="1"/>
  <c r="D190" i="1"/>
  <c r="CM189" i="1"/>
  <c r="CK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C189" i="1"/>
  <c r="AF189" i="1"/>
  <c r="AD189" i="1"/>
  <c r="BH189" i="1" s="1"/>
  <c r="AC189" i="1"/>
  <c r="BG189" i="1" s="1"/>
  <c r="AB189" i="1"/>
  <c r="BF189" i="1" s="1"/>
  <c r="Y189" i="1"/>
  <c r="W189" i="1"/>
  <c r="BA189" i="1" s="1"/>
  <c r="V189" i="1"/>
  <c r="AZ189" i="1" s="1"/>
  <c r="U189" i="1"/>
  <c r="AY189" i="1" s="1"/>
  <c r="P189" i="1"/>
  <c r="I189" i="1"/>
  <c r="J189" i="1" s="1"/>
  <c r="H189" i="1"/>
  <c r="D189" i="1"/>
  <c r="CM188" i="1"/>
  <c r="CK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G188" i="1"/>
  <c r="AF188" i="1"/>
  <c r="Z188" i="1"/>
  <c r="BD188" i="1" s="1"/>
  <c r="Y188" i="1"/>
  <c r="BC188" i="1" s="1"/>
  <c r="X188" i="1"/>
  <c r="BB188" i="1" s="1"/>
  <c r="V188" i="1"/>
  <c r="AZ188" i="1" s="1"/>
  <c r="P188" i="1"/>
  <c r="AC188" i="1" s="1"/>
  <c r="I188" i="1"/>
  <c r="J188" i="1" s="1"/>
  <c r="H188" i="1"/>
  <c r="AA188" i="1" s="1"/>
  <c r="BE188" i="1" s="1"/>
  <c r="D188" i="1"/>
  <c r="CM187" i="1"/>
  <c r="CK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 s="1"/>
  <c r="AF187" i="1"/>
  <c r="AD187" i="1"/>
  <c r="BH187" i="1" s="1"/>
  <c r="Y187" i="1"/>
  <c r="BC187" i="1" s="1"/>
  <c r="W187" i="1"/>
  <c r="BA187" i="1" s="1"/>
  <c r="P187" i="1"/>
  <c r="J187" i="1"/>
  <c r="I187" i="1"/>
  <c r="H187" i="1"/>
  <c r="D187" i="1"/>
  <c r="CM186" i="1"/>
  <c r="CK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AF186" i="1"/>
  <c r="Z186" i="1"/>
  <c r="BD186" i="1" s="1"/>
  <c r="S186" i="1"/>
  <c r="AW186" i="1" s="1"/>
  <c r="P186" i="1"/>
  <c r="I186" i="1"/>
  <c r="J186" i="1" s="1"/>
  <c r="H186" i="1"/>
  <c r="T186" i="1" s="1"/>
  <c r="AX186" i="1" s="1"/>
  <c r="D186" i="1"/>
  <c r="CM185" i="1"/>
  <c r="CK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AW185" i="1"/>
  <c r="AF185" i="1"/>
  <c r="AD185" i="1"/>
  <c r="BH185" i="1" s="1"/>
  <c r="AC185" i="1"/>
  <c r="BG185" i="1" s="1"/>
  <c r="AB185" i="1"/>
  <c r="BF185" i="1" s="1"/>
  <c r="AA185" i="1"/>
  <c r="BE185" i="1" s="1"/>
  <c r="Y185" i="1"/>
  <c r="BC185" i="1" s="1"/>
  <c r="W185" i="1"/>
  <c r="BA185" i="1" s="1"/>
  <c r="V185" i="1"/>
  <c r="AZ185" i="1" s="1"/>
  <c r="U185" i="1"/>
  <c r="AY185" i="1" s="1"/>
  <c r="S185" i="1"/>
  <c r="P185" i="1"/>
  <c r="I185" i="1"/>
  <c r="J185" i="1" s="1"/>
  <c r="H185" i="1"/>
  <c r="D185" i="1"/>
  <c r="CM184" i="1"/>
  <c r="CK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G184" i="1"/>
  <c r="AZ184" i="1"/>
  <c r="AF184" i="1"/>
  <c r="AD184" i="1"/>
  <c r="BH184" i="1" s="1"/>
  <c r="AB184" i="1"/>
  <c r="BF184" i="1" s="1"/>
  <c r="Y184" i="1"/>
  <c r="BC184" i="1" s="1"/>
  <c r="X184" i="1"/>
  <c r="BB184" i="1" s="1"/>
  <c r="V184" i="1"/>
  <c r="U184" i="1"/>
  <c r="AY184" i="1" s="1"/>
  <c r="P184" i="1"/>
  <c r="AC184" i="1" s="1"/>
  <c r="I184" i="1"/>
  <c r="J184" i="1" s="1"/>
  <c r="H184" i="1"/>
  <c r="AA184" i="1" s="1"/>
  <c r="BE184" i="1" s="1"/>
  <c r="D184" i="1"/>
  <c r="CM183" i="1"/>
  <c r="CK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 s="1"/>
  <c r="AF183" i="1"/>
  <c r="AD183" i="1"/>
  <c r="BH183" i="1" s="1"/>
  <c r="Y183" i="1"/>
  <c r="BC183" i="1" s="1"/>
  <c r="X183" i="1"/>
  <c r="BB183" i="1" s="1"/>
  <c r="W183" i="1"/>
  <c r="BA183" i="1" s="1"/>
  <c r="P183" i="1"/>
  <c r="J183" i="1"/>
  <c r="I183" i="1"/>
  <c r="H183" i="1"/>
  <c r="D183" i="1"/>
  <c r="CM182" i="1"/>
  <c r="CK182" i="1"/>
  <c r="BU182" i="1"/>
  <c r="BT182" i="1"/>
  <c r="BS182" i="1"/>
  <c r="BR182" i="1"/>
  <c r="BQ182" i="1"/>
  <c r="BP182" i="1"/>
  <c r="BO182" i="1"/>
  <c r="BN182" i="1"/>
  <c r="BM182" i="1"/>
  <c r="BL182" i="1"/>
  <c r="BK182" i="1"/>
  <c r="BI182" i="1" s="1"/>
  <c r="BJ182" i="1"/>
  <c r="AF182" i="1"/>
  <c r="Z182" i="1"/>
  <c r="BD182" i="1" s="1"/>
  <c r="P182" i="1"/>
  <c r="I182" i="1"/>
  <c r="J182" i="1" s="1"/>
  <c r="H182" i="1"/>
  <c r="Y182" i="1" s="1"/>
  <c r="BC182" i="1" s="1"/>
  <c r="D182" i="1"/>
  <c r="CM181" i="1"/>
  <c r="CK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F181" i="1"/>
  <c r="AW181" i="1"/>
  <c r="AF181" i="1"/>
  <c r="AD181" i="1"/>
  <c r="BH181" i="1" s="1"/>
  <c r="AC181" i="1"/>
  <c r="BG181" i="1" s="1"/>
  <c r="AB181" i="1"/>
  <c r="AA181" i="1"/>
  <c r="BE181" i="1" s="1"/>
  <c r="Y181" i="1"/>
  <c r="BC181" i="1" s="1"/>
  <c r="W181" i="1"/>
  <c r="BA181" i="1" s="1"/>
  <c r="V181" i="1"/>
  <c r="AZ181" i="1" s="1"/>
  <c r="U181" i="1"/>
  <c r="AY181" i="1" s="1"/>
  <c r="S181" i="1"/>
  <c r="P181" i="1"/>
  <c r="I181" i="1"/>
  <c r="J181" i="1" s="1"/>
  <c r="H181" i="1"/>
  <c r="D181" i="1"/>
  <c r="CM180" i="1"/>
  <c r="CK180" i="1"/>
  <c r="BU180" i="1"/>
  <c r="BT180" i="1"/>
  <c r="BS180" i="1"/>
  <c r="BR180" i="1"/>
  <c r="BQ180" i="1"/>
  <c r="BP180" i="1"/>
  <c r="BO180" i="1"/>
  <c r="BN180" i="1"/>
  <c r="BM180" i="1"/>
  <c r="BL180" i="1"/>
  <c r="BK180" i="1"/>
  <c r="BI180" i="1" s="1"/>
  <c r="BJ180" i="1"/>
  <c r="AF180" i="1"/>
  <c r="AA180" i="1"/>
  <c r="BE180" i="1" s="1"/>
  <c r="Z180" i="1"/>
  <c r="BD180" i="1" s="1"/>
  <c r="U180" i="1"/>
  <c r="AY180" i="1" s="1"/>
  <c r="T180" i="1"/>
  <c r="AX180" i="1" s="1"/>
  <c r="S180" i="1"/>
  <c r="P180" i="1"/>
  <c r="AC180" i="1" s="1"/>
  <c r="BG180" i="1" s="1"/>
  <c r="I180" i="1"/>
  <c r="J180" i="1" s="1"/>
  <c r="H180" i="1"/>
  <c r="D180" i="1"/>
  <c r="CM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 s="1"/>
  <c r="AF179" i="1"/>
  <c r="AD179" i="1"/>
  <c r="BH179" i="1" s="1"/>
  <c r="X179" i="1"/>
  <c r="BB179" i="1" s="1"/>
  <c r="W179" i="1"/>
  <c r="BA179" i="1" s="1"/>
  <c r="P179" i="1"/>
  <c r="AB179" i="1" s="1"/>
  <c r="BF179" i="1" s="1"/>
  <c r="J179" i="1"/>
  <c r="I179" i="1"/>
  <c r="H179" i="1"/>
  <c r="D179" i="1"/>
  <c r="CM178" i="1"/>
  <c r="CK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AZ178" i="1"/>
  <c r="AF178" i="1"/>
  <c r="AA178" i="1"/>
  <c r="BE178" i="1" s="1"/>
  <c r="V178" i="1"/>
  <c r="P178" i="1"/>
  <c r="I178" i="1"/>
  <c r="H178" i="1"/>
  <c r="D178" i="1"/>
  <c r="CM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 s="1"/>
  <c r="AF177" i="1"/>
  <c r="AD177" i="1"/>
  <c r="BH177" i="1" s="1"/>
  <c r="AB177" i="1"/>
  <c r="BF177" i="1" s="1"/>
  <c r="X177" i="1"/>
  <c r="BB177" i="1" s="1"/>
  <c r="W177" i="1"/>
  <c r="BA177" i="1" s="1"/>
  <c r="V177" i="1"/>
  <c r="AZ177" i="1" s="1"/>
  <c r="P177" i="1"/>
  <c r="J177" i="1"/>
  <c r="I177" i="1"/>
  <c r="H177" i="1"/>
  <c r="D177" i="1"/>
  <c r="CM176" i="1"/>
  <c r="CK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AF176" i="1"/>
  <c r="U176" i="1"/>
  <c r="AY176" i="1" s="1"/>
  <c r="P176" i="1"/>
  <c r="I176" i="1"/>
  <c r="H176" i="1"/>
  <c r="D176" i="1"/>
  <c r="CM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AF175" i="1"/>
  <c r="AD175" i="1"/>
  <c r="BH175" i="1" s="1"/>
  <c r="AB175" i="1"/>
  <c r="BF175" i="1" s="1"/>
  <c r="X175" i="1"/>
  <c r="BB175" i="1" s="1"/>
  <c r="V175" i="1"/>
  <c r="AZ175" i="1" s="1"/>
  <c r="P175" i="1"/>
  <c r="J175" i="1"/>
  <c r="I175" i="1"/>
  <c r="H175" i="1"/>
  <c r="D175" i="1"/>
  <c r="CM174" i="1"/>
  <c r="CK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F174" i="1"/>
  <c r="AF174" i="1"/>
  <c r="AB174" i="1"/>
  <c r="Z174" i="1"/>
  <c r="BD174" i="1" s="1"/>
  <c r="P174" i="1"/>
  <c r="I174" i="1"/>
  <c r="J174" i="1" s="1"/>
  <c r="H174" i="1"/>
  <c r="Y174" i="1" s="1"/>
  <c r="BC174" i="1" s="1"/>
  <c r="D174" i="1"/>
  <c r="CM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AF173" i="1"/>
  <c r="AC173" i="1"/>
  <c r="BG173" i="1" s="1"/>
  <c r="W173" i="1"/>
  <c r="BA173" i="1" s="1"/>
  <c r="V173" i="1"/>
  <c r="AZ173" i="1" s="1"/>
  <c r="P173" i="1"/>
  <c r="J173" i="1"/>
  <c r="I173" i="1"/>
  <c r="H173" i="1"/>
  <c r="D173" i="1"/>
  <c r="CM172" i="1"/>
  <c r="CK172" i="1"/>
  <c r="BU172" i="1"/>
  <c r="BT172" i="1"/>
  <c r="BS172" i="1"/>
  <c r="BR172" i="1"/>
  <c r="BQ172" i="1"/>
  <c r="BP172" i="1"/>
  <c r="BO172" i="1"/>
  <c r="BN172" i="1"/>
  <c r="BM172" i="1"/>
  <c r="BL172" i="1"/>
  <c r="BK172" i="1"/>
  <c r="BI172" i="1" s="1"/>
  <c r="BJ172" i="1"/>
  <c r="BG172" i="1"/>
  <c r="BB172" i="1"/>
  <c r="AF172" i="1"/>
  <c r="Z172" i="1"/>
  <c r="BD172" i="1" s="1"/>
  <c r="Y172" i="1"/>
  <c r="BC172" i="1" s="1"/>
  <c r="X172" i="1"/>
  <c r="U172" i="1"/>
  <c r="AY172" i="1" s="1"/>
  <c r="T172" i="1"/>
  <c r="AX172" i="1" s="1"/>
  <c r="P172" i="1"/>
  <c r="AC172" i="1" s="1"/>
  <c r="I172" i="1"/>
  <c r="J172" i="1" s="1"/>
  <c r="H172" i="1"/>
  <c r="D172" i="1"/>
  <c r="CM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 s="1"/>
  <c r="BB171" i="1"/>
  <c r="AF171" i="1"/>
  <c r="AA171" i="1"/>
  <c r="BE171" i="1" s="1"/>
  <c r="X171" i="1"/>
  <c r="P171" i="1"/>
  <c r="AD171" i="1" s="1"/>
  <c r="BH171" i="1" s="1"/>
  <c r="J171" i="1"/>
  <c r="I171" i="1"/>
  <c r="H171" i="1"/>
  <c r="D171" i="1"/>
  <c r="CM170" i="1"/>
  <c r="CK170" i="1"/>
  <c r="BU170" i="1"/>
  <c r="BT170" i="1"/>
  <c r="BS170" i="1"/>
  <c r="BR170" i="1"/>
  <c r="BQ170" i="1"/>
  <c r="BP170" i="1"/>
  <c r="BO170" i="1"/>
  <c r="BN170" i="1"/>
  <c r="BM170" i="1"/>
  <c r="BL170" i="1"/>
  <c r="BK170" i="1"/>
  <c r="BI170" i="1" s="1"/>
  <c r="BJ170" i="1"/>
  <c r="AF170" i="1"/>
  <c r="P170" i="1"/>
  <c r="AC170" i="1" s="1"/>
  <c r="BG170" i="1" s="1"/>
  <c r="I170" i="1"/>
  <c r="H170" i="1"/>
  <c r="Y170" i="1" s="1"/>
  <c r="BC170" i="1" s="1"/>
  <c r="D170" i="1"/>
  <c r="CM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 s="1"/>
  <c r="AF169" i="1"/>
  <c r="AD169" i="1"/>
  <c r="BH169" i="1" s="1"/>
  <c r="AA169" i="1"/>
  <c r="BE169" i="1" s="1"/>
  <c r="X169" i="1"/>
  <c r="BB169" i="1" s="1"/>
  <c r="V169" i="1"/>
  <c r="AZ169" i="1" s="1"/>
  <c r="P169" i="1"/>
  <c r="J169" i="1"/>
  <c r="I169" i="1"/>
  <c r="H169" i="1"/>
  <c r="D169" i="1"/>
  <c r="CM168" i="1"/>
  <c r="CK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AY168" i="1"/>
  <c r="AF168" i="1"/>
  <c r="U168" i="1"/>
  <c r="P168" i="1"/>
  <c r="AC168" i="1" s="1"/>
  <c r="BG168" i="1" s="1"/>
  <c r="I168" i="1"/>
  <c r="H168" i="1"/>
  <c r="Y168" i="1" s="1"/>
  <c r="BC168" i="1" s="1"/>
  <c r="D168" i="1"/>
  <c r="CM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 s="1"/>
  <c r="BE167" i="1"/>
  <c r="AF167" i="1"/>
  <c r="AD167" i="1"/>
  <c r="BH167" i="1" s="1"/>
  <c r="AA167" i="1"/>
  <c r="X167" i="1"/>
  <c r="BB167" i="1" s="1"/>
  <c r="V167" i="1"/>
  <c r="AZ167" i="1" s="1"/>
  <c r="P167" i="1"/>
  <c r="J167" i="1"/>
  <c r="I167" i="1"/>
  <c r="H167" i="1"/>
  <c r="D167" i="1"/>
  <c r="CM166" i="1"/>
  <c r="CK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G166" i="1"/>
  <c r="BC166" i="1"/>
  <c r="BB166" i="1"/>
  <c r="AF166" i="1"/>
  <c r="AD166" i="1"/>
  <c r="BH166" i="1" s="1"/>
  <c r="AB166" i="1"/>
  <c r="BF166" i="1" s="1"/>
  <c r="Z166" i="1"/>
  <c r="BD166" i="1" s="1"/>
  <c r="Y166" i="1"/>
  <c r="X166" i="1"/>
  <c r="V166" i="1"/>
  <c r="AZ166" i="1" s="1"/>
  <c r="U166" i="1"/>
  <c r="AY166" i="1" s="1"/>
  <c r="S166" i="1"/>
  <c r="AW166" i="1" s="1"/>
  <c r="P166" i="1"/>
  <c r="AC166" i="1" s="1"/>
  <c r="J166" i="1"/>
  <c r="I166" i="1"/>
  <c r="H166" i="1"/>
  <c r="AA166" i="1" s="1"/>
  <c r="BE166" i="1" s="1"/>
  <c r="D166" i="1"/>
  <c r="CM165" i="1"/>
  <c r="BU165" i="1"/>
  <c r="BT165" i="1"/>
  <c r="BS165" i="1"/>
  <c r="BR165" i="1"/>
  <c r="BQ165" i="1"/>
  <c r="BP165" i="1"/>
  <c r="BO165" i="1"/>
  <c r="BN165" i="1"/>
  <c r="BM165" i="1"/>
  <c r="BL165" i="1"/>
  <c r="BK165" i="1"/>
  <c r="BI165" i="1" s="1"/>
  <c r="BJ165" i="1"/>
  <c r="BE165" i="1"/>
  <c r="AF165" i="1"/>
  <c r="AB165" i="1"/>
  <c r="BF165" i="1" s="1"/>
  <c r="AA165" i="1"/>
  <c r="X165" i="1"/>
  <c r="BB165" i="1" s="1"/>
  <c r="U165" i="1"/>
  <c r="AY165" i="1" s="1"/>
  <c r="S165" i="1"/>
  <c r="P165" i="1"/>
  <c r="J165" i="1"/>
  <c r="I165" i="1"/>
  <c r="H165" i="1"/>
  <c r="D165" i="1"/>
  <c r="CM164" i="1"/>
  <c r="CK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C164" i="1"/>
  <c r="AF164" i="1"/>
  <c r="AD164" i="1"/>
  <c r="BH164" i="1" s="1"/>
  <c r="AB164" i="1"/>
  <c r="BF164" i="1" s="1"/>
  <c r="AA164" i="1"/>
  <c r="BE164" i="1" s="1"/>
  <c r="Z164" i="1"/>
  <c r="BD164" i="1" s="1"/>
  <c r="Y164" i="1"/>
  <c r="V164" i="1"/>
  <c r="AZ164" i="1" s="1"/>
  <c r="U164" i="1"/>
  <c r="AY164" i="1" s="1"/>
  <c r="S164" i="1"/>
  <c r="P164" i="1"/>
  <c r="I164" i="1"/>
  <c r="J164" i="1" s="1"/>
  <c r="H164" i="1"/>
  <c r="T164" i="1" s="1"/>
  <c r="AX164" i="1" s="1"/>
  <c r="D164" i="1"/>
  <c r="CM163" i="1"/>
  <c r="BU163" i="1"/>
  <c r="BT163" i="1"/>
  <c r="BS163" i="1"/>
  <c r="BR163" i="1"/>
  <c r="BQ163" i="1"/>
  <c r="BP163" i="1"/>
  <c r="BO163" i="1"/>
  <c r="BN163" i="1"/>
  <c r="BM163" i="1"/>
  <c r="BL163" i="1"/>
  <c r="BI163" i="1" s="1"/>
  <c r="BK163" i="1"/>
  <c r="BJ163" i="1"/>
  <c r="BB163" i="1"/>
  <c r="AF163" i="1"/>
  <c r="AB163" i="1"/>
  <c r="BF163" i="1" s="1"/>
  <c r="X163" i="1"/>
  <c r="W163" i="1"/>
  <c r="BA163" i="1" s="1"/>
  <c r="U163" i="1"/>
  <c r="AY163" i="1" s="1"/>
  <c r="P163" i="1"/>
  <c r="AD163" i="1" s="1"/>
  <c r="BH163" i="1" s="1"/>
  <c r="J163" i="1"/>
  <c r="I163" i="1"/>
  <c r="H163" i="1"/>
  <c r="D163" i="1"/>
  <c r="CM162" i="1"/>
  <c r="CK162" i="1"/>
  <c r="BU162" i="1"/>
  <c r="BT162" i="1"/>
  <c r="BS162" i="1"/>
  <c r="BR162" i="1"/>
  <c r="BQ162" i="1"/>
  <c r="BP162" i="1"/>
  <c r="BO162" i="1"/>
  <c r="BN162" i="1"/>
  <c r="BM162" i="1"/>
  <c r="BI162" i="1" s="1"/>
  <c r="BL162" i="1"/>
  <c r="BK162" i="1"/>
  <c r="BJ162" i="1"/>
  <c r="BG162" i="1"/>
  <c r="BC162" i="1"/>
  <c r="BB162" i="1"/>
  <c r="AF162" i="1"/>
  <c r="AD162" i="1"/>
  <c r="BH162" i="1" s="1"/>
  <c r="AB162" i="1"/>
  <c r="BF162" i="1" s="1"/>
  <c r="Z162" i="1"/>
  <c r="BD162" i="1" s="1"/>
  <c r="Y162" i="1"/>
  <c r="X162" i="1"/>
  <c r="V162" i="1"/>
  <c r="AZ162" i="1" s="1"/>
  <c r="U162" i="1"/>
  <c r="AY162" i="1" s="1"/>
  <c r="S162" i="1"/>
  <c r="AW162" i="1" s="1"/>
  <c r="P162" i="1"/>
  <c r="AC162" i="1" s="1"/>
  <c r="J162" i="1"/>
  <c r="I162" i="1"/>
  <c r="H162" i="1"/>
  <c r="AA162" i="1" s="1"/>
  <c r="BE162" i="1" s="1"/>
  <c r="D162" i="1"/>
  <c r="CM161" i="1"/>
  <c r="BU161" i="1"/>
  <c r="BT161" i="1"/>
  <c r="BS161" i="1"/>
  <c r="BR161" i="1"/>
  <c r="BQ161" i="1"/>
  <c r="BP161" i="1"/>
  <c r="BO161" i="1"/>
  <c r="BN161" i="1"/>
  <c r="BI161" i="1" s="1"/>
  <c r="BM161" i="1"/>
  <c r="BL161" i="1"/>
  <c r="BK161" i="1"/>
  <c r="BJ161" i="1"/>
  <c r="BH161" i="1"/>
  <c r="AW161" i="1"/>
  <c r="AF161" i="1"/>
  <c r="AD161" i="1"/>
  <c r="X161" i="1"/>
  <c r="BB161" i="1" s="1"/>
  <c r="W161" i="1"/>
  <c r="BA161" i="1" s="1"/>
  <c r="U161" i="1"/>
  <c r="AY161" i="1" s="1"/>
  <c r="S161" i="1"/>
  <c r="P161" i="1"/>
  <c r="AA161" i="1" s="1"/>
  <c r="BE161" i="1" s="1"/>
  <c r="J161" i="1"/>
  <c r="I161" i="1"/>
  <c r="H161" i="1"/>
  <c r="D161" i="1"/>
  <c r="CM160" i="1"/>
  <c r="CK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AZ160" i="1"/>
  <c r="AY160" i="1"/>
  <c r="AF160" i="1"/>
  <c r="AD160" i="1"/>
  <c r="BH160" i="1" s="1"/>
  <c r="AB160" i="1"/>
  <c r="BF160" i="1" s="1"/>
  <c r="Z160" i="1"/>
  <c r="BD160" i="1" s="1"/>
  <c r="Y160" i="1"/>
  <c r="BC160" i="1" s="1"/>
  <c r="V160" i="1"/>
  <c r="U160" i="1"/>
  <c r="S160" i="1"/>
  <c r="AW160" i="1" s="1"/>
  <c r="P160" i="1"/>
  <c r="J160" i="1"/>
  <c r="I160" i="1"/>
  <c r="H160" i="1"/>
  <c r="AA160" i="1" s="1"/>
  <c r="BE160" i="1" s="1"/>
  <c r="D160" i="1"/>
  <c r="CM159" i="1"/>
  <c r="BU159" i="1"/>
  <c r="BT159" i="1"/>
  <c r="BS159" i="1"/>
  <c r="BR159" i="1"/>
  <c r="BQ159" i="1"/>
  <c r="BP159" i="1"/>
  <c r="BO159" i="1"/>
  <c r="BN159" i="1"/>
  <c r="BM159" i="1"/>
  <c r="BL159" i="1"/>
  <c r="BK159" i="1"/>
  <c r="BI159" i="1" s="1"/>
  <c r="BJ159" i="1"/>
  <c r="AF159" i="1"/>
  <c r="AD159" i="1"/>
  <c r="BH159" i="1" s="1"/>
  <c r="AB159" i="1"/>
  <c r="BF159" i="1" s="1"/>
  <c r="P159" i="1"/>
  <c r="J159" i="1"/>
  <c r="I159" i="1"/>
  <c r="H159" i="1"/>
  <c r="D159" i="1"/>
  <c r="CM158" i="1"/>
  <c r="CK158" i="1"/>
  <c r="BU158" i="1"/>
  <c r="BT158" i="1"/>
  <c r="BS158" i="1"/>
  <c r="BR158" i="1"/>
  <c r="BQ158" i="1"/>
  <c r="BP158" i="1"/>
  <c r="BO158" i="1"/>
  <c r="BN158" i="1"/>
  <c r="BM158" i="1"/>
  <c r="BL158" i="1"/>
  <c r="BI158" i="1" s="1"/>
  <c r="BK158" i="1"/>
  <c r="BJ158" i="1"/>
  <c r="BG158" i="1"/>
  <c r="BF158" i="1"/>
  <c r="BC158" i="1"/>
  <c r="BB158" i="1"/>
  <c r="AF158" i="1"/>
  <c r="AD158" i="1"/>
  <c r="BH158" i="1" s="1"/>
  <c r="AB158" i="1"/>
  <c r="Z158" i="1"/>
  <c r="BD158" i="1" s="1"/>
  <c r="Y158" i="1"/>
  <c r="X158" i="1"/>
  <c r="V158" i="1"/>
  <c r="AZ158" i="1" s="1"/>
  <c r="U158" i="1"/>
  <c r="AY158" i="1" s="1"/>
  <c r="S158" i="1"/>
  <c r="AW158" i="1" s="1"/>
  <c r="P158" i="1"/>
  <c r="AC158" i="1" s="1"/>
  <c r="J158" i="1"/>
  <c r="I158" i="1"/>
  <c r="H158" i="1"/>
  <c r="AA158" i="1" s="1"/>
  <c r="BE158" i="1" s="1"/>
  <c r="D158" i="1"/>
  <c r="CM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AW157" i="1"/>
  <c r="AF157" i="1"/>
  <c r="AD157" i="1"/>
  <c r="AA157" i="1"/>
  <c r="BE157" i="1" s="1"/>
  <c r="X157" i="1"/>
  <c r="BB157" i="1" s="1"/>
  <c r="W157" i="1"/>
  <c r="BA157" i="1" s="1"/>
  <c r="U157" i="1"/>
  <c r="AY157" i="1" s="1"/>
  <c r="S157" i="1"/>
  <c r="P157" i="1"/>
  <c r="J157" i="1"/>
  <c r="I157" i="1"/>
  <c r="H157" i="1"/>
  <c r="D157" i="1"/>
  <c r="CM156" i="1"/>
  <c r="CK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B156" i="1"/>
  <c r="AZ156" i="1"/>
  <c r="AF156" i="1"/>
  <c r="AD156" i="1"/>
  <c r="BH156" i="1" s="1"/>
  <c r="AB156" i="1"/>
  <c r="BF156" i="1" s="1"/>
  <c r="Z156" i="1"/>
  <c r="BD156" i="1" s="1"/>
  <c r="Y156" i="1"/>
  <c r="BC156" i="1" s="1"/>
  <c r="X156" i="1"/>
  <c r="V156" i="1"/>
  <c r="U156" i="1"/>
  <c r="AY156" i="1" s="1"/>
  <c r="S156" i="1"/>
  <c r="P156" i="1"/>
  <c r="J156" i="1"/>
  <c r="I156" i="1"/>
  <c r="H156" i="1"/>
  <c r="AA156" i="1" s="1"/>
  <c r="BE156" i="1" s="1"/>
  <c r="D156" i="1"/>
  <c r="CM155" i="1"/>
  <c r="BU155" i="1"/>
  <c r="BT155" i="1"/>
  <c r="BS155" i="1"/>
  <c r="BR155" i="1"/>
  <c r="BQ155" i="1"/>
  <c r="BP155" i="1"/>
  <c r="BO155" i="1"/>
  <c r="BN155" i="1"/>
  <c r="BM155" i="1"/>
  <c r="BL155" i="1"/>
  <c r="BK155" i="1"/>
  <c r="BI155" i="1" s="1"/>
  <c r="BJ155" i="1"/>
  <c r="BH155" i="1"/>
  <c r="BE155" i="1"/>
  <c r="AW155" i="1"/>
  <c r="AF155" i="1"/>
  <c r="AD155" i="1"/>
  <c r="W155" i="1"/>
  <c r="BA155" i="1" s="1"/>
  <c r="U155" i="1"/>
  <c r="AY155" i="1" s="1"/>
  <c r="S155" i="1"/>
  <c r="P155" i="1"/>
  <c r="AA155" i="1" s="1"/>
  <c r="J155" i="1"/>
  <c r="I155" i="1"/>
  <c r="H155" i="1"/>
  <c r="D155" i="1"/>
  <c r="CM154" i="1"/>
  <c r="CK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G154" i="1"/>
  <c r="BF154" i="1"/>
  <c r="BB154" i="1"/>
  <c r="AY154" i="1"/>
  <c r="AF154" i="1"/>
  <c r="AD154" i="1"/>
  <c r="BH154" i="1" s="1"/>
  <c r="AB154" i="1"/>
  <c r="Z154" i="1"/>
  <c r="BD154" i="1" s="1"/>
  <c r="Y154" i="1"/>
  <c r="BC154" i="1" s="1"/>
  <c r="X154" i="1"/>
  <c r="V154" i="1"/>
  <c r="AZ154" i="1" s="1"/>
  <c r="U154" i="1"/>
  <c r="T154" i="1"/>
  <c r="AX154" i="1" s="1"/>
  <c r="S154" i="1"/>
  <c r="AW154" i="1" s="1"/>
  <c r="P154" i="1"/>
  <c r="AC154" i="1" s="1"/>
  <c r="J154" i="1"/>
  <c r="I154" i="1"/>
  <c r="H154" i="1"/>
  <c r="AA154" i="1" s="1"/>
  <c r="BE154" i="1" s="1"/>
  <c r="D154" i="1"/>
  <c r="CM153" i="1"/>
  <c r="BU153" i="1"/>
  <c r="BT153" i="1"/>
  <c r="BS153" i="1"/>
  <c r="BR153" i="1"/>
  <c r="BQ153" i="1"/>
  <c r="BP153" i="1"/>
  <c r="BO153" i="1"/>
  <c r="BN153" i="1"/>
  <c r="BM153" i="1"/>
  <c r="BL153" i="1"/>
  <c r="BK153" i="1"/>
  <c r="BI153" i="1" s="1"/>
  <c r="BJ153" i="1"/>
  <c r="AF153" i="1"/>
  <c r="AD153" i="1"/>
  <c r="BH153" i="1" s="1"/>
  <c r="U153" i="1"/>
  <c r="AY153" i="1" s="1"/>
  <c r="S153" i="1"/>
  <c r="P153" i="1"/>
  <c r="AA153" i="1" s="1"/>
  <c r="BE153" i="1" s="1"/>
  <c r="J153" i="1"/>
  <c r="I153" i="1"/>
  <c r="H153" i="1"/>
  <c r="D153" i="1"/>
  <c r="CM152" i="1"/>
  <c r="CK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F152" i="1"/>
  <c r="AF152" i="1"/>
  <c r="AD152" i="1"/>
  <c r="BH152" i="1" s="1"/>
  <c r="AB152" i="1"/>
  <c r="Z152" i="1"/>
  <c r="BD152" i="1" s="1"/>
  <c r="Y152" i="1"/>
  <c r="BC152" i="1" s="1"/>
  <c r="V152" i="1"/>
  <c r="AZ152" i="1" s="1"/>
  <c r="U152" i="1"/>
  <c r="AY152" i="1" s="1"/>
  <c r="T152" i="1"/>
  <c r="AX152" i="1" s="1"/>
  <c r="S152" i="1"/>
  <c r="AW152" i="1" s="1"/>
  <c r="P152" i="1"/>
  <c r="J152" i="1"/>
  <c r="I152" i="1"/>
  <c r="H152" i="1"/>
  <c r="AA152" i="1" s="1"/>
  <c r="BE152" i="1" s="1"/>
  <c r="D152" i="1"/>
  <c r="CM151" i="1"/>
  <c r="BU151" i="1"/>
  <c r="BT151" i="1"/>
  <c r="BS151" i="1"/>
  <c r="BR151" i="1"/>
  <c r="BQ151" i="1"/>
  <c r="BP151" i="1"/>
  <c r="BO151" i="1"/>
  <c r="BN151" i="1"/>
  <c r="BM151" i="1"/>
  <c r="BL151" i="1"/>
  <c r="BK151" i="1"/>
  <c r="BI151" i="1" s="1"/>
  <c r="BJ151" i="1"/>
  <c r="AF151" i="1"/>
  <c r="AB151" i="1"/>
  <c r="BF151" i="1" s="1"/>
  <c r="P151" i="1"/>
  <c r="J151" i="1"/>
  <c r="I151" i="1"/>
  <c r="H151" i="1"/>
  <c r="D151" i="1"/>
  <c r="CM150" i="1"/>
  <c r="CK150" i="1"/>
  <c r="BU150" i="1"/>
  <c r="BT150" i="1"/>
  <c r="BS150" i="1"/>
  <c r="BR150" i="1"/>
  <c r="BQ150" i="1"/>
  <c r="BP150" i="1"/>
  <c r="BO150" i="1"/>
  <c r="BN150" i="1"/>
  <c r="BM150" i="1"/>
  <c r="BL150" i="1"/>
  <c r="BI150" i="1" s="1"/>
  <c r="BK150" i="1"/>
  <c r="BJ150" i="1"/>
  <c r="BG150" i="1"/>
  <c r="BC150" i="1"/>
  <c r="BB150" i="1"/>
  <c r="AF150" i="1"/>
  <c r="AD150" i="1"/>
  <c r="BH150" i="1" s="1"/>
  <c r="AB150" i="1"/>
  <c r="BF150" i="1" s="1"/>
  <c r="Z150" i="1"/>
  <c r="BD150" i="1" s="1"/>
  <c r="Y150" i="1"/>
  <c r="X150" i="1"/>
  <c r="V150" i="1"/>
  <c r="AZ150" i="1" s="1"/>
  <c r="U150" i="1"/>
  <c r="AY150" i="1" s="1"/>
  <c r="T150" i="1"/>
  <c r="AX150" i="1" s="1"/>
  <c r="S150" i="1"/>
  <c r="AW150" i="1" s="1"/>
  <c r="P150" i="1"/>
  <c r="AC150" i="1" s="1"/>
  <c r="J150" i="1"/>
  <c r="I150" i="1"/>
  <c r="H150" i="1"/>
  <c r="AA150" i="1" s="1"/>
  <c r="BE150" i="1" s="1"/>
  <c r="D150" i="1"/>
  <c r="CM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AW149" i="1"/>
  <c r="AF149" i="1"/>
  <c r="AD149" i="1"/>
  <c r="AA149" i="1"/>
  <c r="BE149" i="1" s="1"/>
  <c r="X149" i="1"/>
  <c r="BB149" i="1" s="1"/>
  <c r="W149" i="1"/>
  <c r="BA149" i="1" s="1"/>
  <c r="U149" i="1"/>
  <c r="AY149" i="1" s="1"/>
  <c r="S149" i="1"/>
  <c r="P149" i="1"/>
  <c r="J149" i="1"/>
  <c r="I149" i="1"/>
  <c r="H149" i="1"/>
  <c r="D149" i="1"/>
  <c r="CM148" i="1"/>
  <c r="CK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AZ148" i="1"/>
  <c r="AY148" i="1"/>
  <c r="AF148" i="1"/>
  <c r="AD148" i="1"/>
  <c r="BH148" i="1" s="1"/>
  <c r="AB148" i="1"/>
  <c r="BF148" i="1" s="1"/>
  <c r="Z148" i="1"/>
  <c r="BD148" i="1" s="1"/>
  <c r="Y148" i="1"/>
  <c r="BC148" i="1" s="1"/>
  <c r="V148" i="1"/>
  <c r="U148" i="1"/>
  <c r="S148" i="1"/>
  <c r="AW148" i="1" s="1"/>
  <c r="P148" i="1"/>
  <c r="J148" i="1"/>
  <c r="I148" i="1"/>
  <c r="H148" i="1"/>
  <c r="AA148" i="1" s="1"/>
  <c r="BE148" i="1" s="1"/>
  <c r="D148" i="1"/>
  <c r="CM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AF147" i="1"/>
  <c r="AD147" i="1"/>
  <c r="BH147" i="1" s="1"/>
  <c r="U147" i="1"/>
  <c r="AY147" i="1" s="1"/>
  <c r="S147" i="1"/>
  <c r="P147" i="1"/>
  <c r="AA147" i="1" s="1"/>
  <c r="BE147" i="1" s="1"/>
  <c r="J147" i="1"/>
  <c r="I147" i="1"/>
  <c r="H147" i="1"/>
  <c r="D147" i="1"/>
  <c r="CM146" i="1"/>
  <c r="CK146" i="1"/>
  <c r="BU146" i="1"/>
  <c r="BT146" i="1"/>
  <c r="BS146" i="1"/>
  <c r="BR146" i="1"/>
  <c r="BQ146" i="1"/>
  <c r="BP146" i="1"/>
  <c r="BO146" i="1"/>
  <c r="BN146" i="1"/>
  <c r="BM146" i="1"/>
  <c r="BL146" i="1"/>
  <c r="BI146" i="1" s="1"/>
  <c r="BK146" i="1"/>
  <c r="BJ146" i="1"/>
  <c r="BG146" i="1"/>
  <c r="BF146" i="1"/>
  <c r="BB146" i="1"/>
  <c r="AF146" i="1"/>
  <c r="AD146" i="1"/>
  <c r="BH146" i="1" s="1"/>
  <c r="AB146" i="1"/>
  <c r="Z146" i="1"/>
  <c r="BD146" i="1" s="1"/>
  <c r="Y146" i="1"/>
  <c r="BC146" i="1" s="1"/>
  <c r="X146" i="1"/>
  <c r="V146" i="1"/>
  <c r="AZ146" i="1" s="1"/>
  <c r="U146" i="1"/>
  <c r="AY146" i="1" s="1"/>
  <c r="S146" i="1"/>
  <c r="AW146" i="1" s="1"/>
  <c r="P146" i="1"/>
  <c r="AC146" i="1" s="1"/>
  <c r="J146" i="1"/>
  <c r="I146" i="1"/>
  <c r="H146" i="1"/>
  <c r="AA146" i="1" s="1"/>
  <c r="BE146" i="1" s="1"/>
  <c r="D146" i="1"/>
  <c r="CM145" i="1"/>
  <c r="BU145" i="1"/>
  <c r="BT145" i="1"/>
  <c r="BS145" i="1"/>
  <c r="BR145" i="1"/>
  <c r="BQ145" i="1"/>
  <c r="BP145" i="1"/>
  <c r="BO145" i="1"/>
  <c r="BN145" i="1"/>
  <c r="BM145" i="1"/>
  <c r="BL145" i="1"/>
  <c r="BK145" i="1"/>
  <c r="BI145" i="1" s="1"/>
  <c r="BJ145" i="1"/>
  <c r="AF145" i="1"/>
  <c r="AB145" i="1"/>
  <c r="BF145" i="1" s="1"/>
  <c r="AA145" i="1"/>
  <c r="BE145" i="1" s="1"/>
  <c r="P145" i="1"/>
  <c r="J145" i="1"/>
  <c r="I145" i="1"/>
  <c r="H145" i="1"/>
  <c r="D145" i="1"/>
  <c r="CM144" i="1"/>
  <c r="CK144" i="1"/>
  <c r="BU144" i="1"/>
  <c r="BT144" i="1"/>
  <c r="BS144" i="1"/>
  <c r="BR144" i="1"/>
  <c r="BQ144" i="1"/>
  <c r="BP144" i="1"/>
  <c r="BO144" i="1"/>
  <c r="BN144" i="1"/>
  <c r="BM144" i="1"/>
  <c r="BL144" i="1"/>
  <c r="BI144" i="1" s="1"/>
  <c r="BK144" i="1"/>
  <c r="BJ144" i="1"/>
  <c r="BC144" i="1"/>
  <c r="AZ144" i="1"/>
  <c r="AF144" i="1"/>
  <c r="AD144" i="1"/>
  <c r="BH144" i="1" s="1"/>
  <c r="AB144" i="1"/>
  <c r="BF144" i="1" s="1"/>
  <c r="Z144" i="1"/>
  <c r="BD144" i="1" s="1"/>
  <c r="Y144" i="1"/>
  <c r="V144" i="1"/>
  <c r="U144" i="1"/>
  <c r="AY144" i="1" s="1"/>
  <c r="S144" i="1"/>
  <c r="P144" i="1"/>
  <c r="J144" i="1"/>
  <c r="I144" i="1"/>
  <c r="H144" i="1"/>
  <c r="AA144" i="1" s="1"/>
  <c r="BE144" i="1" s="1"/>
  <c r="D144" i="1"/>
  <c r="CM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H143" i="1"/>
  <c r="AW143" i="1"/>
  <c r="AF143" i="1"/>
  <c r="AD143" i="1"/>
  <c r="W143" i="1"/>
  <c r="BA143" i="1" s="1"/>
  <c r="U143" i="1"/>
  <c r="AY143" i="1" s="1"/>
  <c r="S143" i="1"/>
  <c r="P143" i="1"/>
  <c r="AA143" i="1" s="1"/>
  <c r="BE143" i="1" s="1"/>
  <c r="J143" i="1"/>
  <c r="I143" i="1"/>
  <c r="H143" i="1"/>
  <c r="D143" i="1"/>
  <c r="CM142" i="1"/>
  <c r="CK142" i="1"/>
  <c r="BU142" i="1"/>
  <c r="BT142" i="1"/>
  <c r="BS142" i="1"/>
  <c r="BR142" i="1"/>
  <c r="BQ142" i="1"/>
  <c r="BP142" i="1"/>
  <c r="BO142" i="1"/>
  <c r="BI142" i="1" s="1"/>
  <c r="BN142" i="1"/>
  <c r="BM142" i="1"/>
  <c r="BL142" i="1"/>
  <c r="BK142" i="1"/>
  <c r="BJ142" i="1"/>
  <c r="BG142" i="1"/>
  <c r="BF142" i="1"/>
  <c r="BB142" i="1"/>
  <c r="AY142" i="1"/>
  <c r="AF142" i="1"/>
  <c r="AD142" i="1"/>
  <c r="BH142" i="1" s="1"/>
  <c r="AB142" i="1"/>
  <c r="Z142" i="1"/>
  <c r="BD142" i="1" s="1"/>
  <c r="Y142" i="1"/>
  <c r="BC142" i="1" s="1"/>
  <c r="X142" i="1"/>
  <c r="V142" i="1"/>
  <c r="AZ142" i="1" s="1"/>
  <c r="U142" i="1"/>
  <c r="S142" i="1"/>
  <c r="AW142" i="1" s="1"/>
  <c r="P142" i="1"/>
  <c r="AC142" i="1" s="1"/>
  <c r="J142" i="1"/>
  <c r="I142" i="1"/>
  <c r="H142" i="1"/>
  <c r="AA142" i="1" s="1"/>
  <c r="BE142" i="1" s="1"/>
  <c r="D142" i="1"/>
  <c r="CM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AF141" i="1"/>
  <c r="P141" i="1"/>
  <c r="J141" i="1"/>
  <c r="I141" i="1"/>
  <c r="H141" i="1"/>
  <c r="D141" i="1"/>
  <c r="CM140" i="1"/>
  <c r="CK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F140" i="1"/>
  <c r="BC140" i="1"/>
  <c r="AF140" i="1"/>
  <c r="AD140" i="1"/>
  <c r="BH140" i="1" s="1"/>
  <c r="AB140" i="1"/>
  <c r="AA140" i="1"/>
  <c r="BE140" i="1" s="1"/>
  <c r="Y140" i="1"/>
  <c r="X140" i="1"/>
  <c r="BB140" i="1" s="1"/>
  <c r="V140" i="1"/>
  <c r="AZ140" i="1" s="1"/>
  <c r="U140" i="1"/>
  <c r="AY140" i="1" s="1"/>
  <c r="S140" i="1"/>
  <c r="P140" i="1"/>
  <c r="AC140" i="1" s="1"/>
  <c r="BG140" i="1" s="1"/>
  <c r="I140" i="1"/>
  <c r="J140" i="1" s="1"/>
  <c r="H140" i="1"/>
  <c r="D140" i="1"/>
  <c r="CM139" i="1"/>
  <c r="CK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E139" i="1"/>
  <c r="BC139" i="1"/>
  <c r="AF139" i="1"/>
  <c r="AD139" i="1"/>
  <c r="BH139" i="1" s="1"/>
  <c r="AB139" i="1"/>
  <c r="BF139" i="1" s="1"/>
  <c r="AA139" i="1"/>
  <c r="Y139" i="1"/>
  <c r="X139" i="1"/>
  <c r="BB139" i="1" s="1"/>
  <c r="V139" i="1"/>
  <c r="AZ139" i="1" s="1"/>
  <c r="U139" i="1"/>
  <c r="AY139" i="1" s="1"/>
  <c r="T139" i="1"/>
  <c r="AX139" i="1" s="1"/>
  <c r="S139" i="1"/>
  <c r="AW139" i="1" s="1"/>
  <c r="P139" i="1"/>
  <c r="AC139" i="1" s="1"/>
  <c r="BG139" i="1" s="1"/>
  <c r="J139" i="1"/>
  <c r="I139" i="1"/>
  <c r="H139" i="1"/>
  <c r="Z139" i="1" s="1"/>
  <c r="BD139" i="1" s="1"/>
  <c r="D139" i="1"/>
  <c r="CM138" i="1"/>
  <c r="CK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F138" i="1"/>
  <c r="BE138" i="1"/>
  <c r="AW138" i="1"/>
  <c r="AF138" i="1"/>
  <c r="AD138" i="1"/>
  <c r="BH138" i="1" s="1"/>
  <c r="AB138" i="1"/>
  <c r="AA138" i="1"/>
  <c r="Y138" i="1"/>
  <c r="BC138" i="1" s="1"/>
  <c r="X138" i="1"/>
  <c r="BB138" i="1" s="1"/>
  <c r="V138" i="1"/>
  <c r="AZ138" i="1" s="1"/>
  <c r="U138" i="1"/>
  <c r="AY138" i="1" s="1"/>
  <c r="S138" i="1"/>
  <c r="P138" i="1"/>
  <c r="AC138" i="1" s="1"/>
  <c r="BG138" i="1" s="1"/>
  <c r="J138" i="1"/>
  <c r="I138" i="1"/>
  <c r="H138" i="1"/>
  <c r="D138" i="1"/>
  <c r="CM137" i="1"/>
  <c r="CK137" i="1"/>
  <c r="BU137" i="1"/>
  <c r="BT137" i="1"/>
  <c r="BS137" i="1"/>
  <c r="BR137" i="1"/>
  <c r="BQ137" i="1"/>
  <c r="BP137" i="1"/>
  <c r="BO137" i="1"/>
  <c r="BN137" i="1"/>
  <c r="BM137" i="1"/>
  <c r="BL137" i="1"/>
  <c r="BK137" i="1"/>
  <c r="BI137" i="1" s="1"/>
  <c r="BJ137" i="1"/>
  <c r="BF137" i="1"/>
  <c r="BE137" i="1"/>
  <c r="AW137" i="1"/>
  <c r="AF137" i="1"/>
  <c r="AD137" i="1"/>
  <c r="BH137" i="1" s="1"/>
  <c r="AB137" i="1"/>
  <c r="AA137" i="1"/>
  <c r="Y137" i="1"/>
  <c r="BC137" i="1" s="1"/>
  <c r="X137" i="1"/>
  <c r="BB137" i="1" s="1"/>
  <c r="V137" i="1"/>
  <c r="AZ137" i="1" s="1"/>
  <c r="U137" i="1"/>
  <c r="AY137" i="1" s="1"/>
  <c r="S137" i="1"/>
  <c r="P137" i="1"/>
  <c r="AC137" i="1" s="1"/>
  <c r="BG137" i="1" s="1"/>
  <c r="J137" i="1"/>
  <c r="I137" i="1"/>
  <c r="H137" i="1"/>
  <c r="Z137" i="1" s="1"/>
  <c r="BD137" i="1" s="1"/>
  <c r="D137" i="1"/>
  <c r="CM136" i="1"/>
  <c r="CK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F136" i="1"/>
  <c r="BE136" i="1"/>
  <c r="AW136" i="1"/>
  <c r="AF136" i="1"/>
  <c r="AD136" i="1"/>
  <c r="BH136" i="1" s="1"/>
  <c r="AB136" i="1"/>
  <c r="AA136" i="1"/>
  <c r="Y136" i="1"/>
  <c r="BC136" i="1" s="1"/>
  <c r="X136" i="1"/>
  <c r="BB136" i="1" s="1"/>
  <c r="V136" i="1"/>
  <c r="AZ136" i="1" s="1"/>
  <c r="U136" i="1"/>
  <c r="AY136" i="1" s="1"/>
  <c r="S136" i="1"/>
  <c r="P136" i="1"/>
  <c r="AC136" i="1" s="1"/>
  <c r="BG136" i="1" s="1"/>
  <c r="J136" i="1"/>
  <c r="I136" i="1"/>
  <c r="H136" i="1"/>
  <c r="D136" i="1"/>
  <c r="CM135" i="1"/>
  <c r="CK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AF135" i="1"/>
  <c r="AD135" i="1"/>
  <c r="BH135" i="1" s="1"/>
  <c r="Y135" i="1"/>
  <c r="BC135" i="1" s="1"/>
  <c r="X135" i="1"/>
  <c r="BB135" i="1" s="1"/>
  <c r="V135" i="1"/>
  <c r="AZ135" i="1" s="1"/>
  <c r="U135" i="1"/>
  <c r="AY135" i="1" s="1"/>
  <c r="P135" i="1"/>
  <c r="AC135" i="1" s="1"/>
  <c r="BG135" i="1" s="1"/>
  <c r="J135" i="1"/>
  <c r="I135" i="1"/>
  <c r="H135" i="1"/>
  <c r="Z135" i="1" s="1"/>
  <c r="BD135" i="1" s="1"/>
  <c r="D135" i="1"/>
  <c r="CM134" i="1"/>
  <c r="CK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 s="1"/>
  <c r="AW134" i="1"/>
  <c r="AF134" i="1"/>
  <c r="AA134" i="1"/>
  <c r="BE134" i="1" s="1"/>
  <c r="Y134" i="1"/>
  <c r="BC134" i="1" s="1"/>
  <c r="S134" i="1"/>
  <c r="P134" i="1"/>
  <c r="AD134" i="1" s="1"/>
  <c r="BH134" i="1" s="1"/>
  <c r="J134" i="1"/>
  <c r="I134" i="1"/>
  <c r="H134" i="1"/>
  <c r="D134" i="1"/>
  <c r="CM133" i="1"/>
  <c r="CK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E133" i="1"/>
  <c r="BB133" i="1"/>
  <c r="AF133" i="1"/>
  <c r="AA133" i="1"/>
  <c r="X133" i="1"/>
  <c r="P133" i="1"/>
  <c r="I133" i="1"/>
  <c r="H133" i="1"/>
  <c r="AB133" i="1" s="1"/>
  <c r="BF133" i="1" s="1"/>
  <c r="D133" i="1"/>
  <c r="CM132" i="1"/>
  <c r="CK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 s="1"/>
  <c r="BF132" i="1"/>
  <c r="BE132" i="1"/>
  <c r="AZ132" i="1"/>
  <c r="AY132" i="1"/>
  <c r="AF132" i="1"/>
  <c r="AD132" i="1"/>
  <c r="BH132" i="1" s="1"/>
  <c r="AC132" i="1"/>
  <c r="BG132" i="1" s="1"/>
  <c r="AB132" i="1"/>
  <c r="AA132" i="1"/>
  <c r="Y132" i="1"/>
  <c r="BC132" i="1" s="1"/>
  <c r="W132" i="1"/>
  <c r="BA132" i="1" s="1"/>
  <c r="V132" i="1"/>
  <c r="U132" i="1"/>
  <c r="S132" i="1"/>
  <c r="AW132" i="1" s="1"/>
  <c r="P132" i="1"/>
  <c r="J132" i="1"/>
  <c r="I132" i="1"/>
  <c r="H132" i="1"/>
  <c r="D132" i="1"/>
  <c r="CM131" i="1"/>
  <c r="CK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 s="1"/>
  <c r="AF131" i="1"/>
  <c r="AB131" i="1"/>
  <c r="BF131" i="1" s="1"/>
  <c r="W131" i="1"/>
  <c r="BA131" i="1" s="1"/>
  <c r="P131" i="1"/>
  <c r="AC131" i="1" s="1"/>
  <c r="BG131" i="1" s="1"/>
  <c r="J131" i="1"/>
  <c r="I131" i="1"/>
  <c r="H131" i="1"/>
  <c r="D131" i="1"/>
  <c r="CM130" i="1"/>
  <c r="CK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G130" i="1"/>
  <c r="AF130" i="1"/>
  <c r="Z130" i="1"/>
  <c r="BD130" i="1" s="1"/>
  <c r="Y130" i="1"/>
  <c r="BC130" i="1" s="1"/>
  <c r="S130" i="1"/>
  <c r="AW130" i="1" s="1"/>
  <c r="P130" i="1"/>
  <c r="AC130" i="1" s="1"/>
  <c r="I130" i="1"/>
  <c r="H130" i="1"/>
  <c r="T130" i="1" s="1"/>
  <c r="AX130" i="1" s="1"/>
  <c r="D130" i="1"/>
  <c r="CM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 s="1"/>
  <c r="AF129" i="1"/>
  <c r="AB129" i="1"/>
  <c r="BF129" i="1" s="1"/>
  <c r="AA129" i="1"/>
  <c r="BE129" i="1" s="1"/>
  <c r="W129" i="1"/>
  <c r="BA129" i="1" s="1"/>
  <c r="V129" i="1"/>
  <c r="AZ129" i="1" s="1"/>
  <c r="U129" i="1"/>
  <c r="AY129" i="1" s="1"/>
  <c r="P129" i="1"/>
  <c r="I129" i="1"/>
  <c r="J129" i="1" s="1"/>
  <c r="H129" i="1"/>
  <c r="D129" i="1"/>
  <c r="CM128" i="1"/>
  <c r="CK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 s="1"/>
  <c r="AF128" i="1"/>
  <c r="Y128" i="1"/>
  <c r="BC128" i="1" s="1"/>
  <c r="X128" i="1"/>
  <c r="BB128" i="1" s="1"/>
  <c r="P128" i="1"/>
  <c r="I128" i="1"/>
  <c r="H128" i="1"/>
  <c r="D128" i="1"/>
  <c r="CM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 s="1"/>
  <c r="AF127" i="1"/>
  <c r="AB127" i="1"/>
  <c r="BF127" i="1" s="1"/>
  <c r="V127" i="1"/>
  <c r="AZ127" i="1" s="1"/>
  <c r="U127" i="1"/>
  <c r="AY127" i="1" s="1"/>
  <c r="P127" i="1"/>
  <c r="AA127" i="1" s="1"/>
  <c r="BE127" i="1" s="1"/>
  <c r="J127" i="1"/>
  <c r="I127" i="1"/>
  <c r="H127" i="1"/>
  <c r="D127" i="1"/>
  <c r="CM126" i="1"/>
  <c r="CK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AF126" i="1"/>
  <c r="AD126" i="1"/>
  <c r="BH126" i="1" s="1"/>
  <c r="Z126" i="1"/>
  <c r="BD126" i="1" s="1"/>
  <c r="Y126" i="1"/>
  <c r="BC126" i="1" s="1"/>
  <c r="S126" i="1"/>
  <c r="AW126" i="1" s="1"/>
  <c r="P126" i="1"/>
  <c r="AC126" i="1" s="1"/>
  <c r="BG126" i="1" s="1"/>
  <c r="I126" i="1"/>
  <c r="H126" i="1"/>
  <c r="J126" i="1" s="1"/>
  <c r="D126" i="1"/>
  <c r="CM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 s="1"/>
  <c r="AF125" i="1"/>
  <c r="AB125" i="1"/>
  <c r="BF125" i="1" s="1"/>
  <c r="AA125" i="1"/>
  <c r="BE125" i="1" s="1"/>
  <c r="W125" i="1"/>
  <c r="BA125" i="1" s="1"/>
  <c r="V125" i="1"/>
  <c r="AZ125" i="1" s="1"/>
  <c r="U125" i="1"/>
  <c r="AY125" i="1" s="1"/>
  <c r="P125" i="1"/>
  <c r="I125" i="1"/>
  <c r="J125" i="1" s="1"/>
  <c r="H125" i="1"/>
  <c r="D125" i="1"/>
  <c r="CM124" i="1"/>
  <c r="CK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AF124" i="1"/>
  <c r="Y124" i="1"/>
  <c r="BC124" i="1" s="1"/>
  <c r="X124" i="1"/>
  <c r="BB124" i="1" s="1"/>
  <c r="T124" i="1"/>
  <c r="AX124" i="1" s="1"/>
  <c r="P124" i="1"/>
  <c r="I124" i="1"/>
  <c r="H124" i="1"/>
  <c r="D124" i="1"/>
  <c r="CM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AF123" i="1"/>
  <c r="AB123" i="1"/>
  <c r="BF123" i="1" s="1"/>
  <c r="V123" i="1"/>
  <c r="AZ123" i="1" s="1"/>
  <c r="U123" i="1"/>
  <c r="AY123" i="1" s="1"/>
  <c r="P123" i="1"/>
  <c r="AA123" i="1" s="1"/>
  <c r="BE123" i="1" s="1"/>
  <c r="J123" i="1"/>
  <c r="I123" i="1"/>
  <c r="H123" i="1"/>
  <c r="D123" i="1"/>
  <c r="CM122" i="1"/>
  <c r="CK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AF122" i="1"/>
  <c r="AD122" i="1"/>
  <c r="BH122" i="1" s="1"/>
  <c r="Z122" i="1"/>
  <c r="BD122" i="1" s="1"/>
  <c r="Y122" i="1"/>
  <c r="BC122" i="1" s="1"/>
  <c r="S122" i="1"/>
  <c r="AW122" i="1" s="1"/>
  <c r="P122" i="1"/>
  <c r="AC122" i="1" s="1"/>
  <c r="BG122" i="1" s="1"/>
  <c r="I122" i="1"/>
  <c r="H122" i="1"/>
  <c r="J122" i="1" s="1"/>
  <c r="D122" i="1"/>
  <c r="CM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 s="1"/>
  <c r="AF121" i="1"/>
  <c r="AB121" i="1"/>
  <c r="BF121" i="1" s="1"/>
  <c r="AA121" i="1"/>
  <c r="BE121" i="1" s="1"/>
  <c r="W121" i="1"/>
  <c r="BA121" i="1" s="1"/>
  <c r="V121" i="1"/>
  <c r="AZ121" i="1" s="1"/>
  <c r="U121" i="1"/>
  <c r="AY121" i="1" s="1"/>
  <c r="P121" i="1"/>
  <c r="I121" i="1"/>
  <c r="J121" i="1" s="1"/>
  <c r="H121" i="1"/>
  <c r="D121" i="1"/>
  <c r="CM120" i="1"/>
  <c r="CK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 s="1"/>
  <c r="AF120" i="1"/>
  <c r="P120" i="1"/>
  <c r="I120" i="1"/>
  <c r="H120" i="1"/>
  <c r="D120" i="1"/>
  <c r="CM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AF119" i="1"/>
  <c r="P119" i="1"/>
  <c r="J119" i="1"/>
  <c r="I119" i="1"/>
  <c r="H119" i="1"/>
  <c r="D119" i="1"/>
  <c r="CM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AF118" i="1"/>
  <c r="P118" i="1"/>
  <c r="I118" i="1"/>
  <c r="H118" i="1"/>
  <c r="J118" i="1" s="1"/>
  <c r="D118" i="1"/>
  <c r="CM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AF117" i="1"/>
  <c r="P117" i="1"/>
  <c r="J117" i="1"/>
  <c r="I117" i="1"/>
  <c r="H117" i="1"/>
  <c r="D117" i="1"/>
  <c r="CM116" i="1"/>
  <c r="CK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AF116" i="1"/>
  <c r="P116" i="1"/>
  <c r="I116" i="1"/>
  <c r="H116" i="1"/>
  <c r="J116" i="1" s="1"/>
  <c r="D116" i="1"/>
  <c r="CM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 s="1"/>
  <c r="AF115" i="1"/>
  <c r="AA115" i="1"/>
  <c r="BE115" i="1" s="1"/>
  <c r="P115" i="1"/>
  <c r="J115" i="1"/>
  <c r="I115" i="1"/>
  <c r="H115" i="1"/>
  <c r="D115" i="1"/>
  <c r="CM114" i="1"/>
  <c r="CK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AF114" i="1"/>
  <c r="Z114" i="1"/>
  <c r="BD114" i="1" s="1"/>
  <c r="Y114" i="1"/>
  <c r="BC114" i="1" s="1"/>
  <c r="P114" i="1"/>
  <c r="I114" i="1"/>
  <c r="H114" i="1"/>
  <c r="J114" i="1" s="1"/>
  <c r="D114" i="1"/>
  <c r="CM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 s="1"/>
  <c r="AF113" i="1"/>
  <c r="Z113" i="1"/>
  <c r="BD113" i="1" s="1"/>
  <c r="P113" i="1"/>
  <c r="J113" i="1"/>
  <c r="I113" i="1"/>
  <c r="H113" i="1"/>
  <c r="D113" i="1"/>
  <c r="CM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AF112" i="1"/>
  <c r="P112" i="1"/>
  <c r="I112" i="1"/>
  <c r="H112" i="1"/>
  <c r="J112" i="1" s="1"/>
  <c r="D112" i="1"/>
  <c r="CM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AF111" i="1"/>
  <c r="P111" i="1"/>
  <c r="J111" i="1"/>
  <c r="I111" i="1"/>
  <c r="H111" i="1"/>
  <c r="D111" i="1"/>
  <c r="CM110" i="1"/>
  <c r="CK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AF110" i="1"/>
  <c r="P110" i="1"/>
  <c r="I110" i="1"/>
  <c r="H110" i="1"/>
  <c r="J110" i="1" s="1"/>
  <c r="D110" i="1"/>
  <c r="CM109" i="1"/>
  <c r="BU109" i="1"/>
  <c r="BT109" i="1"/>
  <c r="BS109" i="1"/>
  <c r="BR109" i="1"/>
  <c r="BQ109" i="1"/>
  <c r="BP109" i="1"/>
  <c r="BO109" i="1"/>
  <c r="BN109" i="1"/>
  <c r="BM109" i="1"/>
  <c r="BI109" i="1" s="1"/>
  <c r="BL109" i="1"/>
  <c r="BK109" i="1"/>
  <c r="BJ109" i="1"/>
  <c r="AF109" i="1"/>
  <c r="AA109" i="1"/>
  <c r="BE109" i="1" s="1"/>
  <c r="P109" i="1"/>
  <c r="J109" i="1"/>
  <c r="I109" i="1"/>
  <c r="H109" i="1"/>
  <c r="D109" i="1"/>
  <c r="CM108" i="1"/>
  <c r="CK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D108" i="1"/>
  <c r="AX108" i="1"/>
  <c r="AF108" i="1"/>
  <c r="Z108" i="1"/>
  <c r="T108" i="1"/>
  <c r="S108" i="1"/>
  <c r="P108" i="1"/>
  <c r="AD108" i="1" s="1"/>
  <c r="BH108" i="1" s="1"/>
  <c r="I108" i="1"/>
  <c r="H108" i="1"/>
  <c r="D108" i="1"/>
  <c r="CM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F107" i="1"/>
  <c r="AZ107" i="1"/>
  <c r="AF107" i="1"/>
  <c r="AB107" i="1"/>
  <c r="V107" i="1"/>
  <c r="U107" i="1"/>
  <c r="AY107" i="1" s="1"/>
  <c r="P107" i="1"/>
  <c r="W107" i="1" s="1"/>
  <c r="BA107" i="1" s="1"/>
  <c r="I107" i="1"/>
  <c r="H107" i="1"/>
  <c r="D107" i="1"/>
  <c r="CM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AF106" i="1"/>
  <c r="P106" i="1"/>
  <c r="J106" i="1"/>
  <c r="I106" i="1"/>
  <c r="H106" i="1"/>
  <c r="D106" i="1"/>
  <c r="CM105" i="1"/>
  <c r="CK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AF105" i="1"/>
  <c r="Z105" i="1"/>
  <c r="BD105" i="1" s="1"/>
  <c r="Y105" i="1"/>
  <c r="BC105" i="1" s="1"/>
  <c r="S105" i="1"/>
  <c r="P105" i="1"/>
  <c r="J105" i="1"/>
  <c r="I105" i="1"/>
  <c r="H105" i="1"/>
  <c r="D105" i="1"/>
  <c r="CM104" i="1"/>
  <c r="CK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 s="1"/>
  <c r="AF104" i="1"/>
  <c r="AB104" i="1"/>
  <c r="BF104" i="1" s="1"/>
  <c r="P104" i="1"/>
  <c r="I104" i="1"/>
  <c r="H104" i="1"/>
  <c r="D104" i="1"/>
  <c r="CM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 s="1"/>
  <c r="AF103" i="1"/>
  <c r="AC103" i="1"/>
  <c r="BG103" i="1" s="1"/>
  <c r="P103" i="1"/>
  <c r="I103" i="1"/>
  <c r="J103" i="1" s="1"/>
  <c r="H103" i="1"/>
  <c r="D103" i="1"/>
  <c r="CM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AF102" i="1"/>
  <c r="AD102" i="1"/>
  <c r="BH102" i="1" s="1"/>
  <c r="P102" i="1"/>
  <c r="J102" i="1"/>
  <c r="I102" i="1"/>
  <c r="H102" i="1"/>
  <c r="D102" i="1"/>
  <c r="CM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 s="1"/>
  <c r="AF101" i="1"/>
  <c r="P101" i="1"/>
  <c r="J101" i="1"/>
  <c r="I101" i="1"/>
  <c r="H101" i="1"/>
  <c r="D101" i="1"/>
  <c r="CM100" i="1"/>
  <c r="CK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 s="1"/>
  <c r="BD100" i="1"/>
  <c r="AF100" i="1"/>
  <c r="Z100" i="1"/>
  <c r="T100" i="1"/>
  <c r="AX100" i="1" s="1"/>
  <c r="S100" i="1"/>
  <c r="AW100" i="1" s="1"/>
  <c r="P100" i="1"/>
  <c r="I100" i="1"/>
  <c r="H100" i="1"/>
  <c r="D100" i="1"/>
  <c r="CM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 s="1"/>
  <c r="BF99" i="1"/>
  <c r="AF99" i="1"/>
  <c r="AB99" i="1"/>
  <c r="V99" i="1"/>
  <c r="AZ99" i="1" s="1"/>
  <c r="P99" i="1"/>
  <c r="I99" i="1"/>
  <c r="H99" i="1"/>
  <c r="D99" i="1"/>
  <c r="CM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AF98" i="1"/>
  <c r="AD98" i="1"/>
  <c r="BH98" i="1" s="1"/>
  <c r="X98" i="1"/>
  <c r="BB98" i="1" s="1"/>
  <c r="W98" i="1"/>
  <c r="BA98" i="1" s="1"/>
  <c r="P98" i="1"/>
  <c r="J98" i="1"/>
  <c r="I98" i="1"/>
  <c r="H98" i="1"/>
  <c r="D98" i="1"/>
  <c r="CM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 s="1"/>
  <c r="AF97" i="1"/>
  <c r="Z97" i="1"/>
  <c r="BD97" i="1" s="1"/>
  <c r="P97" i="1"/>
  <c r="J97" i="1"/>
  <c r="I97" i="1"/>
  <c r="H97" i="1"/>
  <c r="D97" i="1"/>
  <c r="CM96" i="1"/>
  <c r="CK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D96" i="1"/>
  <c r="AX96" i="1"/>
  <c r="AW96" i="1"/>
  <c r="AF96" i="1"/>
  <c r="Z96" i="1"/>
  <c r="T96" i="1"/>
  <c r="S96" i="1"/>
  <c r="P96" i="1"/>
  <c r="AD96" i="1" s="1"/>
  <c r="BH96" i="1" s="1"/>
  <c r="I96" i="1"/>
  <c r="H96" i="1"/>
  <c r="D96" i="1"/>
  <c r="CM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AZ95" i="1"/>
  <c r="AF95" i="1"/>
  <c r="AA95" i="1"/>
  <c r="BE95" i="1" s="1"/>
  <c r="V95" i="1"/>
  <c r="U95" i="1"/>
  <c r="AY95" i="1" s="1"/>
  <c r="P95" i="1"/>
  <c r="I95" i="1"/>
  <c r="H95" i="1"/>
  <c r="D95" i="1"/>
  <c r="CM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AF94" i="1"/>
  <c r="W94" i="1"/>
  <c r="BA94" i="1" s="1"/>
  <c r="P94" i="1"/>
  <c r="J94" i="1"/>
  <c r="I94" i="1"/>
  <c r="H94" i="1"/>
  <c r="D94" i="1"/>
  <c r="CM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C93" i="1"/>
  <c r="AF93" i="1"/>
  <c r="Z93" i="1"/>
  <c r="BD93" i="1" s="1"/>
  <c r="Y93" i="1"/>
  <c r="P93" i="1"/>
  <c r="J93" i="1"/>
  <c r="I93" i="1"/>
  <c r="H93" i="1"/>
  <c r="D93" i="1"/>
  <c r="CM92" i="1"/>
  <c r="CK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AF92" i="1"/>
  <c r="Y92" i="1"/>
  <c r="BC92" i="1" s="1"/>
  <c r="T92" i="1"/>
  <c r="AX92" i="1" s="1"/>
  <c r="S92" i="1"/>
  <c r="P92" i="1"/>
  <c r="AC92" i="1" s="1"/>
  <c r="BG92" i="1" s="1"/>
  <c r="I92" i="1"/>
  <c r="H92" i="1"/>
  <c r="D92" i="1"/>
  <c r="CM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AF91" i="1"/>
  <c r="AC91" i="1"/>
  <c r="BG91" i="1" s="1"/>
  <c r="AB91" i="1"/>
  <c r="BF91" i="1" s="1"/>
  <c r="W91" i="1"/>
  <c r="BA91" i="1" s="1"/>
  <c r="P91" i="1"/>
  <c r="J91" i="1"/>
  <c r="I91" i="1"/>
  <c r="H91" i="1"/>
  <c r="D91" i="1"/>
  <c r="CM90" i="1"/>
  <c r="CK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AF90" i="1"/>
  <c r="Y90" i="1"/>
  <c r="BC90" i="1" s="1"/>
  <c r="T90" i="1"/>
  <c r="AX90" i="1" s="1"/>
  <c r="S90" i="1"/>
  <c r="P90" i="1"/>
  <c r="AC90" i="1" s="1"/>
  <c r="BG90" i="1" s="1"/>
  <c r="I90" i="1"/>
  <c r="H90" i="1"/>
  <c r="D90" i="1"/>
  <c r="CM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AF89" i="1"/>
  <c r="AC89" i="1"/>
  <c r="BG89" i="1" s="1"/>
  <c r="AB89" i="1"/>
  <c r="BF89" i="1" s="1"/>
  <c r="W89" i="1"/>
  <c r="BA89" i="1" s="1"/>
  <c r="P89" i="1"/>
  <c r="J89" i="1"/>
  <c r="I89" i="1"/>
  <c r="H89" i="1"/>
  <c r="D89" i="1"/>
  <c r="CM88" i="1"/>
  <c r="CK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AF88" i="1"/>
  <c r="Y88" i="1"/>
  <c r="BC88" i="1" s="1"/>
  <c r="T88" i="1"/>
  <c r="AX88" i="1" s="1"/>
  <c r="S88" i="1"/>
  <c r="P88" i="1"/>
  <c r="AC88" i="1" s="1"/>
  <c r="BG88" i="1" s="1"/>
  <c r="I88" i="1"/>
  <c r="H88" i="1"/>
  <c r="D88" i="1"/>
  <c r="CM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AF87" i="1"/>
  <c r="AC87" i="1"/>
  <c r="BG87" i="1" s="1"/>
  <c r="AB87" i="1"/>
  <c r="BF87" i="1" s="1"/>
  <c r="W87" i="1"/>
  <c r="BA87" i="1" s="1"/>
  <c r="P87" i="1"/>
  <c r="J87" i="1"/>
  <c r="I87" i="1"/>
  <c r="H87" i="1"/>
  <c r="D87" i="1"/>
  <c r="CM86" i="1"/>
  <c r="CK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AF86" i="1"/>
  <c r="Y86" i="1"/>
  <c r="BC86" i="1" s="1"/>
  <c r="T86" i="1"/>
  <c r="AX86" i="1" s="1"/>
  <c r="S86" i="1"/>
  <c r="P86" i="1"/>
  <c r="AC86" i="1" s="1"/>
  <c r="BG86" i="1" s="1"/>
  <c r="I86" i="1"/>
  <c r="H86" i="1"/>
  <c r="D86" i="1"/>
  <c r="CM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AF85" i="1"/>
  <c r="AC85" i="1"/>
  <c r="BG85" i="1" s="1"/>
  <c r="AB85" i="1"/>
  <c r="BF85" i="1" s="1"/>
  <c r="W85" i="1"/>
  <c r="BA85" i="1" s="1"/>
  <c r="P85" i="1"/>
  <c r="J85" i="1"/>
  <c r="I85" i="1"/>
  <c r="H85" i="1"/>
  <c r="D85" i="1"/>
  <c r="CM84" i="1"/>
  <c r="CK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AF84" i="1"/>
  <c r="Y84" i="1"/>
  <c r="BC84" i="1" s="1"/>
  <c r="T84" i="1"/>
  <c r="AX84" i="1" s="1"/>
  <c r="S84" i="1"/>
  <c r="P84" i="1"/>
  <c r="AC84" i="1" s="1"/>
  <c r="BG84" i="1" s="1"/>
  <c r="I84" i="1"/>
  <c r="H84" i="1"/>
  <c r="D84" i="1"/>
  <c r="CM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AF83" i="1"/>
  <c r="AC83" i="1"/>
  <c r="BG83" i="1" s="1"/>
  <c r="AB83" i="1"/>
  <c r="BF83" i="1" s="1"/>
  <c r="W83" i="1"/>
  <c r="BA83" i="1" s="1"/>
  <c r="P83" i="1"/>
  <c r="J83" i="1"/>
  <c r="I83" i="1"/>
  <c r="H83" i="1"/>
  <c r="D83" i="1"/>
  <c r="CM82" i="1"/>
  <c r="CK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AF82" i="1"/>
  <c r="Y82" i="1"/>
  <c r="BC82" i="1" s="1"/>
  <c r="T82" i="1"/>
  <c r="AX82" i="1" s="1"/>
  <c r="S82" i="1"/>
  <c r="P82" i="1"/>
  <c r="AC82" i="1" s="1"/>
  <c r="BG82" i="1" s="1"/>
  <c r="I82" i="1"/>
  <c r="H82" i="1"/>
  <c r="D82" i="1"/>
  <c r="CM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AF81" i="1"/>
  <c r="AC81" i="1"/>
  <c r="BG81" i="1" s="1"/>
  <c r="AB81" i="1"/>
  <c r="BF81" i="1" s="1"/>
  <c r="W81" i="1"/>
  <c r="BA81" i="1" s="1"/>
  <c r="P81" i="1"/>
  <c r="J81" i="1"/>
  <c r="I81" i="1"/>
  <c r="H81" i="1"/>
  <c r="D81" i="1"/>
  <c r="CM80" i="1"/>
  <c r="CK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AF80" i="1"/>
  <c r="Y80" i="1"/>
  <c r="BC80" i="1" s="1"/>
  <c r="T80" i="1"/>
  <c r="AX80" i="1" s="1"/>
  <c r="S80" i="1"/>
  <c r="P80" i="1"/>
  <c r="AC80" i="1" s="1"/>
  <c r="BG80" i="1" s="1"/>
  <c r="I80" i="1"/>
  <c r="H80" i="1"/>
  <c r="D80" i="1"/>
  <c r="CM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AF79" i="1"/>
  <c r="AC79" i="1"/>
  <c r="BG79" i="1" s="1"/>
  <c r="AB79" i="1"/>
  <c r="BF79" i="1" s="1"/>
  <c r="W79" i="1"/>
  <c r="BA79" i="1" s="1"/>
  <c r="P79" i="1"/>
  <c r="J79" i="1"/>
  <c r="I79" i="1"/>
  <c r="H79" i="1"/>
  <c r="D79" i="1"/>
  <c r="CM78" i="1"/>
  <c r="CK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AF78" i="1"/>
  <c r="Y78" i="1"/>
  <c r="BC78" i="1" s="1"/>
  <c r="T78" i="1"/>
  <c r="AX78" i="1" s="1"/>
  <c r="S78" i="1"/>
  <c r="P78" i="1"/>
  <c r="AC78" i="1" s="1"/>
  <c r="BG78" i="1" s="1"/>
  <c r="I78" i="1"/>
  <c r="H78" i="1"/>
  <c r="D78" i="1"/>
  <c r="CM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 s="1"/>
  <c r="AF77" i="1"/>
  <c r="AB77" i="1"/>
  <c r="BF77" i="1" s="1"/>
  <c r="AA77" i="1"/>
  <c r="BE77" i="1" s="1"/>
  <c r="W77" i="1"/>
  <c r="BA77" i="1" s="1"/>
  <c r="P77" i="1"/>
  <c r="I77" i="1"/>
  <c r="J77" i="1" s="1"/>
  <c r="H77" i="1"/>
  <c r="D77" i="1"/>
  <c r="CM76" i="1"/>
  <c r="CK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 s="1"/>
  <c r="AF76" i="1"/>
  <c r="X76" i="1"/>
  <c r="BB76" i="1" s="1"/>
  <c r="T76" i="1"/>
  <c r="AX76" i="1" s="1"/>
  <c r="P76" i="1"/>
  <c r="I76" i="1"/>
  <c r="H76" i="1"/>
  <c r="D76" i="1"/>
  <c r="CM75" i="1"/>
  <c r="BU75" i="1"/>
  <c r="BT75" i="1"/>
  <c r="BS75" i="1"/>
  <c r="BR75" i="1"/>
  <c r="BQ75" i="1"/>
  <c r="BP75" i="1"/>
  <c r="BO75" i="1"/>
  <c r="BN75" i="1"/>
  <c r="BI75" i="1" s="1"/>
  <c r="BM75" i="1"/>
  <c r="BL75" i="1"/>
  <c r="BK75" i="1"/>
  <c r="BJ75" i="1"/>
  <c r="AF75" i="1"/>
  <c r="P75" i="1"/>
  <c r="I75" i="1"/>
  <c r="J75" i="1" s="1"/>
  <c r="H75" i="1"/>
  <c r="D75" i="1"/>
  <c r="CM74" i="1"/>
  <c r="CK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AF74" i="1"/>
  <c r="AD74" i="1"/>
  <c r="BH74" i="1" s="1"/>
  <c r="Z74" i="1"/>
  <c r="BD74" i="1" s="1"/>
  <c r="T74" i="1"/>
  <c r="AX74" i="1" s="1"/>
  <c r="S74" i="1"/>
  <c r="AW74" i="1" s="1"/>
  <c r="P74" i="1"/>
  <c r="AC74" i="1" s="1"/>
  <c r="BG74" i="1" s="1"/>
  <c r="I74" i="1"/>
  <c r="H74" i="1"/>
  <c r="Y74" i="1" s="1"/>
  <c r="BC74" i="1" s="1"/>
  <c r="D74" i="1"/>
  <c r="CM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 s="1"/>
  <c r="AF73" i="1"/>
  <c r="AB73" i="1"/>
  <c r="BF73" i="1" s="1"/>
  <c r="AA73" i="1"/>
  <c r="BE73" i="1" s="1"/>
  <c r="W73" i="1"/>
  <c r="BA73" i="1" s="1"/>
  <c r="P73" i="1"/>
  <c r="I73" i="1"/>
  <c r="J73" i="1" s="1"/>
  <c r="H73" i="1"/>
  <c r="D73" i="1"/>
  <c r="CM72" i="1"/>
  <c r="CK72" i="1"/>
  <c r="BU72" i="1"/>
  <c r="BT72" i="1"/>
  <c r="BS72" i="1"/>
  <c r="BR72" i="1"/>
  <c r="BQ72" i="1"/>
  <c r="BP72" i="1"/>
  <c r="BO72" i="1"/>
  <c r="BN72" i="1"/>
  <c r="BM72" i="1"/>
  <c r="BL72" i="1"/>
  <c r="BK72" i="1"/>
  <c r="BI72" i="1" s="1"/>
  <c r="BJ72" i="1"/>
  <c r="BF72" i="1"/>
  <c r="AF72" i="1"/>
  <c r="AB72" i="1"/>
  <c r="Y72" i="1"/>
  <c r="BC72" i="1" s="1"/>
  <c r="X72" i="1"/>
  <c r="BB72" i="1" s="1"/>
  <c r="P72" i="1"/>
  <c r="I72" i="1"/>
  <c r="H72" i="1"/>
  <c r="D72" i="1"/>
  <c r="CM71" i="1"/>
  <c r="BU71" i="1"/>
  <c r="BT71" i="1"/>
  <c r="BS71" i="1"/>
  <c r="BR71" i="1"/>
  <c r="BQ71" i="1"/>
  <c r="BP71" i="1"/>
  <c r="BO71" i="1"/>
  <c r="BN71" i="1"/>
  <c r="BI71" i="1" s="1"/>
  <c r="BM71" i="1"/>
  <c r="BL71" i="1"/>
  <c r="BK71" i="1"/>
  <c r="BJ71" i="1"/>
  <c r="AF71" i="1"/>
  <c r="AB71" i="1"/>
  <c r="BF71" i="1" s="1"/>
  <c r="AA71" i="1"/>
  <c r="BE71" i="1" s="1"/>
  <c r="W71" i="1"/>
  <c r="BA71" i="1" s="1"/>
  <c r="V71" i="1"/>
  <c r="AZ71" i="1" s="1"/>
  <c r="U71" i="1"/>
  <c r="AY71" i="1" s="1"/>
  <c r="P71" i="1"/>
  <c r="I71" i="1"/>
  <c r="J71" i="1" s="1"/>
  <c r="H71" i="1"/>
  <c r="D71" i="1"/>
  <c r="CM70" i="1"/>
  <c r="CK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AF70" i="1"/>
  <c r="AD70" i="1"/>
  <c r="BH70" i="1" s="1"/>
  <c r="T70" i="1"/>
  <c r="AX70" i="1" s="1"/>
  <c r="S70" i="1"/>
  <c r="AW70" i="1" s="1"/>
  <c r="P70" i="1"/>
  <c r="I70" i="1"/>
  <c r="H70" i="1"/>
  <c r="D70" i="1"/>
  <c r="CM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 s="1"/>
  <c r="AF69" i="1"/>
  <c r="AB69" i="1"/>
  <c r="BF69" i="1" s="1"/>
  <c r="AA69" i="1"/>
  <c r="BE69" i="1" s="1"/>
  <c r="P69" i="1"/>
  <c r="I69" i="1"/>
  <c r="J69" i="1" s="1"/>
  <c r="H69" i="1"/>
  <c r="D69" i="1"/>
  <c r="CM68" i="1"/>
  <c r="CK68" i="1"/>
  <c r="BU68" i="1"/>
  <c r="BT68" i="1"/>
  <c r="BS68" i="1"/>
  <c r="BR68" i="1"/>
  <c r="BQ68" i="1"/>
  <c r="BP68" i="1"/>
  <c r="BO68" i="1"/>
  <c r="BN68" i="1"/>
  <c r="BM68" i="1"/>
  <c r="BL68" i="1"/>
  <c r="BK68" i="1"/>
  <c r="BI68" i="1" s="1"/>
  <c r="BJ68" i="1"/>
  <c r="AZ68" i="1"/>
  <c r="AF68" i="1"/>
  <c r="AD68" i="1"/>
  <c r="BH68" i="1" s="1"/>
  <c r="Z68" i="1"/>
  <c r="BD68" i="1" s="1"/>
  <c r="Y68" i="1"/>
  <c r="BC68" i="1" s="1"/>
  <c r="X68" i="1"/>
  <c r="BB68" i="1" s="1"/>
  <c r="V68" i="1"/>
  <c r="T68" i="1"/>
  <c r="AX68" i="1" s="1"/>
  <c r="S68" i="1"/>
  <c r="AW68" i="1" s="1"/>
  <c r="P68" i="1"/>
  <c r="AC68" i="1" s="1"/>
  <c r="BG68" i="1" s="1"/>
  <c r="I68" i="1"/>
  <c r="H68" i="1"/>
  <c r="D68" i="1"/>
  <c r="CM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AF67" i="1"/>
  <c r="AB67" i="1"/>
  <c r="BF67" i="1" s="1"/>
  <c r="AA67" i="1"/>
  <c r="BE67" i="1" s="1"/>
  <c r="W67" i="1"/>
  <c r="BA67" i="1" s="1"/>
  <c r="V67" i="1"/>
  <c r="AZ67" i="1" s="1"/>
  <c r="P67" i="1"/>
  <c r="I67" i="1"/>
  <c r="J67" i="1" s="1"/>
  <c r="H67" i="1"/>
  <c r="D67" i="1"/>
  <c r="CM66" i="1"/>
  <c r="CK66" i="1"/>
  <c r="BU66" i="1"/>
  <c r="BT66" i="1"/>
  <c r="BS66" i="1"/>
  <c r="BR66" i="1"/>
  <c r="BQ66" i="1"/>
  <c r="BP66" i="1"/>
  <c r="BO66" i="1"/>
  <c r="BN66" i="1"/>
  <c r="BM66" i="1"/>
  <c r="BL66" i="1"/>
  <c r="BK66" i="1"/>
  <c r="BI66" i="1" s="1"/>
  <c r="BJ66" i="1"/>
  <c r="AF66" i="1"/>
  <c r="T66" i="1"/>
  <c r="AX66" i="1" s="1"/>
  <c r="S66" i="1"/>
  <c r="P66" i="1"/>
  <c r="I66" i="1"/>
  <c r="H66" i="1"/>
  <c r="D66" i="1"/>
  <c r="CM65" i="1"/>
  <c r="BU65" i="1"/>
  <c r="BT65" i="1"/>
  <c r="BS65" i="1"/>
  <c r="BR65" i="1"/>
  <c r="BQ65" i="1"/>
  <c r="BP65" i="1"/>
  <c r="BO65" i="1"/>
  <c r="BN65" i="1"/>
  <c r="BI65" i="1" s="1"/>
  <c r="BM65" i="1"/>
  <c r="BL65" i="1"/>
  <c r="BK65" i="1"/>
  <c r="BJ65" i="1"/>
  <c r="AF65" i="1"/>
  <c r="P65" i="1"/>
  <c r="AC65" i="1" s="1"/>
  <c r="BG65" i="1" s="1"/>
  <c r="J65" i="1"/>
  <c r="I65" i="1"/>
  <c r="H65" i="1"/>
  <c r="D65" i="1"/>
  <c r="CM64" i="1"/>
  <c r="CK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F64" i="1"/>
  <c r="AF64" i="1"/>
  <c r="AD64" i="1"/>
  <c r="BH64" i="1" s="1"/>
  <c r="AB64" i="1"/>
  <c r="Z64" i="1"/>
  <c r="BD64" i="1" s="1"/>
  <c r="T64" i="1"/>
  <c r="AX64" i="1" s="1"/>
  <c r="S64" i="1"/>
  <c r="AW64" i="1" s="1"/>
  <c r="P64" i="1"/>
  <c r="AC64" i="1" s="1"/>
  <c r="BG64" i="1" s="1"/>
  <c r="I64" i="1"/>
  <c r="H64" i="1"/>
  <c r="D64" i="1"/>
  <c r="CM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AF63" i="1"/>
  <c r="AB63" i="1"/>
  <c r="BF63" i="1" s="1"/>
  <c r="AA63" i="1"/>
  <c r="BE63" i="1" s="1"/>
  <c r="W63" i="1"/>
  <c r="BA63" i="1" s="1"/>
  <c r="P63" i="1"/>
  <c r="I63" i="1"/>
  <c r="J63" i="1" s="1"/>
  <c r="H63" i="1"/>
  <c r="D63" i="1"/>
  <c r="CM62" i="1"/>
  <c r="CK62" i="1"/>
  <c r="BU62" i="1"/>
  <c r="BT62" i="1"/>
  <c r="BS62" i="1"/>
  <c r="BR62" i="1"/>
  <c r="BQ62" i="1"/>
  <c r="BP62" i="1"/>
  <c r="BO62" i="1"/>
  <c r="BN62" i="1"/>
  <c r="BM62" i="1"/>
  <c r="BL62" i="1"/>
  <c r="BK62" i="1"/>
  <c r="BI62" i="1" s="1"/>
  <c r="BJ62" i="1"/>
  <c r="AF62" i="1"/>
  <c r="X62" i="1"/>
  <c r="BB62" i="1" s="1"/>
  <c r="T62" i="1"/>
  <c r="AX62" i="1" s="1"/>
  <c r="P62" i="1"/>
  <c r="I62" i="1"/>
  <c r="H62" i="1"/>
  <c r="D62" i="1"/>
  <c r="CM61" i="1"/>
  <c r="BU61" i="1"/>
  <c r="BT61" i="1"/>
  <c r="BS61" i="1"/>
  <c r="BR61" i="1"/>
  <c r="BQ61" i="1"/>
  <c r="BP61" i="1"/>
  <c r="BO61" i="1"/>
  <c r="BN61" i="1"/>
  <c r="BI61" i="1" s="1"/>
  <c r="BM61" i="1"/>
  <c r="BL61" i="1"/>
  <c r="BK61" i="1"/>
  <c r="BJ61" i="1"/>
  <c r="AF61" i="1"/>
  <c r="AC61" i="1"/>
  <c r="BG61" i="1" s="1"/>
  <c r="U61" i="1"/>
  <c r="AY61" i="1" s="1"/>
  <c r="P61" i="1"/>
  <c r="I61" i="1"/>
  <c r="J61" i="1" s="1"/>
  <c r="H61" i="1"/>
  <c r="D61" i="1"/>
  <c r="CM60" i="1"/>
  <c r="CK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AF60" i="1"/>
  <c r="AD60" i="1"/>
  <c r="BH60" i="1" s="1"/>
  <c r="Z60" i="1"/>
  <c r="BD60" i="1" s="1"/>
  <c r="T60" i="1"/>
  <c r="AX60" i="1" s="1"/>
  <c r="S60" i="1"/>
  <c r="AW60" i="1" s="1"/>
  <c r="P60" i="1"/>
  <c r="AC60" i="1" s="1"/>
  <c r="BG60" i="1" s="1"/>
  <c r="I60" i="1"/>
  <c r="H60" i="1"/>
  <c r="D60" i="1"/>
  <c r="CM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 s="1"/>
  <c r="AF59" i="1"/>
  <c r="AB59" i="1"/>
  <c r="BF59" i="1" s="1"/>
  <c r="AA59" i="1"/>
  <c r="BE59" i="1" s="1"/>
  <c r="W59" i="1"/>
  <c r="BA59" i="1" s="1"/>
  <c r="P59" i="1"/>
  <c r="I59" i="1"/>
  <c r="J59" i="1" s="1"/>
  <c r="H59" i="1"/>
  <c r="D59" i="1"/>
  <c r="CM58" i="1"/>
  <c r="CK58" i="1"/>
  <c r="BU58" i="1"/>
  <c r="BT58" i="1"/>
  <c r="BS58" i="1"/>
  <c r="BR58" i="1"/>
  <c r="BQ58" i="1"/>
  <c r="BP58" i="1"/>
  <c r="BO58" i="1"/>
  <c r="BN58" i="1"/>
  <c r="BM58" i="1"/>
  <c r="BL58" i="1"/>
  <c r="BK58" i="1"/>
  <c r="BI58" i="1" s="1"/>
  <c r="BJ58" i="1"/>
  <c r="BF58" i="1"/>
  <c r="AF58" i="1"/>
  <c r="AB58" i="1"/>
  <c r="Y58" i="1"/>
  <c r="BC58" i="1" s="1"/>
  <c r="X58" i="1"/>
  <c r="BB58" i="1" s="1"/>
  <c r="P58" i="1"/>
  <c r="I58" i="1"/>
  <c r="H58" i="1"/>
  <c r="D58" i="1"/>
  <c r="CM57" i="1"/>
  <c r="BU57" i="1"/>
  <c r="BT57" i="1"/>
  <c r="BS57" i="1"/>
  <c r="BR57" i="1"/>
  <c r="BQ57" i="1"/>
  <c r="BP57" i="1"/>
  <c r="BO57" i="1"/>
  <c r="BN57" i="1"/>
  <c r="BI57" i="1" s="1"/>
  <c r="BM57" i="1"/>
  <c r="BL57" i="1"/>
  <c r="BK57" i="1"/>
  <c r="BJ57" i="1"/>
  <c r="AF57" i="1"/>
  <c r="AB57" i="1"/>
  <c r="BF57" i="1" s="1"/>
  <c r="AA57" i="1"/>
  <c r="BE57" i="1" s="1"/>
  <c r="W57" i="1"/>
  <c r="BA57" i="1" s="1"/>
  <c r="V57" i="1"/>
  <c r="AZ57" i="1" s="1"/>
  <c r="U57" i="1"/>
  <c r="AY57" i="1" s="1"/>
  <c r="P57" i="1"/>
  <c r="I57" i="1"/>
  <c r="J57" i="1" s="1"/>
  <c r="H57" i="1"/>
  <c r="D57" i="1"/>
  <c r="CM56" i="1"/>
  <c r="CK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AF56" i="1"/>
  <c r="AD56" i="1"/>
  <c r="BH56" i="1" s="1"/>
  <c r="X56" i="1"/>
  <c r="BB56" i="1" s="1"/>
  <c r="T56" i="1"/>
  <c r="AX56" i="1" s="1"/>
  <c r="S56" i="1"/>
  <c r="AW56" i="1" s="1"/>
  <c r="P56" i="1"/>
  <c r="I56" i="1"/>
  <c r="H56" i="1"/>
  <c r="D56" i="1"/>
  <c r="CM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 s="1"/>
  <c r="AF55" i="1"/>
  <c r="AB55" i="1"/>
  <c r="BF55" i="1" s="1"/>
  <c r="AA55" i="1"/>
  <c r="BE55" i="1" s="1"/>
  <c r="P55" i="1"/>
  <c r="V55" i="1" s="1"/>
  <c r="AZ55" i="1" s="1"/>
  <c r="J55" i="1"/>
  <c r="I55" i="1"/>
  <c r="H55" i="1"/>
  <c r="D55" i="1"/>
  <c r="CM54" i="1"/>
  <c r="CK54" i="1"/>
  <c r="BU54" i="1"/>
  <c r="BT54" i="1"/>
  <c r="BS54" i="1"/>
  <c r="BR54" i="1"/>
  <c r="BQ54" i="1"/>
  <c r="BP54" i="1"/>
  <c r="BO54" i="1"/>
  <c r="BN54" i="1"/>
  <c r="BM54" i="1"/>
  <c r="BL54" i="1"/>
  <c r="BK54" i="1"/>
  <c r="BI54" i="1" s="1"/>
  <c r="BJ54" i="1"/>
  <c r="AF54" i="1"/>
  <c r="AD54" i="1"/>
  <c r="BH54" i="1" s="1"/>
  <c r="P54" i="1"/>
  <c r="I54" i="1"/>
  <c r="H54" i="1"/>
  <c r="X54" i="1" s="1"/>
  <c r="BB54" i="1" s="1"/>
  <c r="D54" i="1"/>
  <c r="CM53" i="1"/>
  <c r="BU53" i="1"/>
  <c r="BT53" i="1"/>
  <c r="BS53" i="1"/>
  <c r="BR53" i="1"/>
  <c r="BQ53" i="1"/>
  <c r="BP53" i="1"/>
  <c r="BO53" i="1"/>
  <c r="BN53" i="1"/>
  <c r="BI53" i="1" s="1"/>
  <c r="BM53" i="1"/>
  <c r="BL53" i="1"/>
  <c r="BK53" i="1"/>
  <c r="BJ53" i="1"/>
  <c r="AF53" i="1"/>
  <c r="AB53" i="1"/>
  <c r="BF53" i="1" s="1"/>
  <c r="AA53" i="1"/>
  <c r="BE53" i="1" s="1"/>
  <c r="W53" i="1"/>
  <c r="BA53" i="1" s="1"/>
  <c r="V53" i="1"/>
  <c r="AZ53" i="1" s="1"/>
  <c r="U53" i="1"/>
  <c r="AY53" i="1" s="1"/>
  <c r="P53" i="1"/>
  <c r="I53" i="1"/>
  <c r="J53" i="1" s="1"/>
  <c r="H53" i="1"/>
  <c r="D53" i="1"/>
  <c r="CM52" i="1"/>
  <c r="CK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G52" i="1"/>
  <c r="BF52" i="1"/>
  <c r="AW52" i="1"/>
  <c r="AF52" i="1"/>
  <c r="AB52" i="1"/>
  <c r="Z52" i="1"/>
  <c r="BD52" i="1" s="1"/>
  <c r="Y52" i="1"/>
  <c r="BC52" i="1" s="1"/>
  <c r="X52" i="1"/>
  <c r="BB52" i="1" s="1"/>
  <c r="S52" i="1"/>
  <c r="P52" i="1"/>
  <c r="AC52" i="1" s="1"/>
  <c r="J52" i="1"/>
  <c r="I52" i="1"/>
  <c r="H52" i="1"/>
  <c r="D52" i="1"/>
  <c r="CM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 s="1"/>
  <c r="AF51" i="1"/>
  <c r="X51" i="1"/>
  <c r="BB51" i="1" s="1"/>
  <c r="S51" i="1"/>
  <c r="P51" i="1"/>
  <c r="AA51" i="1" s="1"/>
  <c r="BE51" i="1" s="1"/>
  <c r="I51" i="1"/>
  <c r="J51" i="1" s="1"/>
  <c r="H51" i="1"/>
  <c r="D51" i="1"/>
  <c r="CM50" i="1"/>
  <c r="CK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AF50" i="1"/>
  <c r="AB50" i="1"/>
  <c r="BF50" i="1" s="1"/>
  <c r="Z50" i="1"/>
  <c r="BD50" i="1" s="1"/>
  <c r="P50" i="1"/>
  <c r="I50" i="1"/>
  <c r="H50" i="1"/>
  <c r="D50" i="1"/>
  <c r="CM49" i="1"/>
  <c r="BU49" i="1"/>
  <c r="BT49" i="1"/>
  <c r="BS49" i="1"/>
  <c r="BR49" i="1"/>
  <c r="BQ49" i="1"/>
  <c r="BP49" i="1"/>
  <c r="BO49" i="1"/>
  <c r="BN49" i="1"/>
  <c r="BM49" i="1"/>
  <c r="BL49" i="1"/>
  <c r="BI49" i="1" s="1"/>
  <c r="BK49" i="1"/>
  <c r="BJ49" i="1"/>
  <c r="AZ49" i="1"/>
  <c r="AY49" i="1"/>
  <c r="AF49" i="1"/>
  <c r="AD49" i="1"/>
  <c r="BH49" i="1" s="1"/>
  <c r="AC49" i="1"/>
  <c r="BG49" i="1" s="1"/>
  <c r="AB49" i="1"/>
  <c r="BF49" i="1" s="1"/>
  <c r="W49" i="1"/>
  <c r="BA49" i="1" s="1"/>
  <c r="V49" i="1"/>
  <c r="U49" i="1"/>
  <c r="P49" i="1"/>
  <c r="I49" i="1"/>
  <c r="J49" i="1" s="1"/>
  <c r="H49" i="1"/>
  <c r="D49" i="1"/>
  <c r="CM48" i="1"/>
  <c r="CK48" i="1"/>
  <c r="BU48" i="1"/>
  <c r="BT48" i="1"/>
  <c r="BS48" i="1"/>
  <c r="BR48" i="1"/>
  <c r="BQ48" i="1"/>
  <c r="BP48" i="1"/>
  <c r="BO48" i="1"/>
  <c r="BN48" i="1"/>
  <c r="BM48" i="1"/>
  <c r="BI48" i="1" s="1"/>
  <c r="BL48" i="1"/>
  <c r="BK48" i="1"/>
  <c r="BJ48" i="1"/>
  <c r="BG48" i="1"/>
  <c r="AF48" i="1"/>
  <c r="AD48" i="1"/>
  <c r="BH48" i="1" s="1"/>
  <c r="AB48" i="1"/>
  <c r="BF48" i="1" s="1"/>
  <c r="Z48" i="1"/>
  <c r="BD48" i="1" s="1"/>
  <c r="Y48" i="1"/>
  <c r="BC48" i="1" s="1"/>
  <c r="X48" i="1"/>
  <c r="BB48" i="1" s="1"/>
  <c r="V48" i="1"/>
  <c r="AZ48" i="1" s="1"/>
  <c r="S48" i="1"/>
  <c r="AW48" i="1" s="1"/>
  <c r="P48" i="1"/>
  <c r="AC48" i="1" s="1"/>
  <c r="J48" i="1"/>
  <c r="I48" i="1"/>
  <c r="H48" i="1"/>
  <c r="U48" i="1" s="1"/>
  <c r="AY48" i="1" s="1"/>
  <c r="D48" i="1"/>
  <c r="CM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 s="1"/>
  <c r="AF47" i="1"/>
  <c r="Y47" i="1"/>
  <c r="BC47" i="1" s="1"/>
  <c r="X47" i="1"/>
  <c r="BB47" i="1" s="1"/>
  <c r="P47" i="1"/>
  <c r="AA47" i="1" s="1"/>
  <c r="BE47" i="1" s="1"/>
  <c r="I47" i="1"/>
  <c r="J47" i="1" s="1"/>
  <c r="H47" i="1"/>
  <c r="D47" i="1"/>
  <c r="CM46" i="1"/>
  <c r="CK46" i="1"/>
  <c r="BU46" i="1"/>
  <c r="BT46" i="1"/>
  <c r="BS46" i="1"/>
  <c r="BR46" i="1"/>
  <c r="BQ46" i="1"/>
  <c r="BP46" i="1"/>
  <c r="BO46" i="1"/>
  <c r="BN46" i="1"/>
  <c r="BM46" i="1"/>
  <c r="BL46" i="1"/>
  <c r="BK46" i="1"/>
  <c r="BI46" i="1" s="1"/>
  <c r="BJ46" i="1"/>
  <c r="AF46" i="1"/>
  <c r="AB46" i="1"/>
  <c r="BF46" i="1" s="1"/>
  <c r="AA46" i="1"/>
  <c r="BE46" i="1" s="1"/>
  <c r="P46" i="1"/>
  <c r="I46" i="1"/>
  <c r="J46" i="1" s="1"/>
  <c r="H46" i="1"/>
  <c r="U46" i="1" s="1"/>
  <c r="AY46" i="1" s="1"/>
  <c r="D46" i="1"/>
  <c r="CM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F45" i="1"/>
  <c r="AF45" i="1"/>
  <c r="AD45" i="1"/>
  <c r="BH45" i="1" s="1"/>
  <c r="AC45" i="1"/>
  <c r="BG45" i="1" s="1"/>
  <c r="AB45" i="1"/>
  <c r="W45" i="1"/>
  <c r="BA45" i="1" s="1"/>
  <c r="V45" i="1"/>
  <c r="AZ45" i="1" s="1"/>
  <c r="U45" i="1"/>
  <c r="AY45" i="1" s="1"/>
  <c r="P45" i="1"/>
  <c r="J45" i="1"/>
  <c r="I45" i="1"/>
  <c r="H45" i="1"/>
  <c r="D45" i="1"/>
  <c r="CM44" i="1"/>
  <c r="CK44" i="1"/>
  <c r="BU44" i="1"/>
  <c r="BT44" i="1"/>
  <c r="BS44" i="1"/>
  <c r="BR44" i="1"/>
  <c r="BQ44" i="1"/>
  <c r="BP44" i="1"/>
  <c r="BO44" i="1"/>
  <c r="BN44" i="1"/>
  <c r="BI44" i="1" s="1"/>
  <c r="BM44" i="1"/>
  <c r="BL44" i="1"/>
  <c r="BK44" i="1"/>
  <c r="BJ44" i="1"/>
  <c r="BH44" i="1"/>
  <c r="AF44" i="1"/>
  <c r="AD44" i="1"/>
  <c r="AB44" i="1"/>
  <c r="BF44" i="1" s="1"/>
  <c r="Z44" i="1"/>
  <c r="BD44" i="1" s="1"/>
  <c r="Y44" i="1"/>
  <c r="BC44" i="1" s="1"/>
  <c r="X44" i="1"/>
  <c r="BB44" i="1" s="1"/>
  <c r="V44" i="1"/>
  <c r="AZ44" i="1" s="1"/>
  <c r="S44" i="1"/>
  <c r="AW44" i="1" s="1"/>
  <c r="P44" i="1"/>
  <c r="AC44" i="1" s="1"/>
  <c r="BG44" i="1" s="1"/>
  <c r="J44" i="1"/>
  <c r="I44" i="1"/>
  <c r="H44" i="1"/>
  <c r="U44" i="1" s="1"/>
  <c r="AY44" i="1" s="1"/>
  <c r="D44" i="1"/>
  <c r="CM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 s="1"/>
  <c r="AF43" i="1"/>
  <c r="AA43" i="1"/>
  <c r="BE43" i="1" s="1"/>
  <c r="Y43" i="1"/>
  <c r="BC43" i="1" s="1"/>
  <c r="P43" i="1"/>
  <c r="I43" i="1"/>
  <c r="J43" i="1" s="1"/>
  <c r="H43" i="1"/>
  <c r="D43" i="1"/>
  <c r="CM42" i="1"/>
  <c r="CK42" i="1"/>
  <c r="BU42" i="1"/>
  <c r="BT42" i="1"/>
  <c r="BS42" i="1"/>
  <c r="BR42" i="1"/>
  <c r="BQ42" i="1"/>
  <c r="BP42" i="1"/>
  <c r="BO42" i="1"/>
  <c r="BN42" i="1"/>
  <c r="BM42" i="1"/>
  <c r="BL42" i="1"/>
  <c r="BK42" i="1"/>
  <c r="BI42" i="1" s="1"/>
  <c r="BJ42" i="1"/>
  <c r="AF42" i="1"/>
  <c r="AB42" i="1"/>
  <c r="BF42" i="1" s="1"/>
  <c r="S42" i="1"/>
  <c r="P42" i="1"/>
  <c r="I42" i="1"/>
  <c r="J42" i="1" s="1"/>
  <c r="H42" i="1"/>
  <c r="U42" i="1" s="1"/>
  <c r="AY42" i="1" s="1"/>
  <c r="D42" i="1"/>
  <c r="CM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F41" i="1"/>
  <c r="AF41" i="1"/>
  <c r="AB41" i="1"/>
  <c r="Y41" i="1"/>
  <c r="BC41" i="1" s="1"/>
  <c r="U41" i="1"/>
  <c r="AY41" i="1" s="1"/>
  <c r="P41" i="1"/>
  <c r="I41" i="1"/>
  <c r="H41" i="1"/>
  <c r="V41" i="1" s="1"/>
  <c r="AZ41" i="1" s="1"/>
  <c r="D41" i="1"/>
  <c r="CM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AF40" i="1"/>
  <c r="AD40" i="1"/>
  <c r="BH40" i="1" s="1"/>
  <c r="X40" i="1"/>
  <c r="BB40" i="1" s="1"/>
  <c r="W40" i="1"/>
  <c r="BA40" i="1" s="1"/>
  <c r="V40" i="1"/>
  <c r="AZ40" i="1" s="1"/>
  <c r="P40" i="1"/>
  <c r="AB40" i="1" s="1"/>
  <c r="BF40" i="1" s="1"/>
  <c r="J40" i="1"/>
  <c r="I40" i="1"/>
  <c r="H40" i="1"/>
  <c r="D40" i="1"/>
  <c r="CM39" i="1"/>
  <c r="CK39" i="1"/>
  <c r="BU39" i="1"/>
  <c r="BT39" i="1"/>
  <c r="BS39" i="1"/>
  <c r="BR39" i="1"/>
  <c r="BQ39" i="1"/>
  <c r="BP39" i="1"/>
  <c r="BO39" i="1"/>
  <c r="BN39" i="1"/>
  <c r="BM39" i="1"/>
  <c r="BL39" i="1"/>
  <c r="BI39" i="1" s="1"/>
  <c r="BK39" i="1"/>
  <c r="BJ39" i="1"/>
  <c r="BF39" i="1"/>
  <c r="AF39" i="1"/>
  <c r="AB39" i="1"/>
  <c r="U39" i="1"/>
  <c r="AY39" i="1" s="1"/>
  <c r="T39" i="1"/>
  <c r="AX39" i="1" s="1"/>
  <c r="S39" i="1"/>
  <c r="P39" i="1"/>
  <c r="I39" i="1"/>
  <c r="J39" i="1" s="1"/>
  <c r="H39" i="1"/>
  <c r="V39" i="1" s="1"/>
  <c r="AZ39" i="1" s="1"/>
  <c r="D39" i="1"/>
  <c r="CM38" i="1"/>
  <c r="BU38" i="1"/>
  <c r="BT38" i="1"/>
  <c r="BS38" i="1"/>
  <c r="BR38" i="1"/>
  <c r="BQ38" i="1"/>
  <c r="BP38" i="1"/>
  <c r="BO38" i="1"/>
  <c r="BN38" i="1"/>
  <c r="BM38" i="1"/>
  <c r="BL38" i="1"/>
  <c r="BK38" i="1"/>
  <c r="BI38" i="1" s="1"/>
  <c r="BJ38" i="1"/>
  <c r="AF38" i="1"/>
  <c r="AB38" i="1"/>
  <c r="BF38" i="1" s="1"/>
  <c r="P38" i="1"/>
  <c r="AD38" i="1" s="1"/>
  <c r="BH38" i="1" s="1"/>
  <c r="J38" i="1"/>
  <c r="I38" i="1"/>
  <c r="H38" i="1"/>
  <c r="D38" i="1"/>
  <c r="CM37" i="1"/>
  <c r="CK37" i="1"/>
  <c r="BU37" i="1"/>
  <c r="BT37" i="1"/>
  <c r="BS37" i="1"/>
  <c r="BR37" i="1"/>
  <c r="BQ37" i="1"/>
  <c r="BP37" i="1"/>
  <c r="BO37" i="1"/>
  <c r="BN37" i="1"/>
  <c r="BM37" i="1"/>
  <c r="BL37" i="1"/>
  <c r="BI37" i="1" s="1"/>
  <c r="BK37" i="1"/>
  <c r="BJ37" i="1"/>
  <c r="BF37" i="1"/>
  <c r="AZ37" i="1"/>
  <c r="AF37" i="1"/>
  <c r="AB37" i="1"/>
  <c r="AA37" i="1"/>
  <c r="BE37" i="1" s="1"/>
  <c r="Z37" i="1"/>
  <c r="BD37" i="1" s="1"/>
  <c r="S37" i="1"/>
  <c r="P37" i="1"/>
  <c r="AD37" i="1" s="1"/>
  <c r="BH37" i="1" s="1"/>
  <c r="I37" i="1"/>
  <c r="J37" i="1" s="1"/>
  <c r="H37" i="1"/>
  <c r="V37" i="1" s="1"/>
  <c r="D37" i="1"/>
  <c r="CM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AF36" i="1"/>
  <c r="AB36" i="1"/>
  <c r="BF36" i="1" s="1"/>
  <c r="X36" i="1"/>
  <c r="BB36" i="1" s="1"/>
  <c r="W36" i="1"/>
  <c r="BA36" i="1" s="1"/>
  <c r="V36" i="1"/>
  <c r="AZ36" i="1" s="1"/>
  <c r="P36" i="1"/>
  <c r="J36" i="1"/>
  <c r="I36" i="1"/>
  <c r="H36" i="1"/>
  <c r="D36" i="1"/>
  <c r="CM35" i="1"/>
  <c r="CK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F35" i="1"/>
  <c r="AF35" i="1"/>
  <c r="AB35" i="1"/>
  <c r="Y35" i="1"/>
  <c r="BC35" i="1" s="1"/>
  <c r="U35" i="1"/>
  <c r="AY35" i="1" s="1"/>
  <c r="P35" i="1"/>
  <c r="I35" i="1"/>
  <c r="H35" i="1"/>
  <c r="V35" i="1" s="1"/>
  <c r="AZ35" i="1" s="1"/>
  <c r="D35" i="1"/>
  <c r="CM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AF34" i="1"/>
  <c r="AD34" i="1"/>
  <c r="BH34" i="1" s="1"/>
  <c r="W34" i="1"/>
  <c r="BA34" i="1" s="1"/>
  <c r="V34" i="1"/>
  <c r="AZ34" i="1" s="1"/>
  <c r="P34" i="1"/>
  <c r="AB34" i="1" s="1"/>
  <c r="BF34" i="1" s="1"/>
  <c r="J34" i="1"/>
  <c r="I34" i="1"/>
  <c r="H34" i="1"/>
  <c r="D34" i="1"/>
  <c r="CM33" i="1"/>
  <c r="CK33" i="1"/>
  <c r="BU33" i="1"/>
  <c r="BT33" i="1"/>
  <c r="BS33" i="1"/>
  <c r="BR33" i="1"/>
  <c r="BQ33" i="1"/>
  <c r="BP33" i="1"/>
  <c r="BO33" i="1"/>
  <c r="BN33" i="1"/>
  <c r="BM33" i="1"/>
  <c r="BL33" i="1"/>
  <c r="BI33" i="1" s="1"/>
  <c r="BK33" i="1"/>
  <c r="BJ33" i="1"/>
  <c r="BF33" i="1"/>
  <c r="AF33" i="1"/>
  <c r="AB33" i="1"/>
  <c r="U33" i="1"/>
  <c r="AY33" i="1" s="1"/>
  <c r="T33" i="1"/>
  <c r="AX33" i="1" s="1"/>
  <c r="S33" i="1"/>
  <c r="P33" i="1"/>
  <c r="AD33" i="1" s="1"/>
  <c r="BH33" i="1" s="1"/>
  <c r="I33" i="1"/>
  <c r="J33" i="1" s="1"/>
  <c r="H33" i="1"/>
  <c r="V33" i="1" s="1"/>
  <c r="AZ33" i="1" s="1"/>
  <c r="D33" i="1"/>
  <c r="CM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 s="1"/>
  <c r="AF32" i="1"/>
  <c r="AB32" i="1"/>
  <c r="BF32" i="1" s="1"/>
  <c r="P32" i="1"/>
  <c r="AD32" i="1" s="1"/>
  <c r="BH32" i="1" s="1"/>
  <c r="J32" i="1"/>
  <c r="I32" i="1"/>
  <c r="H32" i="1"/>
  <c r="D32" i="1"/>
  <c r="CM31" i="1"/>
  <c r="CK31" i="1"/>
  <c r="BU31" i="1"/>
  <c r="BT31" i="1"/>
  <c r="BS31" i="1"/>
  <c r="BR31" i="1"/>
  <c r="BQ31" i="1"/>
  <c r="BP31" i="1"/>
  <c r="BO31" i="1"/>
  <c r="BN31" i="1"/>
  <c r="BM31" i="1"/>
  <c r="BL31" i="1"/>
  <c r="BI31" i="1" s="1"/>
  <c r="BK31" i="1"/>
  <c r="BJ31" i="1"/>
  <c r="BF31" i="1"/>
  <c r="AZ31" i="1"/>
  <c r="AF31" i="1"/>
  <c r="AB31" i="1"/>
  <c r="AA31" i="1"/>
  <c r="BE31" i="1" s="1"/>
  <c r="Z31" i="1"/>
  <c r="BD31" i="1" s="1"/>
  <c r="S31" i="1"/>
  <c r="P31" i="1"/>
  <c r="AD31" i="1" s="1"/>
  <c r="BH31" i="1" s="1"/>
  <c r="I31" i="1"/>
  <c r="J31" i="1" s="1"/>
  <c r="H31" i="1"/>
  <c r="V31" i="1" s="1"/>
  <c r="D31" i="1"/>
  <c r="CM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AF30" i="1"/>
  <c r="AB30" i="1"/>
  <c r="BF30" i="1" s="1"/>
  <c r="X30" i="1"/>
  <c r="BB30" i="1" s="1"/>
  <c r="W30" i="1"/>
  <c r="BA30" i="1" s="1"/>
  <c r="V30" i="1"/>
  <c r="AZ30" i="1" s="1"/>
  <c r="P30" i="1"/>
  <c r="J30" i="1"/>
  <c r="I30" i="1"/>
  <c r="H30" i="1"/>
  <c r="D30" i="1"/>
  <c r="CM29" i="1"/>
  <c r="CK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F29" i="1"/>
  <c r="AF29" i="1"/>
  <c r="AB29" i="1"/>
  <c r="Y29" i="1"/>
  <c r="BC29" i="1" s="1"/>
  <c r="U29" i="1"/>
  <c r="AY29" i="1" s="1"/>
  <c r="P29" i="1"/>
  <c r="I29" i="1"/>
  <c r="H29" i="1"/>
  <c r="V29" i="1" s="1"/>
  <c r="AZ29" i="1" s="1"/>
  <c r="D29" i="1"/>
  <c r="CM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AF28" i="1"/>
  <c r="AD28" i="1"/>
  <c r="BH28" i="1" s="1"/>
  <c r="W28" i="1"/>
  <c r="BA28" i="1" s="1"/>
  <c r="V28" i="1"/>
  <c r="AZ28" i="1" s="1"/>
  <c r="P28" i="1"/>
  <c r="AB28" i="1" s="1"/>
  <c r="BF28" i="1" s="1"/>
  <c r="J28" i="1"/>
  <c r="I28" i="1"/>
  <c r="H28" i="1"/>
  <c r="D28" i="1"/>
  <c r="CM27" i="1"/>
  <c r="CK27" i="1"/>
  <c r="BU27" i="1"/>
  <c r="BT27" i="1"/>
  <c r="BS27" i="1"/>
  <c r="BR27" i="1"/>
  <c r="BQ27" i="1"/>
  <c r="BP27" i="1"/>
  <c r="BO27" i="1"/>
  <c r="BN27" i="1"/>
  <c r="BM27" i="1"/>
  <c r="BL27" i="1"/>
  <c r="BI27" i="1" s="1"/>
  <c r="BK27" i="1"/>
  <c r="BJ27" i="1"/>
  <c r="BF27" i="1"/>
  <c r="AF27" i="1"/>
  <c r="AB27" i="1"/>
  <c r="U27" i="1"/>
  <c r="AY27" i="1" s="1"/>
  <c r="T27" i="1"/>
  <c r="AX27" i="1" s="1"/>
  <c r="S27" i="1"/>
  <c r="P27" i="1"/>
  <c r="AD27" i="1" s="1"/>
  <c r="BH27" i="1" s="1"/>
  <c r="I27" i="1"/>
  <c r="J27" i="1" s="1"/>
  <c r="H27" i="1"/>
  <c r="V27" i="1" s="1"/>
  <c r="AZ27" i="1" s="1"/>
  <c r="D27" i="1"/>
  <c r="CM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 s="1"/>
  <c r="AF26" i="1"/>
  <c r="AB26" i="1"/>
  <c r="BF26" i="1" s="1"/>
  <c r="P26" i="1"/>
  <c r="V26" i="1" s="1"/>
  <c r="AZ26" i="1" s="1"/>
  <c r="J26" i="1"/>
  <c r="I26" i="1"/>
  <c r="H26" i="1"/>
  <c r="D26" i="1"/>
  <c r="CM25" i="1"/>
  <c r="CK25" i="1"/>
  <c r="BU25" i="1"/>
  <c r="BT25" i="1"/>
  <c r="BS25" i="1"/>
  <c r="BR25" i="1"/>
  <c r="BQ25" i="1"/>
  <c r="BP25" i="1"/>
  <c r="BO25" i="1"/>
  <c r="BN25" i="1"/>
  <c r="BM25" i="1"/>
  <c r="BL25" i="1"/>
  <c r="BI25" i="1" s="1"/>
  <c r="BK25" i="1"/>
  <c r="BJ25" i="1"/>
  <c r="BF25" i="1"/>
  <c r="AZ25" i="1"/>
  <c r="AF25" i="1"/>
  <c r="AB25" i="1"/>
  <c r="AA25" i="1"/>
  <c r="BE25" i="1" s="1"/>
  <c r="Z25" i="1"/>
  <c r="BD25" i="1" s="1"/>
  <c r="S25" i="1"/>
  <c r="P25" i="1"/>
  <c r="AD25" i="1" s="1"/>
  <c r="BH25" i="1" s="1"/>
  <c r="I25" i="1"/>
  <c r="J25" i="1" s="1"/>
  <c r="H25" i="1"/>
  <c r="V25" i="1" s="1"/>
  <c r="D25" i="1"/>
  <c r="CM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AF24" i="1"/>
  <c r="AB24" i="1"/>
  <c r="BF24" i="1" s="1"/>
  <c r="X24" i="1"/>
  <c r="BB24" i="1" s="1"/>
  <c r="W24" i="1"/>
  <c r="BA24" i="1" s="1"/>
  <c r="V24" i="1"/>
  <c r="AZ24" i="1" s="1"/>
  <c r="P24" i="1"/>
  <c r="J24" i="1"/>
  <c r="I24" i="1"/>
  <c r="H24" i="1"/>
  <c r="D24" i="1"/>
  <c r="CM23" i="1"/>
  <c r="CK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F23" i="1"/>
  <c r="AF23" i="1"/>
  <c r="AB23" i="1"/>
  <c r="Y23" i="1"/>
  <c r="BC23" i="1" s="1"/>
  <c r="U23" i="1"/>
  <c r="AY23" i="1" s="1"/>
  <c r="P23" i="1"/>
  <c r="I23" i="1"/>
  <c r="H23" i="1"/>
  <c r="V23" i="1" s="1"/>
  <c r="AZ23" i="1" s="1"/>
  <c r="D23" i="1"/>
  <c r="CM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AF22" i="1"/>
  <c r="AD22" i="1"/>
  <c r="BH22" i="1" s="1"/>
  <c r="W22" i="1"/>
  <c r="BA22" i="1" s="1"/>
  <c r="V22" i="1"/>
  <c r="AZ22" i="1" s="1"/>
  <c r="P22" i="1"/>
  <c r="AB22" i="1" s="1"/>
  <c r="BF22" i="1" s="1"/>
  <c r="J22" i="1"/>
  <c r="I22" i="1"/>
  <c r="H22" i="1"/>
  <c r="D22" i="1"/>
  <c r="CM21" i="1"/>
  <c r="CK21" i="1"/>
  <c r="BU21" i="1"/>
  <c r="BT21" i="1"/>
  <c r="BS21" i="1"/>
  <c r="BR21" i="1"/>
  <c r="BQ21" i="1"/>
  <c r="BP21" i="1"/>
  <c r="BO21" i="1"/>
  <c r="BN21" i="1"/>
  <c r="BM21" i="1"/>
  <c r="BL21" i="1"/>
  <c r="BI21" i="1" s="1"/>
  <c r="BK21" i="1"/>
  <c r="BJ21" i="1"/>
  <c r="AF21" i="1"/>
  <c r="AA21" i="1"/>
  <c r="BE21" i="1" s="1"/>
  <c r="Z21" i="1"/>
  <c r="BD21" i="1" s="1"/>
  <c r="Y21" i="1"/>
  <c r="BC21" i="1" s="1"/>
  <c r="U21" i="1"/>
  <c r="AY21" i="1" s="1"/>
  <c r="T21" i="1"/>
  <c r="AX21" i="1" s="1"/>
  <c r="S21" i="1"/>
  <c r="P21" i="1"/>
  <c r="AD21" i="1" s="1"/>
  <c r="BH21" i="1" s="1"/>
  <c r="I21" i="1"/>
  <c r="J21" i="1" s="1"/>
  <c r="H21" i="1"/>
  <c r="D21" i="1"/>
  <c r="CM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 s="1"/>
  <c r="AF20" i="1"/>
  <c r="AB20" i="1"/>
  <c r="BF20" i="1" s="1"/>
  <c r="X20" i="1"/>
  <c r="BB20" i="1" s="1"/>
  <c r="P20" i="1"/>
  <c r="J20" i="1"/>
  <c r="I20" i="1"/>
  <c r="H20" i="1"/>
  <c r="D20" i="1"/>
  <c r="CM19" i="1"/>
  <c r="CK19" i="1"/>
  <c r="BU19" i="1"/>
  <c r="BT19" i="1"/>
  <c r="BS19" i="1"/>
  <c r="BR19" i="1"/>
  <c r="BQ19" i="1"/>
  <c r="BP19" i="1"/>
  <c r="BO19" i="1"/>
  <c r="BN19" i="1"/>
  <c r="BM19" i="1"/>
  <c r="BL19" i="1"/>
  <c r="BI19" i="1" s="1"/>
  <c r="BK19" i="1"/>
  <c r="BJ19" i="1"/>
  <c r="BF19" i="1"/>
  <c r="AF19" i="1"/>
  <c r="AB19" i="1"/>
  <c r="Y19" i="1"/>
  <c r="BC19" i="1" s="1"/>
  <c r="P19" i="1"/>
  <c r="I19" i="1"/>
  <c r="H19" i="1"/>
  <c r="V19" i="1" s="1"/>
  <c r="AZ19" i="1" s="1"/>
  <c r="D19" i="1"/>
  <c r="CM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AF18" i="1"/>
  <c r="X18" i="1"/>
  <c r="BB18" i="1" s="1"/>
  <c r="W18" i="1"/>
  <c r="BA18" i="1" s="1"/>
  <c r="V18" i="1"/>
  <c r="AZ18" i="1" s="1"/>
  <c r="P18" i="1"/>
  <c r="AB18" i="1" s="1"/>
  <c r="BF18" i="1" s="1"/>
  <c r="J18" i="1"/>
  <c r="I18" i="1"/>
  <c r="H18" i="1"/>
  <c r="D18" i="1"/>
  <c r="CM17" i="1"/>
  <c r="CK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F17" i="1"/>
  <c r="AF17" i="1"/>
  <c r="AB17" i="1"/>
  <c r="U17" i="1"/>
  <c r="AY17" i="1" s="1"/>
  <c r="T17" i="1"/>
  <c r="AX17" i="1" s="1"/>
  <c r="P17" i="1"/>
  <c r="I17" i="1"/>
  <c r="H17" i="1"/>
  <c r="V17" i="1" s="1"/>
  <c r="AZ17" i="1" s="1"/>
  <c r="D17" i="1"/>
  <c r="CM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AF16" i="1"/>
  <c r="P16" i="1"/>
  <c r="X16" i="1" s="1"/>
  <c r="BB16" i="1" s="1"/>
  <c r="J16" i="1"/>
  <c r="I16" i="1"/>
  <c r="H16" i="1"/>
  <c r="D16" i="1"/>
  <c r="CM15" i="1"/>
  <c r="CK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F15" i="1"/>
  <c r="AF15" i="1"/>
  <c r="AB15" i="1"/>
  <c r="AA15" i="1"/>
  <c r="BE15" i="1" s="1"/>
  <c r="T15" i="1"/>
  <c r="AX15" i="1" s="1"/>
  <c r="S15" i="1"/>
  <c r="P15" i="1"/>
  <c r="AD15" i="1" s="1"/>
  <c r="BH15" i="1" s="1"/>
  <c r="I15" i="1"/>
  <c r="J15" i="1" s="1"/>
  <c r="H15" i="1"/>
  <c r="V15" i="1" s="1"/>
  <c r="AZ15" i="1" s="1"/>
  <c r="D15" i="1"/>
  <c r="CM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 s="1"/>
  <c r="AF14" i="1"/>
  <c r="AB14" i="1"/>
  <c r="BF14" i="1" s="1"/>
  <c r="X14" i="1"/>
  <c r="BB14" i="1" s="1"/>
  <c r="P14" i="1"/>
  <c r="J14" i="1"/>
  <c r="I14" i="1"/>
  <c r="H14" i="1"/>
  <c r="D14" i="1"/>
  <c r="CM13" i="1"/>
  <c r="CK13" i="1"/>
  <c r="BU13" i="1"/>
  <c r="BT13" i="1"/>
  <c r="BS13" i="1"/>
  <c r="BR13" i="1"/>
  <c r="BQ13" i="1"/>
  <c r="BP13" i="1"/>
  <c r="BO13" i="1"/>
  <c r="BN13" i="1"/>
  <c r="BM13" i="1"/>
  <c r="BL13" i="1"/>
  <c r="BI13" i="1" s="1"/>
  <c r="BK13" i="1"/>
  <c r="BJ13" i="1"/>
  <c r="BF13" i="1"/>
  <c r="AF13" i="1"/>
  <c r="AB13" i="1"/>
  <c r="Y13" i="1"/>
  <c r="BC13" i="1" s="1"/>
  <c r="P13" i="1"/>
  <c r="I13" i="1"/>
  <c r="H13" i="1"/>
  <c r="V13" i="1" s="1"/>
  <c r="AZ13" i="1" s="1"/>
  <c r="D13" i="1"/>
  <c r="CM12" i="1"/>
  <c r="BU12" i="1"/>
  <c r="BI12" i="1" s="1"/>
  <c r="BT12" i="1"/>
  <c r="BS12" i="1"/>
  <c r="BR12" i="1"/>
  <c r="BQ12" i="1"/>
  <c r="BP12" i="1"/>
  <c r="BO12" i="1"/>
  <c r="BN12" i="1"/>
  <c r="BM12" i="1"/>
  <c r="BL12" i="1"/>
  <c r="BK12" i="1"/>
  <c r="BJ12" i="1"/>
  <c r="AF12" i="1"/>
  <c r="W12" i="1"/>
  <c r="BA12" i="1" s="1"/>
  <c r="V12" i="1"/>
  <c r="AZ12" i="1" s="1"/>
  <c r="P12" i="1"/>
  <c r="AB12" i="1" s="1"/>
  <c r="BF12" i="1" s="1"/>
  <c r="J12" i="1"/>
  <c r="I12" i="1"/>
  <c r="H12" i="1"/>
  <c r="D12" i="1"/>
  <c r="CM11" i="1"/>
  <c r="CK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F11" i="1"/>
  <c r="AF11" i="1"/>
  <c r="AB11" i="1"/>
  <c r="U11" i="1"/>
  <c r="AY11" i="1" s="1"/>
  <c r="T11" i="1"/>
  <c r="AX11" i="1" s="1"/>
  <c r="P11" i="1"/>
  <c r="AD11" i="1" s="1"/>
  <c r="BH11" i="1" s="1"/>
  <c r="I11" i="1"/>
  <c r="J11" i="1" s="1"/>
  <c r="H11" i="1"/>
  <c r="V11" i="1" s="1"/>
  <c r="AZ11" i="1" s="1"/>
  <c r="D11" i="1"/>
  <c r="CM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 s="1"/>
  <c r="AF10" i="1"/>
  <c r="P10" i="1"/>
  <c r="V10" i="1" s="1"/>
  <c r="AZ10" i="1" s="1"/>
  <c r="J10" i="1"/>
  <c r="I10" i="1"/>
  <c r="H10" i="1"/>
  <c r="D10" i="1"/>
  <c r="CM9" i="1"/>
  <c r="CK9" i="1"/>
  <c r="BU9" i="1"/>
  <c r="BT9" i="1"/>
  <c r="BS9" i="1"/>
  <c r="BR9" i="1"/>
  <c r="BQ9" i="1"/>
  <c r="BP9" i="1"/>
  <c r="BO9" i="1"/>
  <c r="BN9" i="1"/>
  <c r="BM9" i="1"/>
  <c r="BL9" i="1"/>
  <c r="BI9" i="1" s="1"/>
  <c r="BK9" i="1"/>
  <c r="BJ9" i="1"/>
  <c r="AZ9" i="1"/>
  <c r="AF9" i="1"/>
  <c r="AA9" i="1"/>
  <c r="BE9" i="1" s="1"/>
  <c r="Z9" i="1"/>
  <c r="BD9" i="1" s="1"/>
  <c r="Y9" i="1"/>
  <c r="BC9" i="1" s="1"/>
  <c r="V9" i="1"/>
  <c r="U9" i="1"/>
  <c r="AY9" i="1" s="1"/>
  <c r="T9" i="1"/>
  <c r="AX9" i="1" s="1"/>
  <c r="S9" i="1"/>
  <c r="P9" i="1"/>
  <c r="AD9" i="1" s="1"/>
  <c r="BH9" i="1" s="1"/>
  <c r="I9" i="1"/>
  <c r="J9" i="1" s="1"/>
  <c r="H9" i="1"/>
  <c r="AB9" i="1" s="1"/>
  <c r="BF9" i="1" s="1"/>
  <c r="D9" i="1"/>
  <c r="CM8" i="1"/>
  <c r="BU8" i="1"/>
  <c r="BT8" i="1"/>
  <c r="BS8" i="1"/>
  <c r="BR8" i="1"/>
  <c r="BQ8" i="1"/>
  <c r="BP8" i="1"/>
  <c r="BP269" i="1" s="1"/>
  <c r="BP276" i="1" s="1"/>
  <c r="BO8" i="1"/>
  <c r="BN8" i="1"/>
  <c r="BM8" i="1"/>
  <c r="BL8" i="1"/>
  <c r="BK8" i="1"/>
  <c r="BJ8" i="1"/>
  <c r="BJ269" i="1" s="1"/>
  <c r="AF8" i="1"/>
  <c r="AB8" i="1"/>
  <c r="X8" i="1"/>
  <c r="W8" i="1"/>
  <c r="P8" i="1"/>
  <c r="J8" i="1"/>
  <c r="I8" i="1"/>
  <c r="H8" i="1"/>
  <c r="D8" i="1"/>
  <c r="BU6" i="1"/>
  <c r="BT6" i="1"/>
  <c r="BS6" i="1"/>
  <c r="BR6" i="1"/>
  <c r="BQ6" i="1"/>
  <c r="BP6" i="1"/>
  <c r="BO6" i="1"/>
  <c r="BN6" i="1"/>
  <c r="BM6" i="1"/>
  <c r="BL6" i="1"/>
  <c r="BK6" i="1"/>
  <c r="BJ6" i="1"/>
  <c r="BH6" i="1"/>
  <c r="BG6" i="1"/>
  <c r="BF6" i="1"/>
  <c r="BE6" i="1"/>
  <c r="BD6" i="1"/>
  <c r="BC6" i="1"/>
  <c r="BB6" i="1"/>
  <c r="BA6" i="1"/>
  <c r="AZ6" i="1"/>
  <c r="AY6" i="1"/>
  <c r="AX6" i="1"/>
  <c r="AW6" i="1"/>
  <c r="AR6" i="1"/>
  <c r="AQ6" i="1"/>
  <c r="AP6" i="1"/>
  <c r="AO6" i="1"/>
  <c r="AN6" i="1"/>
  <c r="AM6" i="1"/>
  <c r="AL6" i="1"/>
  <c r="AK6" i="1"/>
  <c r="AI6" i="1"/>
  <c r="AH6" i="1"/>
  <c r="AG6" i="1"/>
  <c r="BU5" i="1"/>
  <c r="BU211" i="1" s="1"/>
  <c r="BT5" i="1"/>
  <c r="BS5" i="1"/>
  <c r="BS211" i="1" s="1"/>
  <c r="BR5" i="1"/>
  <c r="BR211" i="1" s="1"/>
  <c r="BQ5" i="1"/>
  <c r="BQ211" i="1" s="1"/>
  <c r="BP5" i="1"/>
  <c r="BP211" i="1" s="1"/>
  <c r="BO5" i="1"/>
  <c r="BO211" i="1" s="1"/>
  <c r="BN5" i="1"/>
  <c r="BM5" i="1"/>
  <c r="BM211" i="1" s="1"/>
  <c r="BL5" i="1"/>
  <c r="BL211" i="1" s="1"/>
  <c r="BK5" i="1"/>
  <c r="BK211" i="1" s="1"/>
  <c r="BJ5" i="1"/>
  <c r="BJ211" i="1" s="1"/>
  <c r="BH5" i="1"/>
  <c r="BH211" i="1" s="1"/>
  <c r="BG5" i="1"/>
  <c r="BF5" i="1"/>
  <c r="BF211" i="1" s="1"/>
  <c r="BE5" i="1"/>
  <c r="BE4" i="1" s="1"/>
  <c r="BD5" i="1"/>
  <c r="BC5" i="1"/>
  <c r="BB5" i="1"/>
  <c r="BB211" i="1" s="1"/>
  <c r="BA5" i="1"/>
  <c r="AZ5" i="1"/>
  <c r="AY5" i="1"/>
  <c r="AY4" i="1" s="1"/>
  <c r="AX5" i="1"/>
  <c r="AW5" i="1"/>
  <c r="AR5" i="1"/>
  <c r="AQ5" i="1"/>
  <c r="AP5" i="1"/>
  <c r="AO5" i="1"/>
  <c r="AN5" i="1"/>
  <c r="AM5" i="1"/>
  <c r="AL5" i="1"/>
  <c r="AK5" i="1"/>
  <c r="AI5" i="1"/>
  <c r="AH5" i="1"/>
  <c r="AG5" i="1"/>
  <c r="BS4" i="1"/>
  <c r="BQ4" i="1"/>
  <c r="BP4" i="1"/>
  <c r="BM4" i="1"/>
  <c r="BL4" i="1"/>
  <c r="BK4" i="1"/>
  <c r="BJ4" i="1"/>
  <c r="BD4" i="1"/>
  <c r="BC4" i="1"/>
  <c r="AZ4" i="1"/>
  <c r="AX4" i="1"/>
  <c r="AW4" i="1"/>
  <c r="AD4" i="1"/>
  <c r="AC4" i="1"/>
  <c r="AB4" i="1"/>
  <c r="AA4" i="1"/>
  <c r="Z4" i="1"/>
  <c r="Y4" i="1"/>
  <c r="X4" i="1"/>
  <c r="W4" i="1"/>
  <c r="V4" i="1"/>
  <c r="U4" i="1"/>
  <c r="T4" i="1"/>
  <c r="S4" i="1"/>
  <c r="E3" i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3" i="1"/>
  <c r="B3" i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H1" i="1"/>
  <c r="Z75" i="1" l="1"/>
  <c r="BD75" i="1" s="1"/>
  <c r="T75" i="1"/>
  <c r="AX75" i="1" s="1"/>
  <c r="CK75" i="1"/>
  <c r="Y75" i="1"/>
  <c r="BC75" i="1" s="1"/>
  <c r="S75" i="1"/>
  <c r="AD75" i="1"/>
  <c r="BH75" i="1" s="1"/>
  <c r="X75" i="1"/>
  <c r="BB75" i="1" s="1"/>
  <c r="AB75" i="1"/>
  <c r="BF75" i="1" s="1"/>
  <c r="AA75" i="1"/>
  <c r="BE75" i="1" s="1"/>
  <c r="V75" i="1"/>
  <c r="AZ75" i="1" s="1"/>
  <c r="W75" i="1"/>
  <c r="BA75" i="1" s="1"/>
  <c r="AW9" i="1"/>
  <c r="AD10" i="1"/>
  <c r="BH10" i="1" s="1"/>
  <c r="Z13" i="1"/>
  <c r="BD13" i="1" s="1"/>
  <c r="J19" i="1"/>
  <c r="AW90" i="1"/>
  <c r="AA8" i="1"/>
  <c r="U8" i="1"/>
  <c r="Z8" i="1"/>
  <c r="T8" i="1"/>
  <c r="CK8" i="1"/>
  <c r="Y8" i="1"/>
  <c r="S8" i="1"/>
  <c r="AC8" i="1"/>
  <c r="Y11" i="1"/>
  <c r="BC11" i="1" s="1"/>
  <c r="X12" i="1"/>
  <c r="BB12" i="1" s="1"/>
  <c r="AD13" i="1"/>
  <c r="BH13" i="1" s="1"/>
  <c r="AA13" i="1"/>
  <c r="BE13" i="1" s="1"/>
  <c r="AA14" i="1"/>
  <c r="BE14" i="1" s="1"/>
  <c r="U14" i="1"/>
  <c r="AY14" i="1" s="1"/>
  <c r="S14" i="1"/>
  <c r="Z14" i="1"/>
  <c r="BD14" i="1" s="1"/>
  <c r="T14" i="1"/>
  <c r="AX14" i="1" s="1"/>
  <c r="CK14" i="1"/>
  <c r="Y14" i="1"/>
  <c r="BC14" i="1" s="1"/>
  <c r="AC14" i="1"/>
  <c r="BG14" i="1" s="1"/>
  <c r="V16" i="1"/>
  <c r="AZ16" i="1" s="1"/>
  <c r="Y17" i="1"/>
  <c r="BC17" i="1" s="1"/>
  <c r="AD19" i="1"/>
  <c r="BH19" i="1" s="1"/>
  <c r="AA19" i="1"/>
  <c r="BE19" i="1" s="1"/>
  <c r="AA20" i="1"/>
  <c r="BE20" i="1" s="1"/>
  <c r="U20" i="1"/>
  <c r="AY20" i="1" s="1"/>
  <c r="CK20" i="1"/>
  <c r="S20" i="1"/>
  <c r="Z20" i="1"/>
  <c r="BD20" i="1" s="1"/>
  <c r="T20" i="1"/>
  <c r="AX20" i="1" s="1"/>
  <c r="Y20" i="1"/>
  <c r="BC20" i="1" s="1"/>
  <c r="AC20" i="1"/>
  <c r="BG20" i="1" s="1"/>
  <c r="J23" i="1"/>
  <c r="Z23" i="1"/>
  <c r="BD23" i="1" s="1"/>
  <c r="AW25" i="1"/>
  <c r="AD26" i="1"/>
  <c r="BH26" i="1" s="1"/>
  <c r="J29" i="1"/>
  <c r="Z29" i="1"/>
  <c r="BD29" i="1" s="1"/>
  <c r="AW31" i="1"/>
  <c r="AV31" i="1" s="1"/>
  <c r="BV31" i="1" s="1"/>
  <c r="J35" i="1"/>
  <c r="Z35" i="1"/>
  <c r="BD35" i="1" s="1"/>
  <c r="R37" i="1"/>
  <c r="AS37" i="1" s="1"/>
  <c r="AW37" i="1"/>
  <c r="J41" i="1"/>
  <c r="Z41" i="1"/>
  <c r="BD41" i="1" s="1"/>
  <c r="T42" i="1"/>
  <c r="AX42" i="1" s="1"/>
  <c r="Z43" i="1"/>
  <c r="BD43" i="1" s="1"/>
  <c r="T43" i="1"/>
  <c r="AX43" i="1" s="1"/>
  <c r="AD43" i="1"/>
  <c r="BH43" i="1" s="1"/>
  <c r="W43" i="1"/>
  <c r="BA43" i="1" s="1"/>
  <c r="AC43" i="1"/>
  <c r="BG43" i="1" s="1"/>
  <c r="V43" i="1"/>
  <c r="AZ43" i="1" s="1"/>
  <c r="AB43" i="1"/>
  <c r="BF43" i="1" s="1"/>
  <c r="U43" i="1"/>
  <c r="AY43" i="1" s="1"/>
  <c r="S46" i="1"/>
  <c r="Y51" i="1"/>
  <c r="BC51" i="1" s="1"/>
  <c r="V58" i="1"/>
  <c r="AZ58" i="1" s="1"/>
  <c r="J58" i="1"/>
  <c r="AA58" i="1"/>
  <c r="BE58" i="1" s="1"/>
  <c r="U58" i="1"/>
  <c r="AY58" i="1" s="1"/>
  <c r="T58" i="1"/>
  <c r="AX58" i="1" s="1"/>
  <c r="Z58" i="1"/>
  <c r="BD58" i="1" s="1"/>
  <c r="AD58" i="1"/>
  <c r="BH58" i="1" s="1"/>
  <c r="S58" i="1"/>
  <c r="AB65" i="1"/>
  <c r="BF65" i="1" s="1"/>
  <c r="AW66" i="1"/>
  <c r="AC75" i="1"/>
  <c r="BG75" i="1" s="1"/>
  <c r="AW88" i="1"/>
  <c r="AA94" i="1"/>
  <c r="BE94" i="1" s="1"/>
  <c r="U94" i="1"/>
  <c r="AY94" i="1" s="1"/>
  <c r="AC94" i="1"/>
  <c r="BG94" i="1" s="1"/>
  <c r="V94" i="1"/>
  <c r="AZ94" i="1" s="1"/>
  <c r="AB94" i="1"/>
  <c r="BF94" i="1" s="1"/>
  <c r="T94" i="1"/>
  <c r="AX94" i="1" s="1"/>
  <c r="Z94" i="1"/>
  <c r="BD94" i="1" s="1"/>
  <c r="S94" i="1"/>
  <c r="CK94" i="1"/>
  <c r="Y94" i="1"/>
  <c r="BC94" i="1" s="1"/>
  <c r="AD94" i="1"/>
  <c r="BH94" i="1" s="1"/>
  <c r="X94" i="1"/>
  <c r="BB94" i="1" s="1"/>
  <c r="CK113" i="1"/>
  <c r="Y113" i="1"/>
  <c r="BC113" i="1" s="1"/>
  <c r="S113" i="1"/>
  <c r="AD113" i="1"/>
  <c r="BH113" i="1" s="1"/>
  <c r="X113" i="1"/>
  <c r="BB113" i="1" s="1"/>
  <c r="W113" i="1"/>
  <c r="BA113" i="1" s="1"/>
  <c r="V113" i="1"/>
  <c r="AZ113" i="1" s="1"/>
  <c r="AC113" i="1"/>
  <c r="BG113" i="1" s="1"/>
  <c r="U113" i="1"/>
  <c r="AY113" i="1" s="1"/>
  <c r="AB113" i="1"/>
  <c r="BF113" i="1" s="1"/>
  <c r="T113" i="1"/>
  <c r="AX113" i="1" s="1"/>
  <c r="AA113" i="1"/>
  <c r="BE113" i="1" s="1"/>
  <c r="BB8" i="1"/>
  <c r="AA10" i="1"/>
  <c r="BE10" i="1" s="1"/>
  <c r="U10" i="1"/>
  <c r="AY10" i="1" s="1"/>
  <c r="Y10" i="1"/>
  <c r="BC10" i="1" s="1"/>
  <c r="Z10" i="1"/>
  <c r="BD10" i="1" s="1"/>
  <c r="T10" i="1"/>
  <c r="AX10" i="1" s="1"/>
  <c r="CK10" i="1"/>
  <c r="S10" i="1"/>
  <c r="AC10" i="1"/>
  <c r="BG10" i="1" s="1"/>
  <c r="AW33" i="1"/>
  <c r="Y50" i="1"/>
  <c r="BC50" i="1" s="1"/>
  <c r="X50" i="1"/>
  <c r="BB50" i="1" s="1"/>
  <c r="AD50" i="1"/>
  <c r="BH50" i="1" s="1"/>
  <c r="V50" i="1"/>
  <c r="AZ50" i="1" s="1"/>
  <c r="AV139" i="1"/>
  <c r="BF8" i="1"/>
  <c r="BK269" i="1"/>
  <c r="BK276" i="1" s="1"/>
  <c r="AW21" i="1"/>
  <c r="AA32" i="1"/>
  <c r="BE32" i="1" s="1"/>
  <c r="U32" i="1"/>
  <c r="AY32" i="1" s="1"/>
  <c r="CK32" i="1"/>
  <c r="Y32" i="1"/>
  <c r="BC32" i="1" s="1"/>
  <c r="S32" i="1"/>
  <c r="Z32" i="1"/>
  <c r="BD32" i="1" s="1"/>
  <c r="T32" i="1"/>
  <c r="AX32" i="1" s="1"/>
  <c r="AC32" i="1"/>
  <c r="BG32" i="1" s="1"/>
  <c r="AA38" i="1"/>
  <c r="BE38" i="1" s="1"/>
  <c r="U38" i="1"/>
  <c r="AY38" i="1" s="1"/>
  <c r="CK38" i="1"/>
  <c r="Z38" i="1"/>
  <c r="BD38" i="1" s="1"/>
  <c r="T38" i="1"/>
  <c r="AX38" i="1" s="1"/>
  <c r="Y38" i="1"/>
  <c r="BC38" i="1" s="1"/>
  <c r="S38" i="1"/>
  <c r="AC38" i="1"/>
  <c r="BG38" i="1" s="1"/>
  <c r="BF4" i="1"/>
  <c r="BA211" i="1"/>
  <c r="BA4" i="1"/>
  <c r="BG211" i="1"/>
  <c r="BG4" i="1"/>
  <c r="BN211" i="1"/>
  <c r="BN4" i="1"/>
  <c r="BT211" i="1"/>
  <c r="BT4" i="1"/>
  <c r="AD8" i="1"/>
  <c r="W10" i="1"/>
  <c r="BA10" i="1" s="1"/>
  <c r="Z11" i="1"/>
  <c r="BD11" i="1" s="1"/>
  <c r="S13" i="1"/>
  <c r="AD14" i="1"/>
  <c r="BH14" i="1" s="1"/>
  <c r="U15" i="1"/>
  <c r="AY15" i="1" s="1"/>
  <c r="W16" i="1"/>
  <c r="BA16" i="1" s="1"/>
  <c r="J17" i="1"/>
  <c r="Z17" i="1"/>
  <c r="BD17" i="1" s="1"/>
  <c r="S19" i="1"/>
  <c r="AD20" i="1"/>
  <c r="BH20" i="1" s="1"/>
  <c r="X22" i="1"/>
  <c r="BB22" i="1" s="1"/>
  <c r="AD23" i="1"/>
  <c r="BH23" i="1" s="1"/>
  <c r="AA23" i="1"/>
  <c r="BE23" i="1" s="1"/>
  <c r="AA24" i="1"/>
  <c r="BE24" i="1" s="1"/>
  <c r="U24" i="1"/>
  <c r="AY24" i="1" s="1"/>
  <c r="Z24" i="1"/>
  <c r="BD24" i="1" s="1"/>
  <c r="T24" i="1"/>
  <c r="AX24" i="1" s="1"/>
  <c r="S24" i="1"/>
  <c r="CK24" i="1"/>
  <c r="Y24" i="1"/>
  <c r="BC24" i="1" s="1"/>
  <c r="AC24" i="1"/>
  <c r="BG24" i="1" s="1"/>
  <c r="T25" i="1"/>
  <c r="AX25" i="1" s="1"/>
  <c r="Y27" i="1"/>
  <c r="BC27" i="1" s="1"/>
  <c r="X28" i="1"/>
  <c r="BB28" i="1" s="1"/>
  <c r="AD29" i="1"/>
  <c r="BH29" i="1" s="1"/>
  <c r="AA29" i="1"/>
  <c r="BE29" i="1" s="1"/>
  <c r="AA30" i="1"/>
  <c r="BE30" i="1" s="1"/>
  <c r="U30" i="1"/>
  <c r="AY30" i="1" s="1"/>
  <c r="CK30" i="1"/>
  <c r="Y30" i="1"/>
  <c r="BC30" i="1" s="1"/>
  <c r="Z30" i="1"/>
  <c r="BD30" i="1" s="1"/>
  <c r="T30" i="1"/>
  <c r="AX30" i="1" s="1"/>
  <c r="S30" i="1"/>
  <c r="AC30" i="1"/>
  <c r="BG30" i="1" s="1"/>
  <c r="T31" i="1"/>
  <c r="AX31" i="1" s="1"/>
  <c r="V32" i="1"/>
  <c r="AZ32" i="1" s="1"/>
  <c r="Y33" i="1"/>
  <c r="BC33" i="1" s="1"/>
  <c r="X34" i="1"/>
  <c r="BB34" i="1" s="1"/>
  <c r="AD35" i="1"/>
  <c r="BH35" i="1" s="1"/>
  <c r="AA35" i="1"/>
  <c r="BE35" i="1" s="1"/>
  <c r="AA36" i="1"/>
  <c r="BE36" i="1" s="1"/>
  <c r="U36" i="1"/>
  <c r="AY36" i="1" s="1"/>
  <c r="Z36" i="1"/>
  <c r="BD36" i="1" s="1"/>
  <c r="T36" i="1"/>
  <c r="AX36" i="1" s="1"/>
  <c r="CK36" i="1"/>
  <c r="Y36" i="1"/>
  <c r="BC36" i="1" s="1"/>
  <c r="S36" i="1"/>
  <c r="AC36" i="1"/>
  <c r="BG36" i="1" s="1"/>
  <c r="T37" i="1"/>
  <c r="AX37" i="1" s="1"/>
  <c r="V38" i="1"/>
  <c r="AZ38" i="1" s="1"/>
  <c r="Y39" i="1"/>
  <c r="BC39" i="1" s="1"/>
  <c r="AD41" i="1"/>
  <c r="BH41" i="1" s="1"/>
  <c r="AA41" i="1"/>
  <c r="BE41" i="1" s="1"/>
  <c r="AW42" i="1"/>
  <c r="CK43" i="1"/>
  <c r="T46" i="1"/>
  <c r="AX46" i="1" s="1"/>
  <c r="Z47" i="1"/>
  <c r="BD47" i="1" s="1"/>
  <c r="T47" i="1"/>
  <c r="AX47" i="1" s="1"/>
  <c r="AD47" i="1"/>
  <c r="BH47" i="1" s="1"/>
  <c r="W47" i="1"/>
  <c r="BA47" i="1" s="1"/>
  <c r="AC47" i="1"/>
  <c r="BG47" i="1" s="1"/>
  <c r="V47" i="1"/>
  <c r="AZ47" i="1" s="1"/>
  <c r="AB47" i="1"/>
  <c r="BF47" i="1" s="1"/>
  <c r="U47" i="1"/>
  <c r="AY47" i="1" s="1"/>
  <c r="S50" i="1"/>
  <c r="AB62" i="1"/>
  <c r="BF62" i="1" s="1"/>
  <c r="V62" i="1"/>
  <c r="AZ62" i="1" s="1"/>
  <c r="J62" i="1"/>
  <c r="AA62" i="1"/>
  <c r="BE62" i="1" s="1"/>
  <c r="U62" i="1"/>
  <c r="AY62" i="1" s="1"/>
  <c r="S62" i="1"/>
  <c r="Y62" i="1"/>
  <c r="BC62" i="1" s="1"/>
  <c r="AD62" i="1"/>
  <c r="BH62" i="1" s="1"/>
  <c r="Z62" i="1"/>
  <c r="BD62" i="1" s="1"/>
  <c r="V72" i="1"/>
  <c r="AZ72" i="1" s="1"/>
  <c r="J72" i="1"/>
  <c r="T72" i="1"/>
  <c r="AX72" i="1" s="1"/>
  <c r="AD72" i="1"/>
  <c r="BH72" i="1" s="1"/>
  <c r="S72" i="1"/>
  <c r="Z72" i="1"/>
  <c r="BD72" i="1" s="1"/>
  <c r="AW86" i="1"/>
  <c r="AD101" i="1"/>
  <c r="BH101" i="1" s="1"/>
  <c r="X101" i="1"/>
  <c r="BB101" i="1" s="1"/>
  <c r="W101" i="1"/>
  <c r="BA101" i="1" s="1"/>
  <c r="AC101" i="1"/>
  <c r="BG101" i="1" s="1"/>
  <c r="V101" i="1"/>
  <c r="AZ101" i="1" s="1"/>
  <c r="AB101" i="1"/>
  <c r="BF101" i="1" s="1"/>
  <c r="U101" i="1"/>
  <c r="AY101" i="1" s="1"/>
  <c r="AA101" i="1"/>
  <c r="BE101" i="1" s="1"/>
  <c r="T101" i="1"/>
  <c r="AX101" i="1" s="1"/>
  <c r="Z101" i="1"/>
  <c r="BD101" i="1" s="1"/>
  <c r="Y101" i="1"/>
  <c r="BC101" i="1" s="1"/>
  <c r="CK101" i="1"/>
  <c r="S101" i="1"/>
  <c r="AW105" i="1"/>
  <c r="AB112" i="1"/>
  <c r="BF112" i="1" s="1"/>
  <c r="V112" i="1"/>
  <c r="AZ112" i="1" s="1"/>
  <c r="AA112" i="1"/>
  <c r="BE112" i="1" s="1"/>
  <c r="U112" i="1"/>
  <c r="AY112" i="1" s="1"/>
  <c r="X112" i="1"/>
  <c r="BB112" i="1" s="1"/>
  <c r="W112" i="1"/>
  <c r="BA112" i="1" s="1"/>
  <c r="AD112" i="1"/>
  <c r="BH112" i="1" s="1"/>
  <c r="T112" i="1"/>
  <c r="AX112" i="1" s="1"/>
  <c r="AC112" i="1"/>
  <c r="BG112" i="1" s="1"/>
  <c r="S112" i="1"/>
  <c r="CK112" i="1"/>
  <c r="Z112" i="1"/>
  <c r="BD112" i="1" s="1"/>
  <c r="Y112" i="1"/>
  <c r="BC112" i="1" s="1"/>
  <c r="CK119" i="1"/>
  <c r="Y119" i="1"/>
  <c r="BC119" i="1" s="1"/>
  <c r="S119" i="1"/>
  <c r="AD119" i="1"/>
  <c r="BH119" i="1" s="1"/>
  <c r="X119" i="1"/>
  <c r="BB119" i="1" s="1"/>
  <c r="W119" i="1"/>
  <c r="BA119" i="1" s="1"/>
  <c r="V119" i="1"/>
  <c r="AZ119" i="1" s="1"/>
  <c r="AC119" i="1"/>
  <c r="BG119" i="1" s="1"/>
  <c r="U119" i="1"/>
  <c r="AY119" i="1" s="1"/>
  <c r="AB119" i="1"/>
  <c r="BF119" i="1" s="1"/>
  <c r="T119" i="1"/>
  <c r="AX119" i="1" s="1"/>
  <c r="AA119" i="1"/>
  <c r="BE119" i="1" s="1"/>
  <c r="Z141" i="1"/>
  <c r="BD141" i="1" s="1"/>
  <c r="T141" i="1"/>
  <c r="AX141" i="1" s="1"/>
  <c r="CK141" i="1"/>
  <c r="Y141" i="1"/>
  <c r="BC141" i="1" s="1"/>
  <c r="AC141" i="1"/>
  <c r="BG141" i="1" s="1"/>
  <c r="V141" i="1"/>
  <c r="AZ141" i="1" s="1"/>
  <c r="AA141" i="1"/>
  <c r="BE141" i="1" s="1"/>
  <c r="X141" i="1"/>
  <c r="BB141" i="1" s="1"/>
  <c r="W141" i="1"/>
  <c r="BA141" i="1" s="1"/>
  <c r="U141" i="1"/>
  <c r="AY141" i="1" s="1"/>
  <c r="AD141" i="1"/>
  <c r="BH141" i="1" s="1"/>
  <c r="AB141" i="1"/>
  <c r="BF141" i="1" s="1"/>
  <c r="AW27" i="1"/>
  <c r="CC37" i="1"/>
  <c r="AW51" i="1"/>
  <c r="AW92" i="1"/>
  <c r="AW15" i="1"/>
  <c r="AA26" i="1"/>
  <c r="BE26" i="1" s="1"/>
  <c r="U26" i="1"/>
  <c r="AY26" i="1" s="1"/>
  <c r="Z26" i="1"/>
  <c r="BD26" i="1" s="1"/>
  <c r="T26" i="1"/>
  <c r="AX26" i="1" s="1"/>
  <c r="Y26" i="1"/>
  <c r="BC26" i="1" s="1"/>
  <c r="CK26" i="1"/>
  <c r="S26" i="1"/>
  <c r="J50" i="1"/>
  <c r="Z65" i="1"/>
  <c r="BD65" i="1" s="1"/>
  <c r="T65" i="1"/>
  <c r="AX65" i="1" s="1"/>
  <c r="CK65" i="1"/>
  <c r="Y65" i="1"/>
  <c r="BC65" i="1" s="1"/>
  <c r="S65" i="1"/>
  <c r="AD65" i="1"/>
  <c r="BH65" i="1" s="1"/>
  <c r="X65" i="1"/>
  <c r="BB65" i="1" s="1"/>
  <c r="AA65" i="1"/>
  <c r="BE65" i="1" s="1"/>
  <c r="W65" i="1"/>
  <c r="BA65" i="1" s="1"/>
  <c r="U65" i="1"/>
  <c r="AY65" i="1" s="1"/>
  <c r="V65" i="1"/>
  <c r="AZ65" i="1" s="1"/>
  <c r="U75" i="1"/>
  <c r="AY75" i="1" s="1"/>
  <c r="BR4" i="1"/>
  <c r="V8" i="1"/>
  <c r="X10" i="1"/>
  <c r="BB10" i="1" s="1"/>
  <c r="AA11" i="1"/>
  <c r="BE11" i="1" s="1"/>
  <c r="AA12" i="1"/>
  <c r="BE12" i="1" s="1"/>
  <c r="U12" i="1"/>
  <c r="AY12" i="1" s="1"/>
  <c r="P4" i="2" s="1"/>
  <c r="H4" i="2" s="1"/>
  <c r="CK12" i="1"/>
  <c r="Y12" i="1"/>
  <c r="BC12" i="1" s="1"/>
  <c r="Z12" i="1"/>
  <c r="BD12" i="1" s="1"/>
  <c r="T12" i="1"/>
  <c r="AX12" i="1" s="1"/>
  <c r="S12" i="1"/>
  <c r="AC12" i="1"/>
  <c r="BG12" i="1" s="1"/>
  <c r="T13" i="1"/>
  <c r="AX13" i="1" s="1"/>
  <c r="V14" i="1"/>
  <c r="AZ14" i="1" s="1"/>
  <c r="Y15" i="1"/>
  <c r="BC15" i="1" s="1"/>
  <c r="AD17" i="1"/>
  <c r="BH17" i="1" s="1"/>
  <c r="AA17" i="1"/>
  <c r="BE17" i="1" s="1"/>
  <c r="AA18" i="1"/>
  <c r="BE18" i="1" s="1"/>
  <c r="U18" i="1"/>
  <c r="AY18" i="1" s="1"/>
  <c r="CK18" i="1"/>
  <c r="Z18" i="1"/>
  <c r="BD18" i="1" s="1"/>
  <c r="T18" i="1"/>
  <c r="AX18" i="1" s="1"/>
  <c r="Y18" i="1"/>
  <c r="BC18" i="1" s="1"/>
  <c r="S18" i="1"/>
  <c r="AC18" i="1"/>
  <c r="BG18" i="1" s="1"/>
  <c r="T19" i="1"/>
  <c r="AX19" i="1" s="1"/>
  <c r="V20" i="1"/>
  <c r="AZ20" i="1" s="1"/>
  <c r="AB21" i="1"/>
  <c r="BF21" i="1" s="1"/>
  <c r="V21" i="1"/>
  <c r="AZ21" i="1" s="1"/>
  <c r="S23" i="1"/>
  <c r="BI23" i="1"/>
  <c r="AD24" i="1"/>
  <c r="BH24" i="1" s="1"/>
  <c r="U25" i="1"/>
  <c r="AY25" i="1" s="1"/>
  <c r="W26" i="1"/>
  <c r="BA26" i="1" s="1"/>
  <c r="Z27" i="1"/>
  <c r="BD27" i="1" s="1"/>
  <c r="S29" i="1"/>
  <c r="BI29" i="1"/>
  <c r="AD30" i="1"/>
  <c r="BH30" i="1" s="1"/>
  <c r="U31" i="1"/>
  <c r="AY31" i="1" s="1"/>
  <c r="W32" i="1"/>
  <c r="BA32" i="1" s="1"/>
  <c r="Z33" i="1"/>
  <c r="BD33" i="1" s="1"/>
  <c r="S35" i="1"/>
  <c r="BI35" i="1"/>
  <c r="AD36" i="1"/>
  <c r="BH36" i="1" s="1"/>
  <c r="U37" i="1"/>
  <c r="AY37" i="1" s="1"/>
  <c r="W38" i="1"/>
  <c r="BA38" i="1" s="1"/>
  <c r="Z39" i="1"/>
  <c r="BD39" i="1" s="1"/>
  <c r="S41" i="1"/>
  <c r="BI41" i="1"/>
  <c r="Y42" i="1"/>
  <c r="BC42" i="1" s="1"/>
  <c r="X42" i="1"/>
  <c r="BB42" i="1" s="1"/>
  <c r="AD42" i="1"/>
  <c r="BH42" i="1" s="1"/>
  <c r="V42" i="1"/>
  <c r="AZ42" i="1" s="1"/>
  <c r="Z42" i="1"/>
  <c r="BD42" i="1" s="1"/>
  <c r="S43" i="1"/>
  <c r="CK47" i="1"/>
  <c r="T50" i="1"/>
  <c r="AX50" i="1" s="1"/>
  <c r="Z51" i="1"/>
  <c r="BD51" i="1" s="1"/>
  <c r="T51" i="1"/>
  <c r="AX51" i="1" s="1"/>
  <c r="AD51" i="1"/>
  <c r="BH51" i="1" s="1"/>
  <c r="W51" i="1"/>
  <c r="BA51" i="1" s="1"/>
  <c r="AC51" i="1"/>
  <c r="BG51" i="1" s="1"/>
  <c r="V51" i="1"/>
  <c r="AZ51" i="1" s="1"/>
  <c r="AB51" i="1"/>
  <c r="BF51" i="1" s="1"/>
  <c r="U51" i="1"/>
  <c r="AY51" i="1" s="1"/>
  <c r="J76" i="1"/>
  <c r="S76" i="1"/>
  <c r="Y76" i="1"/>
  <c r="BC76" i="1" s="1"/>
  <c r="AD76" i="1"/>
  <c r="BH76" i="1" s="1"/>
  <c r="Z76" i="1"/>
  <c r="BD76" i="1" s="1"/>
  <c r="AW84" i="1"/>
  <c r="AA103" i="1"/>
  <c r="BE103" i="1" s="1"/>
  <c r="T103" i="1"/>
  <c r="AX103" i="1" s="1"/>
  <c r="Z103" i="1"/>
  <c r="BD103" i="1" s="1"/>
  <c r="S103" i="1"/>
  <c r="AB103" i="1"/>
  <c r="BF103" i="1" s="1"/>
  <c r="V103" i="1"/>
  <c r="AZ103" i="1" s="1"/>
  <c r="U103" i="1"/>
  <c r="AY103" i="1" s="1"/>
  <c r="AB118" i="1"/>
  <c r="BF118" i="1" s="1"/>
  <c r="V118" i="1"/>
  <c r="AZ118" i="1" s="1"/>
  <c r="AA118" i="1"/>
  <c r="BE118" i="1" s="1"/>
  <c r="U118" i="1"/>
  <c r="AY118" i="1" s="1"/>
  <c r="X118" i="1"/>
  <c r="BB118" i="1" s="1"/>
  <c r="W118" i="1"/>
  <c r="BA118" i="1" s="1"/>
  <c r="AD118" i="1"/>
  <c r="BH118" i="1" s="1"/>
  <c r="T118" i="1"/>
  <c r="AX118" i="1" s="1"/>
  <c r="AC118" i="1"/>
  <c r="BG118" i="1" s="1"/>
  <c r="S118" i="1"/>
  <c r="CK118" i="1"/>
  <c r="Z118" i="1"/>
  <c r="BD118" i="1" s="1"/>
  <c r="Y118" i="1"/>
  <c r="BC118" i="1" s="1"/>
  <c r="Z119" i="1"/>
  <c r="BD119" i="1" s="1"/>
  <c r="J120" i="1"/>
  <c r="T120" i="1"/>
  <c r="AX120" i="1" s="1"/>
  <c r="S120" i="1"/>
  <c r="AD120" i="1"/>
  <c r="BH120" i="1" s="1"/>
  <c r="Z120" i="1"/>
  <c r="BD120" i="1" s="1"/>
  <c r="Y120" i="1"/>
  <c r="BC120" i="1" s="1"/>
  <c r="X120" i="1"/>
  <c r="BB120" i="1" s="1"/>
  <c r="S141" i="1"/>
  <c r="BJ276" i="1"/>
  <c r="BJ271" i="1"/>
  <c r="BK271" i="1" s="1"/>
  <c r="AA16" i="1"/>
  <c r="BE16" i="1" s="1"/>
  <c r="U16" i="1"/>
  <c r="AY16" i="1" s="1"/>
  <c r="P15" i="2" s="1"/>
  <c r="H15" i="2" s="1"/>
  <c r="Y16" i="1"/>
  <c r="BC16" i="1" s="1"/>
  <c r="Z16" i="1"/>
  <c r="BD16" i="1" s="1"/>
  <c r="T16" i="1"/>
  <c r="AX16" i="1" s="1"/>
  <c r="CK16" i="1"/>
  <c r="S16" i="1"/>
  <c r="AC16" i="1"/>
  <c r="BG16" i="1" s="1"/>
  <c r="AW39" i="1"/>
  <c r="AW80" i="1"/>
  <c r="BQ269" i="1"/>
  <c r="BQ276" i="1" s="1"/>
  <c r="J13" i="1"/>
  <c r="BI15" i="1"/>
  <c r="AD16" i="1"/>
  <c r="BH16" i="1" s="1"/>
  <c r="Z19" i="1"/>
  <c r="BD19" i="1" s="1"/>
  <c r="AC26" i="1"/>
  <c r="BG26" i="1" s="1"/>
  <c r="AA50" i="1"/>
  <c r="BE50" i="1" s="1"/>
  <c r="AB54" i="1"/>
  <c r="BF54" i="1" s="1"/>
  <c r="V54" i="1"/>
  <c r="AZ54" i="1" s="1"/>
  <c r="J54" i="1"/>
  <c r="AA54" i="1"/>
  <c r="BE54" i="1" s="1"/>
  <c r="U54" i="1"/>
  <c r="AY54" i="1" s="1"/>
  <c r="T54" i="1"/>
  <c r="AX54" i="1" s="1"/>
  <c r="Z54" i="1"/>
  <c r="BD54" i="1" s="1"/>
  <c r="S54" i="1"/>
  <c r="AW78" i="1"/>
  <c r="Y104" i="1"/>
  <c r="BC104" i="1" s="1"/>
  <c r="J104" i="1"/>
  <c r="Z104" i="1"/>
  <c r="BD104" i="1" s="1"/>
  <c r="T104" i="1"/>
  <c r="AX104" i="1" s="1"/>
  <c r="S104" i="1"/>
  <c r="BA8" i="1"/>
  <c r="BI8" i="1"/>
  <c r="BO269" i="1"/>
  <c r="BO276" i="1" s="1"/>
  <c r="BU269" i="1"/>
  <c r="BU276" i="1" s="1"/>
  <c r="AB10" i="1"/>
  <c r="BF10" i="1" s="1"/>
  <c r="S11" i="1"/>
  <c r="BI11" i="1"/>
  <c r="AD12" i="1"/>
  <c r="BH12" i="1" s="1"/>
  <c r="U13" i="1"/>
  <c r="AY13" i="1" s="1"/>
  <c r="W14" i="1"/>
  <c r="BA14" i="1" s="1"/>
  <c r="Z15" i="1"/>
  <c r="BD15" i="1" s="1"/>
  <c r="AB16" i="1"/>
  <c r="BF16" i="1" s="1"/>
  <c r="S17" i="1"/>
  <c r="BI17" i="1"/>
  <c r="AD18" i="1"/>
  <c r="BH18" i="1" s="1"/>
  <c r="U19" i="1"/>
  <c r="AY19" i="1" s="1"/>
  <c r="W20" i="1"/>
  <c r="BA20" i="1" s="1"/>
  <c r="AA22" i="1"/>
  <c r="BE22" i="1" s="1"/>
  <c r="U22" i="1"/>
  <c r="AY22" i="1" s="1"/>
  <c r="Z22" i="1"/>
  <c r="BD22" i="1" s="1"/>
  <c r="T22" i="1"/>
  <c r="AX22" i="1" s="1"/>
  <c r="Y22" i="1"/>
  <c r="BC22" i="1" s="1"/>
  <c r="CK22" i="1"/>
  <c r="S22" i="1"/>
  <c r="AC22" i="1"/>
  <c r="BG22" i="1" s="1"/>
  <c r="T23" i="1"/>
  <c r="AX23" i="1" s="1"/>
  <c r="Y25" i="1"/>
  <c r="BC25" i="1" s="1"/>
  <c r="X26" i="1"/>
  <c r="BB26" i="1" s="1"/>
  <c r="AA27" i="1"/>
  <c r="BE27" i="1" s="1"/>
  <c r="AA28" i="1"/>
  <c r="BE28" i="1" s="1"/>
  <c r="U28" i="1"/>
  <c r="AY28" i="1" s="1"/>
  <c r="P30" i="2" s="1"/>
  <c r="H30" i="2" s="1"/>
  <c r="CK28" i="1"/>
  <c r="Z28" i="1"/>
  <c r="BD28" i="1" s="1"/>
  <c r="T28" i="1"/>
  <c r="AX28" i="1" s="1"/>
  <c r="Y28" i="1"/>
  <c r="BC28" i="1" s="1"/>
  <c r="S28" i="1"/>
  <c r="AC28" i="1"/>
  <c r="BG28" i="1" s="1"/>
  <c r="T29" i="1"/>
  <c r="AX29" i="1" s="1"/>
  <c r="Y31" i="1"/>
  <c r="BC31" i="1" s="1"/>
  <c r="X32" i="1"/>
  <c r="BB32" i="1" s="1"/>
  <c r="AA33" i="1"/>
  <c r="BE33" i="1" s="1"/>
  <c r="AA34" i="1"/>
  <c r="BE34" i="1" s="1"/>
  <c r="U34" i="1"/>
  <c r="AY34" i="1" s="1"/>
  <c r="P6" i="2" s="1"/>
  <c r="H6" i="2" s="1"/>
  <c r="CK34" i="1"/>
  <c r="Y34" i="1"/>
  <c r="BC34" i="1" s="1"/>
  <c r="S34" i="1"/>
  <c r="Z34" i="1"/>
  <c r="BD34" i="1" s="1"/>
  <c r="T34" i="1"/>
  <c r="AX34" i="1" s="1"/>
  <c r="AC34" i="1"/>
  <c r="BG34" i="1" s="1"/>
  <c r="T35" i="1"/>
  <c r="AX35" i="1" s="1"/>
  <c r="Y37" i="1"/>
  <c r="BC37" i="1" s="1"/>
  <c r="X38" i="1"/>
  <c r="BB38" i="1" s="1"/>
  <c r="AD39" i="1"/>
  <c r="BH39" i="1" s="1"/>
  <c r="AA39" i="1"/>
  <c r="BE39" i="1" s="1"/>
  <c r="AA40" i="1"/>
  <c r="BE40" i="1" s="1"/>
  <c r="U40" i="1"/>
  <c r="AY40" i="1" s="1"/>
  <c r="Z40" i="1"/>
  <c r="BD40" i="1" s="1"/>
  <c r="T40" i="1"/>
  <c r="AX40" i="1" s="1"/>
  <c r="CK40" i="1"/>
  <c r="Y40" i="1"/>
  <c r="BC40" i="1" s="1"/>
  <c r="S40" i="1"/>
  <c r="AC40" i="1"/>
  <c r="BG40" i="1" s="1"/>
  <c r="T41" i="1"/>
  <c r="AX41" i="1" s="1"/>
  <c r="AA42" i="1"/>
  <c r="BE42" i="1" s="1"/>
  <c r="X43" i="1"/>
  <c r="BB43" i="1" s="1"/>
  <c r="BI45" i="1"/>
  <c r="Y46" i="1"/>
  <c r="BC46" i="1" s="1"/>
  <c r="X46" i="1"/>
  <c r="BB46" i="1" s="1"/>
  <c r="AD46" i="1"/>
  <c r="BH46" i="1" s="1"/>
  <c r="V46" i="1"/>
  <c r="AZ46" i="1" s="1"/>
  <c r="Z46" i="1"/>
  <c r="BD46" i="1" s="1"/>
  <c r="S47" i="1"/>
  <c r="U50" i="1"/>
  <c r="AY50" i="1" s="1"/>
  <c r="BI50" i="1"/>
  <c r="CK51" i="1"/>
  <c r="Y54" i="1"/>
  <c r="BC54" i="1" s="1"/>
  <c r="Z61" i="1"/>
  <c r="BD61" i="1" s="1"/>
  <c r="T61" i="1"/>
  <c r="AX61" i="1" s="1"/>
  <c r="CK61" i="1"/>
  <c r="Y61" i="1"/>
  <c r="BC61" i="1" s="1"/>
  <c r="S61" i="1"/>
  <c r="AD61" i="1"/>
  <c r="BH61" i="1" s="1"/>
  <c r="X61" i="1"/>
  <c r="BB61" i="1" s="1"/>
  <c r="AB61" i="1"/>
  <c r="BF61" i="1" s="1"/>
  <c r="AA61" i="1"/>
  <c r="BE61" i="1" s="1"/>
  <c r="V61" i="1"/>
  <c r="AZ61" i="1" s="1"/>
  <c r="W61" i="1"/>
  <c r="BA61" i="1" s="1"/>
  <c r="BI64" i="1"/>
  <c r="AW82" i="1"/>
  <c r="AA106" i="1"/>
  <c r="BE106" i="1" s="1"/>
  <c r="U106" i="1"/>
  <c r="AY106" i="1" s="1"/>
  <c r="AC106" i="1"/>
  <c r="BG106" i="1" s="1"/>
  <c r="V106" i="1"/>
  <c r="AZ106" i="1" s="1"/>
  <c r="AB106" i="1"/>
  <c r="BF106" i="1" s="1"/>
  <c r="T106" i="1"/>
  <c r="AX106" i="1" s="1"/>
  <c r="Z106" i="1"/>
  <c r="BD106" i="1" s="1"/>
  <c r="S106" i="1"/>
  <c r="CK106" i="1"/>
  <c r="Y106" i="1"/>
  <c r="BC106" i="1" s="1"/>
  <c r="AD106" i="1"/>
  <c r="BH106" i="1" s="1"/>
  <c r="X106" i="1"/>
  <c r="BB106" i="1" s="1"/>
  <c r="W106" i="1"/>
  <c r="BA106" i="1" s="1"/>
  <c r="AW108" i="1"/>
  <c r="AB66" i="1"/>
  <c r="BF66" i="1" s="1"/>
  <c r="V66" i="1"/>
  <c r="AZ66" i="1" s="1"/>
  <c r="J66" i="1"/>
  <c r="AA66" i="1"/>
  <c r="BE66" i="1" s="1"/>
  <c r="U66" i="1"/>
  <c r="AY66" i="1" s="1"/>
  <c r="Z69" i="1"/>
  <c r="BD69" i="1" s="1"/>
  <c r="T69" i="1"/>
  <c r="AX69" i="1" s="1"/>
  <c r="CK69" i="1"/>
  <c r="Y69" i="1"/>
  <c r="BC69" i="1" s="1"/>
  <c r="S69" i="1"/>
  <c r="AD69" i="1"/>
  <c r="BH69" i="1" s="1"/>
  <c r="X69" i="1"/>
  <c r="BB69" i="1" s="1"/>
  <c r="AC69" i="1"/>
  <c r="BG69" i="1" s="1"/>
  <c r="AA99" i="1"/>
  <c r="BE99" i="1" s="1"/>
  <c r="T99" i="1"/>
  <c r="AX99" i="1" s="1"/>
  <c r="Z99" i="1"/>
  <c r="BD99" i="1" s="1"/>
  <c r="S99" i="1"/>
  <c r="AC99" i="1"/>
  <c r="BG99" i="1" s="1"/>
  <c r="Y100" i="1"/>
  <c r="BC100" i="1" s="1"/>
  <c r="J100" i="1"/>
  <c r="AB100" i="1"/>
  <c r="BF100" i="1" s="1"/>
  <c r="W103" i="1"/>
  <c r="BA103" i="1" s="1"/>
  <c r="AD104" i="1"/>
  <c r="BH104" i="1" s="1"/>
  <c r="AB110" i="1"/>
  <c r="BF110" i="1" s="1"/>
  <c r="V110" i="1"/>
  <c r="AZ110" i="1" s="1"/>
  <c r="AA110" i="1"/>
  <c r="BE110" i="1" s="1"/>
  <c r="U110" i="1"/>
  <c r="AY110" i="1" s="1"/>
  <c r="X110" i="1"/>
  <c r="BB110" i="1" s="1"/>
  <c r="W110" i="1"/>
  <c r="BA110" i="1" s="1"/>
  <c r="AD110" i="1"/>
  <c r="BH110" i="1" s="1"/>
  <c r="T110" i="1"/>
  <c r="AX110" i="1" s="1"/>
  <c r="AC110" i="1"/>
  <c r="BG110" i="1" s="1"/>
  <c r="S110" i="1"/>
  <c r="CK111" i="1"/>
  <c r="Y111" i="1"/>
  <c r="BC111" i="1" s="1"/>
  <c r="S111" i="1"/>
  <c r="AD111" i="1"/>
  <c r="BH111" i="1" s="1"/>
  <c r="X111" i="1"/>
  <c r="BB111" i="1" s="1"/>
  <c r="W111" i="1"/>
  <c r="BA111" i="1" s="1"/>
  <c r="V111" i="1"/>
  <c r="AZ111" i="1" s="1"/>
  <c r="AC111" i="1"/>
  <c r="BG111" i="1" s="1"/>
  <c r="U111" i="1"/>
  <c r="AY111" i="1" s="1"/>
  <c r="AB111" i="1"/>
  <c r="BF111" i="1" s="1"/>
  <c r="T111" i="1"/>
  <c r="AX111" i="1" s="1"/>
  <c r="AB116" i="1"/>
  <c r="BF116" i="1" s="1"/>
  <c r="V116" i="1"/>
  <c r="AZ116" i="1" s="1"/>
  <c r="AA116" i="1"/>
  <c r="BE116" i="1" s="1"/>
  <c r="U116" i="1"/>
  <c r="AY116" i="1" s="1"/>
  <c r="X116" i="1"/>
  <c r="BB116" i="1" s="1"/>
  <c r="W116" i="1"/>
  <c r="BA116" i="1" s="1"/>
  <c r="AD116" i="1"/>
  <c r="BH116" i="1" s="1"/>
  <c r="T116" i="1"/>
  <c r="AX116" i="1" s="1"/>
  <c r="AC116" i="1"/>
  <c r="BG116" i="1" s="1"/>
  <c r="S116" i="1"/>
  <c r="CK117" i="1"/>
  <c r="Y117" i="1"/>
  <c r="BC117" i="1" s="1"/>
  <c r="S117" i="1"/>
  <c r="AD117" i="1"/>
  <c r="BH117" i="1" s="1"/>
  <c r="X117" i="1"/>
  <c r="BB117" i="1" s="1"/>
  <c r="W117" i="1"/>
  <c r="BA117" i="1" s="1"/>
  <c r="V117" i="1"/>
  <c r="AZ117" i="1" s="1"/>
  <c r="AC117" i="1"/>
  <c r="BG117" i="1" s="1"/>
  <c r="U117" i="1"/>
  <c r="AY117" i="1" s="1"/>
  <c r="AB117" i="1"/>
  <c r="BF117" i="1" s="1"/>
  <c r="T117" i="1"/>
  <c r="AX117" i="1" s="1"/>
  <c r="BI119" i="1"/>
  <c r="J124" i="1"/>
  <c r="S124" i="1"/>
  <c r="AD124" i="1"/>
  <c r="BH124" i="1" s="1"/>
  <c r="Z124" i="1"/>
  <c r="BD124" i="1" s="1"/>
  <c r="AV150" i="1"/>
  <c r="BV150" i="1" s="1"/>
  <c r="AC54" i="1"/>
  <c r="BG54" i="1" s="1"/>
  <c r="X66" i="1"/>
  <c r="BB66" i="1" s="1"/>
  <c r="BL269" i="1"/>
  <c r="BL276" i="1" s="1"/>
  <c r="Z45" i="1"/>
  <c r="BD45" i="1" s="1"/>
  <c r="T45" i="1"/>
  <c r="AX45" i="1" s="1"/>
  <c r="X45" i="1"/>
  <c r="BB45" i="1" s="1"/>
  <c r="Z49" i="1"/>
  <c r="BD49" i="1" s="1"/>
  <c r="T49" i="1"/>
  <c r="AX49" i="1" s="1"/>
  <c r="X49" i="1"/>
  <c r="BB49" i="1" s="1"/>
  <c r="U55" i="1"/>
  <c r="AY55" i="1" s="1"/>
  <c r="AB56" i="1"/>
  <c r="BF56" i="1" s="1"/>
  <c r="V56" i="1"/>
  <c r="AZ56" i="1" s="1"/>
  <c r="J56" i="1"/>
  <c r="AA56" i="1"/>
  <c r="BE56" i="1" s="1"/>
  <c r="U56" i="1"/>
  <c r="AY56" i="1" s="1"/>
  <c r="P19" i="2" s="1"/>
  <c r="H19" i="2" s="1"/>
  <c r="Z59" i="1"/>
  <c r="BD59" i="1" s="1"/>
  <c r="T59" i="1"/>
  <c r="AX59" i="1" s="1"/>
  <c r="CK59" i="1"/>
  <c r="Y59" i="1"/>
  <c r="BC59" i="1" s="1"/>
  <c r="S59" i="1"/>
  <c r="AD59" i="1"/>
  <c r="BH59" i="1" s="1"/>
  <c r="X59" i="1"/>
  <c r="BB59" i="1" s="1"/>
  <c r="AC59" i="1"/>
  <c r="BG59" i="1" s="1"/>
  <c r="AC62" i="1"/>
  <c r="BG62" i="1" s="1"/>
  <c r="Z63" i="1"/>
  <c r="BD63" i="1" s="1"/>
  <c r="T63" i="1"/>
  <c r="AX63" i="1" s="1"/>
  <c r="CK63" i="1"/>
  <c r="Y63" i="1"/>
  <c r="BC63" i="1" s="1"/>
  <c r="S63" i="1"/>
  <c r="AD63" i="1"/>
  <c r="BH63" i="1" s="1"/>
  <c r="X63" i="1"/>
  <c r="BB63" i="1" s="1"/>
  <c r="AC63" i="1"/>
  <c r="BG63" i="1" s="1"/>
  <c r="Y66" i="1"/>
  <c r="BC66" i="1" s="1"/>
  <c r="U69" i="1"/>
  <c r="AY69" i="1" s="1"/>
  <c r="AB70" i="1"/>
  <c r="BF70" i="1" s="1"/>
  <c r="V70" i="1"/>
  <c r="AZ70" i="1" s="1"/>
  <c r="J70" i="1"/>
  <c r="X70" i="1"/>
  <c r="BB70" i="1" s="1"/>
  <c r="AV70" i="1" s="1"/>
  <c r="BV70" i="1" s="1"/>
  <c r="Z73" i="1"/>
  <c r="BD73" i="1" s="1"/>
  <c r="T73" i="1"/>
  <c r="AX73" i="1" s="1"/>
  <c r="CK73" i="1"/>
  <c r="Y73" i="1"/>
  <c r="BC73" i="1" s="1"/>
  <c r="S73" i="1"/>
  <c r="AD73" i="1"/>
  <c r="BH73" i="1" s="1"/>
  <c r="X73" i="1"/>
  <c r="BB73" i="1" s="1"/>
  <c r="AC73" i="1"/>
  <c r="BG73" i="1" s="1"/>
  <c r="AC76" i="1"/>
  <c r="BG76" i="1" s="1"/>
  <c r="Z77" i="1"/>
  <c r="BD77" i="1" s="1"/>
  <c r="T77" i="1"/>
  <c r="AX77" i="1" s="1"/>
  <c r="CK77" i="1"/>
  <c r="Y77" i="1"/>
  <c r="BC77" i="1" s="1"/>
  <c r="S77" i="1"/>
  <c r="AD77" i="1"/>
  <c r="BH77" i="1" s="1"/>
  <c r="X77" i="1"/>
  <c r="BB77" i="1" s="1"/>
  <c r="AC77" i="1"/>
  <c r="BG77" i="1" s="1"/>
  <c r="T95" i="1"/>
  <c r="AX95" i="1" s="1"/>
  <c r="Z95" i="1"/>
  <c r="BD95" i="1" s="1"/>
  <c r="S95" i="1"/>
  <c r="AB95" i="1"/>
  <c r="BF95" i="1" s="1"/>
  <c r="AD97" i="1"/>
  <c r="BH97" i="1" s="1"/>
  <c r="X97" i="1"/>
  <c r="BB97" i="1" s="1"/>
  <c r="W97" i="1"/>
  <c r="BA97" i="1" s="1"/>
  <c r="AC97" i="1"/>
  <c r="BG97" i="1" s="1"/>
  <c r="V97" i="1"/>
  <c r="AZ97" i="1" s="1"/>
  <c r="AB97" i="1"/>
  <c r="BF97" i="1" s="1"/>
  <c r="U97" i="1"/>
  <c r="AY97" i="1" s="1"/>
  <c r="AA97" i="1"/>
  <c r="BE97" i="1" s="1"/>
  <c r="T97" i="1"/>
  <c r="AX97" i="1" s="1"/>
  <c r="J99" i="1"/>
  <c r="AA102" i="1"/>
  <c r="BE102" i="1" s="1"/>
  <c r="U102" i="1"/>
  <c r="AY102" i="1" s="1"/>
  <c r="AC102" i="1"/>
  <c r="BG102" i="1" s="1"/>
  <c r="V102" i="1"/>
  <c r="AZ102" i="1" s="1"/>
  <c r="AB102" i="1"/>
  <c r="BF102" i="1" s="1"/>
  <c r="T102" i="1"/>
  <c r="AX102" i="1" s="1"/>
  <c r="Z102" i="1"/>
  <c r="BD102" i="1" s="1"/>
  <c r="S102" i="1"/>
  <c r="CK102" i="1"/>
  <c r="Y102" i="1"/>
  <c r="BC102" i="1" s="1"/>
  <c r="CK109" i="1"/>
  <c r="Y109" i="1"/>
  <c r="BC109" i="1" s="1"/>
  <c r="AD109" i="1"/>
  <c r="BH109" i="1" s="1"/>
  <c r="X109" i="1"/>
  <c r="BB109" i="1" s="1"/>
  <c r="W109" i="1"/>
  <c r="BA109" i="1" s="1"/>
  <c r="V109" i="1"/>
  <c r="AZ109" i="1" s="1"/>
  <c r="AC109" i="1"/>
  <c r="BG109" i="1" s="1"/>
  <c r="U109" i="1"/>
  <c r="AY109" i="1" s="1"/>
  <c r="AB109" i="1"/>
  <c r="BF109" i="1" s="1"/>
  <c r="T109" i="1"/>
  <c r="AX109" i="1" s="1"/>
  <c r="Z111" i="1"/>
  <c r="BD111" i="1" s="1"/>
  <c r="Z117" i="1"/>
  <c r="BD117" i="1" s="1"/>
  <c r="AW153" i="1"/>
  <c r="AC58" i="1"/>
  <c r="BG58" i="1" s="1"/>
  <c r="BB4" i="1"/>
  <c r="BH4" i="1"/>
  <c r="BO4" i="1"/>
  <c r="BU4" i="1"/>
  <c r="BI211" i="1"/>
  <c r="BM269" i="1"/>
  <c r="BM276" i="1" s="1"/>
  <c r="BS269" i="1"/>
  <c r="BS276" i="1" s="1"/>
  <c r="W9" i="1"/>
  <c r="BA9" i="1" s="1"/>
  <c r="AC9" i="1"/>
  <c r="BG9" i="1" s="1"/>
  <c r="W11" i="1"/>
  <c r="BA11" i="1" s="1"/>
  <c r="AC11" i="1"/>
  <c r="BG11" i="1" s="1"/>
  <c r="W13" i="1"/>
  <c r="BA13" i="1" s="1"/>
  <c r="AC13" i="1"/>
  <c r="BG13" i="1" s="1"/>
  <c r="W15" i="1"/>
  <c r="BA15" i="1" s="1"/>
  <c r="AC15" i="1"/>
  <c r="BG15" i="1" s="1"/>
  <c r="W17" i="1"/>
  <c r="BA17" i="1" s="1"/>
  <c r="AC17" i="1"/>
  <c r="BG17" i="1" s="1"/>
  <c r="W19" i="1"/>
  <c r="BA19" i="1" s="1"/>
  <c r="AC19" i="1"/>
  <c r="BG19" i="1" s="1"/>
  <c r="W21" i="1"/>
  <c r="BA21" i="1" s="1"/>
  <c r="AC21" i="1"/>
  <c r="BG21" i="1" s="1"/>
  <c r="W23" i="1"/>
  <c r="BA23" i="1" s="1"/>
  <c r="AC23" i="1"/>
  <c r="BG23" i="1" s="1"/>
  <c r="W25" i="1"/>
  <c r="BA25" i="1" s="1"/>
  <c r="AC25" i="1"/>
  <c r="BG25" i="1" s="1"/>
  <c r="W27" i="1"/>
  <c r="BA27" i="1" s="1"/>
  <c r="AC27" i="1"/>
  <c r="BG27" i="1" s="1"/>
  <c r="W29" i="1"/>
  <c r="BA29" i="1" s="1"/>
  <c r="AC29" i="1"/>
  <c r="BG29" i="1" s="1"/>
  <c r="W31" i="1"/>
  <c r="BA31" i="1" s="1"/>
  <c r="AC31" i="1"/>
  <c r="BG31" i="1" s="1"/>
  <c r="W33" i="1"/>
  <c r="BA33" i="1" s="1"/>
  <c r="AC33" i="1"/>
  <c r="BG33" i="1" s="1"/>
  <c r="W35" i="1"/>
  <c r="BA35" i="1" s="1"/>
  <c r="AC35" i="1"/>
  <c r="BG35" i="1" s="1"/>
  <c r="W37" i="1"/>
  <c r="BA37" i="1" s="1"/>
  <c r="AC37" i="1"/>
  <c r="BG37" i="1" s="1"/>
  <c r="W39" i="1"/>
  <c r="BA39" i="1" s="1"/>
  <c r="AC39" i="1"/>
  <c r="BG39" i="1" s="1"/>
  <c r="W41" i="1"/>
  <c r="BA41" i="1" s="1"/>
  <c r="AC41" i="1"/>
  <c r="BG41" i="1" s="1"/>
  <c r="CK41" i="1"/>
  <c r="AC42" i="1"/>
  <c r="BG42" i="1" s="1"/>
  <c r="T44" i="1"/>
  <c r="AA44" i="1"/>
  <c r="BE44" i="1" s="1"/>
  <c r="Y45" i="1"/>
  <c r="BC45" i="1" s="1"/>
  <c r="CK45" i="1"/>
  <c r="AC46" i="1"/>
  <c r="BG46" i="1" s="1"/>
  <c r="T48" i="1"/>
  <c r="AA48" i="1"/>
  <c r="BE48" i="1" s="1"/>
  <c r="Y49" i="1"/>
  <c r="BC49" i="1" s="1"/>
  <c r="CK49" i="1"/>
  <c r="AC50" i="1"/>
  <c r="BG50" i="1" s="1"/>
  <c r="AA52" i="1"/>
  <c r="BE52" i="1" s="1"/>
  <c r="U52" i="1"/>
  <c r="AY52" i="1" s="1"/>
  <c r="T52" i="1"/>
  <c r="AD52" i="1"/>
  <c r="BH52" i="1" s="1"/>
  <c r="BI52" i="1"/>
  <c r="Y56" i="1"/>
  <c r="BC56" i="1" s="1"/>
  <c r="BI56" i="1"/>
  <c r="U59" i="1"/>
  <c r="AY59" i="1" s="1"/>
  <c r="AB60" i="1"/>
  <c r="BF60" i="1" s="1"/>
  <c r="V60" i="1"/>
  <c r="AZ60" i="1" s="1"/>
  <c r="J60" i="1"/>
  <c r="AA60" i="1"/>
  <c r="BE60" i="1" s="1"/>
  <c r="U60" i="1"/>
  <c r="X60" i="1"/>
  <c r="BB60" i="1" s="1"/>
  <c r="U63" i="1"/>
  <c r="AY63" i="1" s="1"/>
  <c r="V64" i="1"/>
  <c r="AZ64" i="1" s="1"/>
  <c r="J64" i="1"/>
  <c r="AA64" i="1"/>
  <c r="BE64" i="1" s="1"/>
  <c r="U64" i="1"/>
  <c r="X64" i="1"/>
  <c r="BB64" i="1" s="1"/>
  <c r="AC66" i="1"/>
  <c r="BG66" i="1" s="1"/>
  <c r="Z66" i="1"/>
  <c r="BD66" i="1" s="1"/>
  <c r="Z67" i="1"/>
  <c r="BD67" i="1" s="1"/>
  <c r="T67" i="1"/>
  <c r="AX67" i="1" s="1"/>
  <c r="CK67" i="1"/>
  <c r="Y67" i="1"/>
  <c r="BC67" i="1" s="1"/>
  <c r="S67" i="1"/>
  <c r="AD67" i="1"/>
  <c r="BH67" i="1" s="1"/>
  <c r="X67" i="1"/>
  <c r="BB67" i="1" s="1"/>
  <c r="AC67" i="1"/>
  <c r="BG67" i="1" s="1"/>
  <c r="V69" i="1"/>
  <c r="AZ69" i="1" s="1"/>
  <c r="Y70" i="1"/>
  <c r="BC70" i="1" s="1"/>
  <c r="BI70" i="1"/>
  <c r="U73" i="1"/>
  <c r="AY73" i="1" s="1"/>
  <c r="X74" i="1"/>
  <c r="BB74" i="1" s="1"/>
  <c r="BI74" i="1"/>
  <c r="U77" i="1"/>
  <c r="AY77" i="1" s="1"/>
  <c r="AD78" i="1"/>
  <c r="BH78" i="1" s="1"/>
  <c r="X78" i="1"/>
  <c r="BB78" i="1" s="1"/>
  <c r="J78" i="1"/>
  <c r="Z78" i="1"/>
  <c r="BD78" i="1" s="1"/>
  <c r="AA79" i="1"/>
  <c r="BE79" i="1" s="1"/>
  <c r="U79" i="1"/>
  <c r="AY79" i="1" s="1"/>
  <c r="Z79" i="1"/>
  <c r="BD79" i="1" s="1"/>
  <c r="T79" i="1"/>
  <c r="AX79" i="1" s="1"/>
  <c r="CK79" i="1"/>
  <c r="Y79" i="1"/>
  <c r="BC79" i="1" s="1"/>
  <c r="S79" i="1"/>
  <c r="AD79" i="1"/>
  <c r="BH79" i="1" s="1"/>
  <c r="X79" i="1"/>
  <c r="BB79" i="1" s="1"/>
  <c r="AD80" i="1"/>
  <c r="BH80" i="1" s="1"/>
  <c r="X80" i="1"/>
  <c r="BB80" i="1" s="1"/>
  <c r="J80" i="1"/>
  <c r="Z80" i="1"/>
  <c r="BD80" i="1" s="1"/>
  <c r="AA81" i="1"/>
  <c r="BE81" i="1" s="1"/>
  <c r="U81" i="1"/>
  <c r="AY81" i="1" s="1"/>
  <c r="Z81" i="1"/>
  <c r="BD81" i="1" s="1"/>
  <c r="T81" i="1"/>
  <c r="AX81" i="1" s="1"/>
  <c r="CK81" i="1"/>
  <c r="Y81" i="1"/>
  <c r="BC81" i="1" s="1"/>
  <c r="S81" i="1"/>
  <c r="AD81" i="1"/>
  <c r="BH81" i="1" s="1"/>
  <c r="X81" i="1"/>
  <c r="BB81" i="1" s="1"/>
  <c r="AD82" i="1"/>
  <c r="BH82" i="1" s="1"/>
  <c r="X82" i="1"/>
  <c r="BB82" i="1" s="1"/>
  <c r="J82" i="1"/>
  <c r="Z82" i="1"/>
  <c r="BD82" i="1" s="1"/>
  <c r="AA83" i="1"/>
  <c r="BE83" i="1" s="1"/>
  <c r="U83" i="1"/>
  <c r="AY83" i="1" s="1"/>
  <c r="Z83" i="1"/>
  <c r="BD83" i="1" s="1"/>
  <c r="T83" i="1"/>
  <c r="AX83" i="1" s="1"/>
  <c r="CK83" i="1"/>
  <c r="Y83" i="1"/>
  <c r="BC83" i="1" s="1"/>
  <c r="S83" i="1"/>
  <c r="AD83" i="1"/>
  <c r="BH83" i="1" s="1"/>
  <c r="X83" i="1"/>
  <c r="BB83" i="1" s="1"/>
  <c r="AD84" i="1"/>
  <c r="BH84" i="1" s="1"/>
  <c r="X84" i="1"/>
  <c r="BB84" i="1" s="1"/>
  <c r="J84" i="1"/>
  <c r="Z84" i="1"/>
  <c r="BD84" i="1" s="1"/>
  <c r="AA85" i="1"/>
  <c r="BE85" i="1" s="1"/>
  <c r="U85" i="1"/>
  <c r="AY85" i="1" s="1"/>
  <c r="Z85" i="1"/>
  <c r="BD85" i="1" s="1"/>
  <c r="T85" i="1"/>
  <c r="AX85" i="1" s="1"/>
  <c r="CK85" i="1"/>
  <c r="Y85" i="1"/>
  <c r="BC85" i="1" s="1"/>
  <c r="S85" i="1"/>
  <c r="AD85" i="1"/>
  <c r="BH85" i="1" s="1"/>
  <c r="X85" i="1"/>
  <c r="BB85" i="1" s="1"/>
  <c r="AD86" i="1"/>
  <c r="BH86" i="1" s="1"/>
  <c r="X86" i="1"/>
  <c r="BB86" i="1" s="1"/>
  <c r="J86" i="1"/>
  <c r="Z86" i="1"/>
  <c r="BD86" i="1" s="1"/>
  <c r="AA87" i="1"/>
  <c r="BE87" i="1" s="1"/>
  <c r="U87" i="1"/>
  <c r="AY87" i="1" s="1"/>
  <c r="Z87" i="1"/>
  <c r="BD87" i="1" s="1"/>
  <c r="T87" i="1"/>
  <c r="AX87" i="1" s="1"/>
  <c r="CK87" i="1"/>
  <c r="Y87" i="1"/>
  <c r="BC87" i="1" s="1"/>
  <c r="S87" i="1"/>
  <c r="AD87" i="1"/>
  <c r="BH87" i="1" s="1"/>
  <c r="X87" i="1"/>
  <c r="BB87" i="1" s="1"/>
  <c r="AD88" i="1"/>
  <c r="BH88" i="1" s="1"/>
  <c r="X88" i="1"/>
  <c r="BB88" i="1" s="1"/>
  <c r="J88" i="1"/>
  <c r="Z88" i="1"/>
  <c r="BD88" i="1" s="1"/>
  <c r="AA89" i="1"/>
  <c r="BE89" i="1" s="1"/>
  <c r="U89" i="1"/>
  <c r="AY89" i="1" s="1"/>
  <c r="Z89" i="1"/>
  <c r="BD89" i="1" s="1"/>
  <c r="T89" i="1"/>
  <c r="AX89" i="1" s="1"/>
  <c r="CK89" i="1"/>
  <c r="Y89" i="1"/>
  <c r="BC89" i="1" s="1"/>
  <c r="S89" i="1"/>
  <c r="AD89" i="1"/>
  <c r="BH89" i="1" s="1"/>
  <c r="X89" i="1"/>
  <c r="BB89" i="1" s="1"/>
  <c r="AD90" i="1"/>
  <c r="BH90" i="1" s="1"/>
  <c r="X90" i="1"/>
  <c r="BB90" i="1" s="1"/>
  <c r="J90" i="1"/>
  <c r="Z90" i="1"/>
  <c r="BD90" i="1" s="1"/>
  <c r="AA91" i="1"/>
  <c r="BE91" i="1" s="1"/>
  <c r="U91" i="1"/>
  <c r="AY91" i="1" s="1"/>
  <c r="Z91" i="1"/>
  <c r="BD91" i="1" s="1"/>
  <c r="T91" i="1"/>
  <c r="AX91" i="1" s="1"/>
  <c r="CK91" i="1"/>
  <c r="Y91" i="1"/>
  <c r="BC91" i="1" s="1"/>
  <c r="S91" i="1"/>
  <c r="AD91" i="1"/>
  <c r="BH91" i="1" s="1"/>
  <c r="X91" i="1"/>
  <c r="BB91" i="1" s="1"/>
  <c r="AD92" i="1"/>
  <c r="BH92" i="1" s="1"/>
  <c r="X92" i="1"/>
  <c r="BB92" i="1" s="1"/>
  <c r="J92" i="1"/>
  <c r="Z92" i="1"/>
  <c r="BD92" i="1" s="1"/>
  <c r="AD93" i="1"/>
  <c r="BH93" i="1" s="1"/>
  <c r="X93" i="1"/>
  <c r="BB93" i="1" s="1"/>
  <c r="W93" i="1"/>
  <c r="BA93" i="1" s="1"/>
  <c r="AC93" i="1"/>
  <c r="BG93" i="1" s="1"/>
  <c r="V93" i="1"/>
  <c r="AZ93" i="1" s="1"/>
  <c r="AB93" i="1"/>
  <c r="BF93" i="1" s="1"/>
  <c r="U93" i="1"/>
  <c r="AY93" i="1" s="1"/>
  <c r="AA93" i="1"/>
  <c r="BE93" i="1" s="1"/>
  <c r="T93" i="1"/>
  <c r="AX93" i="1" s="1"/>
  <c r="J95" i="1"/>
  <c r="AC95" i="1"/>
  <c r="BG95" i="1" s="1"/>
  <c r="BI95" i="1"/>
  <c r="Y96" i="1"/>
  <c r="BC96" i="1" s="1"/>
  <c r="J96" i="1"/>
  <c r="AB96" i="1"/>
  <c r="BF96" i="1" s="1"/>
  <c r="BI96" i="1"/>
  <c r="S97" i="1"/>
  <c r="CK97" i="1"/>
  <c r="W99" i="1"/>
  <c r="BA99" i="1" s="1"/>
  <c r="AD100" i="1"/>
  <c r="BH100" i="1" s="1"/>
  <c r="W102" i="1"/>
  <c r="BA102" i="1" s="1"/>
  <c r="AA107" i="1"/>
  <c r="BE107" i="1" s="1"/>
  <c r="T107" i="1"/>
  <c r="AX107" i="1" s="1"/>
  <c r="Z107" i="1"/>
  <c r="BD107" i="1" s="1"/>
  <c r="S107" i="1"/>
  <c r="AC107" i="1"/>
  <c r="BG107" i="1" s="1"/>
  <c r="BI107" i="1"/>
  <c r="Y108" i="1"/>
  <c r="BC108" i="1" s="1"/>
  <c r="J108" i="1"/>
  <c r="AB108" i="1"/>
  <c r="BF108" i="1" s="1"/>
  <c r="BI108" i="1"/>
  <c r="S109" i="1"/>
  <c r="Y110" i="1"/>
  <c r="BC110" i="1" s="1"/>
  <c r="AA111" i="1"/>
  <c r="BE111" i="1" s="1"/>
  <c r="BI111" i="1"/>
  <c r="AB114" i="1"/>
  <c r="BF114" i="1" s="1"/>
  <c r="V114" i="1"/>
  <c r="AZ114" i="1" s="1"/>
  <c r="AA114" i="1"/>
  <c r="BE114" i="1" s="1"/>
  <c r="U114" i="1"/>
  <c r="AY114" i="1" s="1"/>
  <c r="P16" i="2" s="1"/>
  <c r="H16" i="2" s="1"/>
  <c r="X114" i="1"/>
  <c r="BB114" i="1" s="1"/>
  <c r="W114" i="1"/>
  <c r="BA114" i="1" s="1"/>
  <c r="AD114" i="1"/>
  <c r="BH114" i="1" s="1"/>
  <c r="T114" i="1"/>
  <c r="AX114" i="1" s="1"/>
  <c r="AC114" i="1"/>
  <c r="BG114" i="1" s="1"/>
  <c r="S114" i="1"/>
  <c r="CK115" i="1"/>
  <c r="Y115" i="1"/>
  <c r="BC115" i="1" s="1"/>
  <c r="S115" i="1"/>
  <c r="AD115" i="1"/>
  <c r="BH115" i="1" s="1"/>
  <c r="X115" i="1"/>
  <c r="BB115" i="1" s="1"/>
  <c r="W115" i="1"/>
  <c r="BA115" i="1" s="1"/>
  <c r="V115" i="1"/>
  <c r="AZ115" i="1" s="1"/>
  <c r="AC115" i="1"/>
  <c r="BG115" i="1" s="1"/>
  <c r="U115" i="1"/>
  <c r="AY115" i="1" s="1"/>
  <c r="AB115" i="1"/>
  <c r="BF115" i="1" s="1"/>
  <c r="T115" i="1"/>
  <c r="AX115" i="1" s="1"/>
  <c r="Y116" i="1"/>
  <c r="BC116" i="1" s="1"/>
  <c r="AA117" i="1"/>
  <c r="BE117" i="1" s="1"/>
  <c r="BI117" i="1"/>
  <c r="BI123" i="1"/>
  <c r="Z133" i="1"/>
  <c r="BD133" i="1" s="1"/>
  <c r="S133" i="1"/>
  <c r="Y133" i="1"/>
  <c r="BC133" i="1" s="1"/>
  <c r="AD133" i="1"/>
  <c r="BH133" i="1" s="1"/>
  <c r="V133" i="1"/>
  <c r="AZ133" i="1" s="1"/>
  <c r="U133" i="1"/>
  <c r="AY133" i="1" s="1"/>
  <c r="T133" i="1"/>
  <c r="AX133" i="1" s="1"/>
  <c r="Z55" i="1"/>
  <c r="BD55" i="1" s="1"/>
  <c r="T55" i="1"/>
  <c r="AX55" i="1" s="1"/>
  <c r="CK55" i="1"/>
  <c r="Y55" i="1"/>
  <c r="BC55" i="1" s="1"/>
  <c r="S55" i="1"/>
  <c r="AD55" i="1"/>
  <c r="BH55" i="1" s="1"/>
  <c r="X55" i="1"/>
  <c r="BB55" i="1" s="1"/>
  <c r="AC55" i="1"/>
  <c r="BG55" i="1" s="1"/>
  <c r="AC72" i="1"/>
  <c r="BG72" i="1" s="1"/>
  <c r="P67" i="2"/>
  <c r="P33" i="2"/>
  <c r="H33" i="2" s="1"/>
  <c r="P31" i="2"/>
  <c r="H31" i="2" s="1"/>
  <c r="P27" i="2"/>
  <c r="H27" i="2" s="1"/>
  <c r="P63" i="2"/>
  <c r="H63" i="2" s="1"/>
  <c r="P35" i="2"/>
  <c r="P34" i="2"/>
  <c r="H34" i="2" s="1"/>
  <c r="P64" i="2"/>
  <c r="H64" i="2" s="1"/>
  <c r="P32" i="2"/>
  <c r="H32" i="2" s="1"/>
  <c r="P65" i="2"/>
  <c r="H65" i="2" s="1"/>
  <c r="P66" i="2"/>
  <c r="H66" i="2" s="1"/>
  <c r="P17" i="2"/>
  <c r="H17" i="2" s="1"/>
  <c r="P14" i="2"/>
  <c r="H14" i="2" s="1"/>
  <c r="P11" i="2"/>
  <c r="H11" i="2" s="1"/>
  <c r="P8" i="2"/>
  <c r="H8" i="2" s="1"/>
  <c r="AF269" i="1"/>
  <c r="BR269" i="1"/>
  <c r="BR276" i="1" s="1"/>
  <c r="BD211" i="1"/>
  <c r="BN269" i="1"/>
  <c r="BN276" i="1" s="1"/>
  <c r="BT269" i="1"/>
  <c r="BT276" i="1" s="1"/>
  <c r="CM269" i="1"/>
  <c r="X9" i="1"/>
  <c r="BB9" i="1" s="1"/>
  <c r="X11" i="1"/>
  <c r="BB11" i="1" s="1"/>
  <c r="X13" i="1"/>
  <c r="BB13" i="1" s="1"/>
  <c r="X15" i="1"/>
  <c r="BB15" i="1" s="1"/>
  <c r="X17" i="1"/>
  <c r="BB17" i="1" s="1"/>
  <c r="X19" i="1"/>
  <c r="BB19" i="1" s="1"/>
  <c r="X21" i="1"/>
  <c r="BB21" i="1" s="1"/>
  <c r="X23" i="1"/>
  <c r="BB23" i="1" s="1"/>
  <c r="X25" i="1"/>
  <c r="BB25" i="1" s="1"/>
  <c r="X27" i="1"/>
  <c r="BB27" i="1" s="1"/>
  <c r="X29" i="1"/>
  <c r="BB29" i="1" s="1"/>
  <c r="X31" i="1"/>
  <c r="BB31" i="1" s="1"/>
  <c r="X33" i="1"/>
  <c r="BB33" i="1" s="1"/>
  <c r="X35" i="1"/>
  <c r="BB35" i="1" s="1"/>
  <c r="X37" i="1"/>
  <c r="BB37" i="1" s="1"/>
  <c r="X39" i="1"/>
  <c r="BB39" i="1" s="1"/>
  <c r="X41" i="1"/>
  <c r="BB41" i="1" s="1"/>
  <c r="S45" i="1"/>
  <c r="AA45" i="1"/>
  <c r="BE45" i="1" s="1"/>
  <c r="S49" i="1"/>
  <c r="AA49" i="1"/>
  <c r="BE49" i="1" s="1"/>
  <c r="V52" i="1"/>
  <c r="AZ52" i="1" s="1"/>
  <c r="Z53" i="1"/>
  <c r="BD53" i="1" s="1"/>
  <c r="T53" i="1"/>
  <c r="AX53" i="1" s="1"/>
  <c r="CK53" i="1"/>
  <c r="Y53" i="1"/>
  <c r="BC53" i="1" s="1"/>
  <c r="S53" i="1"/>
  <c r="AD53" i="1"/>
  <c r="BH53" i="1" s="1"/>
  <c r="X53" i="1"/>
  <c r="BB53" i="1" s="1"/>
  <c r="AC53" i="1"/>
  <c r="BG53" i="1" s="1"/>
  <c r="W55" i="1"/>
  <c r="BA55" i="1" s="1"/>
  <c r="AC56" i="1"/>
  <c r="BG56" i="1" s="1"/>
  <c r="Z56" i="1"/>
  <c r="BD56" i="1" s="1"/>
  <c r="Z57" i="1"/>
  <c r="BD57" i="1" s="1"/>
  <c r="T57" i="1"/>
  <c r="AX57" i="1" s="1"/>
  <c r="CK57" i="1"/>
  <c r="Y57" i="1"/>
  <c r="BC57" i="1" s="1"/>
  <c r="S57" i="1"/>
  <c r="AD57" i="1"/>
  <c r="BH57" i="1" s="1"/>
  <c r="X57" i="1"/>
  <c r="BB57" i="1" s="1"/>
  <c r="AC57" i="1"/>
  <c r="BG57" i="1" s="1"/>
  <c r="V59" i="1"/>
  <c r="AZ59" i="1" s="1"/>
  <c r="Y60" i="1"/>
  <c r="BC60" i="1" s="1"/>
  <c r="BI60" i="1"/>
  <c r="V63" i="1"/>
  <c r="AZ63" i="1" s="1"/>
  <c r="Y64" i="1"/>
  <c r="BC64" i="1" s="1"/>
  <c r="AD66" i="1"/>
  <c r="BH66" i="1" s="1"/>
  <c r="U67" i="1"/>
  <c r="AY67" i="1" s="1"/>
  <c r="AB68" i="1"/>
  <c r="BF68" i="1" s="1"/>
  <c r="J68" i="1"/>
  <c r="AA68" i="1"/>
  <c r="BE68" i="1" s="1"/>
  <c r="U68" i="1"/>
  <c r="W69" i="1"/>
  <c r="BA69" i="1" s="1"/>
  <c r="AC70" i="1"/>
  <c r="BG70" i="1" s="1"/>
  <c r="Z70" i="1"/>
  <c r="BD70" i="1" s="1"/>
  <c r="Z71" i="1"/>
  <c r="BD71" i="1" s="1"/>
  <c r="T71" i="1"/>
  <c r="AX71" i="1" s="1"/>
  <c r="CK71" i="1"/>
  <c r="Y71" i="1"/>
  <c r="BC71" i="1" s="1"/>
  <c r="S71" i="1"/>
  <c r="AD71" i="1"/>
  <c r="BH71" i="1" s="1"/>
  <c r="X71" i="1"/>
  <c r="BB71" i="1" s="1"/>
  <c r="AC71" i="1"/>
  <c r="BG71" i="1" s="1"/>
  <c r="V73" i="1"/>
  <c r="AZ73" i="1" s="1"/>
  <c r="J74" i="1"/>
  <c r="V77" i="1"/>
  <c r="AZ77" i="1" s="1"/>
  <c r="BI78" i="1"/>
  <c r="V79" i="1"/>
  <c r="AZ79" i="1" s="1"/>
  <c r="BI80" i="1"/>
  <c r="V81" i="1"/>
  <c r="AZ81" i="1" s="1"/>
  <c r="BI82" i="1"/>
  <c r="V83" i="1"/>
  <c r="AZ83" i="1" s="1"/>
  <c r="BI84" i="1"/>
  <c r="V85" i="1"/>
  <c r="AZ85" i="1" s="1"/>
  <c r="BI86" i="1"/>
  <c r="V87" i="1"/>
  <c r="AZ87" i="1" s="1"/>
  <c r="BI88" i="1"/>
  <c r="V89" i="1"/>
  <c r="AZ89" i="1" s="1"/>
  <c r="BI90" i="1"/>
  <c r="V91" i="1"/>
  <c r="AZ91" i="1" s="1"/>
  <c r="BI92" i="1"/>
  <c r="S93" i="1"/>
  <c r="CK93" i="1"/>
  <c r="W95" i="1"/>
  <c r="BA95" i="1" s="1"/>
  <c r="Y97" i="1"/>
  <c r="BC97" i="1" s="1"/>
  <c r="AA98" i="1"/>
  <c r="BE98" i="1" s="1"/>
  <c r="U98" i="1"/>
  <c r="AY98" i="1" s="1"/>
  <c r="AC98" i="1"/>
  <c r="BG98" i="1" s="1"/>
  <c r="V98" i="1"/>
  <c r="AZ98" i="1" s="1"/>
  <c r="AB98" i="1"/>
  <c r="BF98" i="1" s="1"/>
  <c r="T98" i="1"/>
  <c r="AX98" i="1" s="1"/>
  <c r="Z98" i="1"/>
  <c r="BD98" i="1" s="1"/>
  <c r="S98" i="1"/>
  <c r="CK98" i="1"/>
  <c r="Y98" i="1"/>
  <c r="BC98" i="1" s="1"/>
  <c r="U99" i="1"/>
  <c r="AY99" i="1" s="1"/>
  <c r="P12" i="2" s="1"/>
  <c r="H12" i="2" s="1"/>
  <c r="X102" i="1"/>
  <c r="BB102" i="1" s="1"/>
  <c r="AD105" i="1"/>
  <c r="BH105" i="1" s="1"/>
  <c r="X105" i="1"/>
  <c r="BB105" i="1" s="1"/>
  <c r="W105" i="1"/>
  <c r="BA105" i="1" s="1"/>
  <c r="AC105" i="1"/>
  <c r="BG105" i="1" s="1"/>
  <c r="V105" i="1"/>
  <c r="AZ105" i="1" s="1"/>
  <c r="AB105" i="1"/>
  <c r="BF105" i="1" s="1"/>
  <c r="U105" i="1"/>
  <c r="AY105" i="1" s="1"/>
  <c r="AA105" i="1"/>
  <c r="BE105" i="1" s="1"/>
  <c r="T105" i="1"/>
  <c r="AX105" i="1" s="1"/>
  <c r="J107" i="1"/>
  <c r="Z109" i="1"/>
  <c r="BD109" i="1" s="1"/>
  <c r="Z110" i="1"/>
  <c r="BD110" i="1" s="1"/>
  <c r="Z115" i="1"/>
  <c r="BD115" i="1" s="1"/>
  <c r="Z116" i="1"/>
  <c r="BD116" i="1" s="1"/>
  <c r="BI124" i="1"/>
  <c r="J128" i="1"/>
  <c r="T128" i="1"/>
  <c r="AX128" i="1" s="1"/>
  <c r="S128" i="1"/>
  <c r="AD128" i="1"/>
  <c r="BH128" i="1" s="1"/>
  <c r="Z128" i="1"/>
  <c r="BD128" i="1" s="1"/>
  <c r="J133" i="1"/>
  <c r="BI138" i="1"/>
  <c r="AD176" i="1"/>
  <c r="BH176" i="1" s="1"/>
  <c r="X176" i="1"/>
  <c r="BB176" i="1" s="1"/>
  <c r="AB176" i="1"/>
  <c r="BF176" i="1" s="1"/>
  <c r="V176" i="1"/>
  <c r="AZ176" i="1" s="1"/>
  <c r="Z176" i="1"/>
  <c r="BD176" i="1" s="1"/>
  <c r="T176" i="1"/>
  <c r="AX176" i="1" s="1"/>
  <c r="Y176" i="1"/>
  <c r="BC176" i="1" s="1"/>
  <c r="S176" i="1"/>
  <c r="AA176" i="1"/>
  <c r="BE176" i="1" s="1"/>
  <c r="U70" i="1"/>
  <c r="AY70" i="1" s="1"/>
  <c r="P24" i="2" s="1"/>
  <c r="H24" i="2" s="1"/>
  <c r="AA70" i="1"/>
  <c r="BE70" i="1" s="1"/>
  <c r="U72" i="1"/>
  <c r="AY72" i="1" s="1"/>
  <c r="AA72" i="1"/>
  <c r="BE72" i="1" s="1"/>
  <c r="U74" i="1"/>
  <c r="AA74" i="1"/>
  <c r="BE74" i="1" s="1"/>
  <c r="U76" i="1"/>
  <c r="AY76" i="1" s="1"/>
  <c r="AA76" i="1"/>
  <c r="BE76" i="1" s="1"/>
  <c r="U78" i="1"/>
  <c r="AY78" i="1" s="1"/>
  <c r="AA78" i="1"/>
  <c r="BE78" i="1" s="1"/>
  <c r="U80" i="1"/>
  <c r="AY80" i="1" s="1"/>
  <c r="AA80" i="1"/>
  <c r="BE80" i="1" s="1"/>
  <c r="U82" i="1"/>
  <c r="AY82" i="1" s="1"/>
  <c r="AA82" i="1"/>
  <c r="BE82" i="1" s="1"/>
  <c r="U84" i="1"/>
  <c r="AY84" i="1" s="1"/>
  <c r="AA84" i="1"/>
  <c r="BE84" i="1" s="1"/>
  <c r="U86" i="1"/>
  <c r="AY86" i="1" s="1"/>
  <c r="AA86" i="1"/>
  <c r="BE86" i="1" s="1"/>
  <c r="U88" i="1"/>
  <c r="AY88" i="1" s="1"/>
  <c r="AA88" i="1"/>
  <c r="BE88" i="1" s="1"/>
  <c r="U90" i="1"/>
  <c r="AY90" i="1" s="1"/>
  <c r="AA90" i="1"/>
  <c r="BE90" i="1" s="1"/>
  <c r="U92" i="1"/>
  <c r="AY92" i="1" s="1"/>
  <c r="AA92" i="1"/>
  <c r="BE92" i="1" s="1"/>
  <c r="V96" i="1"/>
  <c r="AZ96" i="1" s="1"/>
  <c r="AC96" i="1"/>
  <c r="BG96" i="1" s="1"/>
  <c r="V100" i="1"/>
  <c r="AZ100" i="1" s="1"/>
  <c r="AC100" i="1"/>
  <c r="BG100" i="1" s="1"/>
  <c r="V104" i="1"/>
  <c r="AZ104" i="1" s="1"/>
  <c r="AC104" i="1"/>
  <c r="BG104" i="1" s="1"/>
  <c r="V108" i="1"/>
  <c r="AZ108" i="1" s="1"/>
  <c r="AC108" i="1"/>
  <c r="BG108" i="1" s="1"/>
  <c r="BI110" i="1"/>
  <c r="BI112" i="1"/>
  <c r="BI114" i="1"/>
  <c r="BI116" i="1"/>
  <c r="BI118" i="1"/>
  <c r="AC120" i="1"/>
  <c r="BG120" i="1" s="1"/>
  <c r="Z121" i="1"/>
  <c r="BD121" i="1" s="1"/>
  <c r="T121" i="1"/>
  <c r="AX121" i="1" s="1"/>
  <c r="CK121" i="1"/>
  <c r="Y121" i="1"/>
  <c r="BC121" i="1" s="1"/>
  <c r="S121" i="1"/>
  <c r="AD121" i="1"/>
  <c r="BH121" i="1" s="1"/>
  <c r="X121" i="1"/>
  <c r="BB121" i="1" s="1"/>
  <c r="AC121" i="1"/>
  <c r="BG121" i="1" s="1"/>
  <c r="T122" i="1"/>
  <c r="W123" i="1"/>
  <c r="BA123" i="1" s="1"/>
  <c r="AC124" i="1"/>
  <c r="BG124" i="1" s="1"/>
  <c r="Z125" i="1"/>
  <c r="BD125" i="1" s="1"/>
  <c r="T125" i="1"/>
  <c r="AX125" i="1" s="1"/>
  <c r="CK125" i="1"/>
  <c r="Y125" i="1"/>
  <c r="BC125" i="1" s="1"/>
  <c r="S125" i="1"/>
  <c r="AD125" i="1"/>
  <c r="BH125" i="1" s="1"/>
  <c r="X125" i="1"/>
  <c r="BB125" i="1" s="1"/>
  <c r="AC125" i="1"/>
  <c r="BG125" i="1" s="1"/>
  <c r="T126" i="1"/>
  <c r="W127" i="1"/>
  <c r="BA127" i="1" s="1"/>
  <c r="AC128" i="1"/>
  <c r="BG128" i="1" s="1"/>
  <c r="Z129" i="1"/>
  <c r="BD129" i="1" s="1"/>
  <c r="T129" i="1"/>
  <c r="AX129" i="1" s="1"/>
  <c r="CK129" i="1"/>
  <c r="Y129" i="1"/>
  <c r="BC129" i="1" s="1"/>
  <c r="S129" i="1"/>
  <c r="AD129" i="1"/>
  <c r="BH129" i="1" s="1"/>
  <c r="X129" i="1"/>
  <c r="BB129" i="1" s="1"/>
  <c r="AC129" i="1"/>
  <c r="BG129" i="1" s="1"/>
  <c r="BI136" i="1"/>
  <c r="BI141" i="1"/>
  <c r="BI143" i="1"/>
  <c r="AW147" i="1"/>
  <c r="R154" i="1"/>
  <c r="BZ154" i="1" s="1"/>
  <c r="AW156" i="1"/>
  <c r="Z159" i="1"/>
  <c r="BD159" i="1" s="1"/>
  <c r="T159" i="1"/>
  <c r="AX159" i="1" s="1"/>
  <c r="AC159" i="1"/>
  <c r="BG159" i="1" s="1"/>
  <c r="V159" i="1"/>
  <c r="AZ159" i="1" s="1"/>
  <c r="CK159" i="1"/>
  <c r="Y159" i="1"/>
  <c r="BC159" i="1" s="1"/>
  <c r="AA159" i="1"/>
  <c r="BE159" i="1" s="1"/>
  <c r="X159" i="1"/>
  <c r="BB159" i="1" s="1"/>
  <c r="W159" i="1"/>
  <c r="BA159" i="1" s="1"/>
  <c r="U159" i="1"/>
  <c r="AY159" i="1" s="1"/>
  <c r="P13" i="2" s="1"/>
  <c r="H13" i="2" s="1"/>
  <c r="AD178" i="1"/>
  <c r="BH178" i="1" s="1"/>
  <c r="X178" i="1"/>
  <c r="BB178" i="1" s="1"/>
  <c r="AB178" i="1"/>
  <c r="BF178" i="1" s="1"/>
  <c r="T178" i="1"/>
  <c r="AX178" i="1" s="1"/>
  <c r="Z178" i="1"/>
  <c r="BD178" i="1" s="1"/>
  <c r="Y178" i="1"/>
  <c r="BC178" i="1" s="1"/>
  <c r="U178" i="1"/>
  <c r="AY178" i="1" s="1"/>
  <c r="S178" i="1"/>
  <c r="V74" i="1"/>
  <c r="AZ74" i="1" s="1"/>
  <c r="AB74" i="1"/>
  <c r="BF74" i="1" s="1"/>
  <c r="V76" i="1"/>
  <c r="AZ76" i="1" s="1"/>
  <c r="AB76" i="1"/>
  <c r="BF76" i="1" s="1"/>
  <c r="V78" i="1"/>
  <c r="AZ78" i="1" s="1"/>
  <c r="AB78" i="1"/>
  <c r="BF78" i="1" s="1"/>
  <c r="V80" i="1"/>
  <c r="AZ80" i="1" s="1"/>
  <c r="AB80" i="1"/>
  <c r="BF80" i="1" s="1"/>
  <c r="V82" i="1"/>
  <c r="AZ82" i="1" s="1"/>
  <c r="AB82" i="1"/>
  <c r="BF82" i="1" s="1"/>
  <c r="V84" i="1"/>
  <c r="AZ84" i="1" s="1"/>
  <c r="AB84" i="1"/>
  <c r="BF84" i="1" s="1"/>
  <c r="V86" i="1"/>
  <c r="AZ86" i="1" s="1"/>
  <c r="AB86" i="1"/>
  <c r="BF86" i="1" s="1"/>
  <c r="V88" i="1"/>
  <c r="AZ88" i="1" s="1"/>
  <c r="AB88" i="1"/>
  <c r="BF88" i="1" s="1"/>
  <c r="V90" i="1"/>
  <c r="AZ90" i="1" s="1"/>
  <c r="AB90" i="1"/>
  <c r="BF90" i="1" s="1"/>
  <c r="V92" i="1"/>
  <c r="AZ92" i="1" s="1"/>
  <c r="AB92" i="1"/>
  <c r="BF92" i="1" s="1"/>
  <c r="AD95" i="1"/>
  <c r="BH95" i="1" s="1"/>
  <c r="X95" i="1"/>
  <c r="BB95" i="1" s="1"/>
  <c r="Y95" i="1"/>
  <c r="BC95" i="1" s="1"/>
  <c r="CK95" i="1"/>
  <c r="W96" i="1"/>
  <c r="BA96" i="1" s="1"/>
  <c r="AD99" i="1"/>
  <c r="BH99" i="1" s="1"/>
  <c r="X99" i="1"/>
  <c r="BB99" i="1" s="1"/>
  <c r="Y99" i="1"/>
  <c r="BC99" i="1" s="1"/>
  <c r="CK99" i="1"/>
  <c r="W100" i="1"/>
  <c r="BA100" i="1" s="1"/>
  <c r="AD103" i="1"/>
  <c r="BH103" i="1" s="1"/>
  <c r="X103" i="1"/>
  <c r="BB103" i="1" s="1"/>
  <c r="Y103" i="1"/>
  <c r="BC103" i="1" s="1"/>
  <c r="CK103" i="1"/>
  <c r="W104" i="1"/>
  <c r="BA104" i="1" s="1"/>
  <c r="AD107" i="1"/>
  <c r="BH107" i="1" s="1"/>
  <c r="X107" i="1"/>
  <c r="BB107" i="1" s="1"/>
  <c r="Y107" i="1"/>
  <c r="BC107" i="1" s="1"/>
  <c r="CK107" i="1"/>
  <c r="W108" i="1"/>
  <c r="BA108" i="1" s="1"/>
  <c r="X122" i="1"/>
  <c r="BB122" i="1" s="1"/>
  <c r="BI122" i="1"/>
  <c r="X126" i="1"/>
  <c r="BB126" i="1" s="1"/>
  <c r="BI126" i="1"/>
  <c r="AD130" i="1"/>
  <c r="BH130" i="1" s="1"/>
  <c r="X130" i="1"/>
  <c r="BB130" i="1" s="1"/>
  <c r="J130" i="1"/>
  <c r="BI133" i="1"/>
  <c r="BI135" i="1"/>
  <c r="CI137" i="1"/>
  <c r="CE137" i="1"/>
  <c r="AW144" i="1"/>
  <c r="BI147" i="1"/>
  <c r="S159" i="1"/>
  <c r="W42" i="1"/>
  <c r="BA42" i="1" s="1"/>
  <c r="W44" i="1"/>
  <c r="BA44" i="1" s="1"/>
  <c r="W46" i="1"/>
  <c r="BA46" i="1" s="1"/>
  <c r="W48" i="1"/>
  <c r="BA48" i="1" s="1"/>
  <c r="W50" i="1"/>
  <c r="BA50" i="1" s="1"/>
  <c r="W52" i="1"/>
  <c r="BA52" i="1" s="1"/>
  <c r="W54" i="1"/>
  <c r="BA54" i="1" s="1"/>
  <c r="W56" i="1"/>
  <c r="BA56" i="1" s="1"/>
  <c r="W58" i="1"/>
  <c r="BA58" i="1" s="1"/>
  <c r="W60" i="1"/>
  <c r="BA60" i="1" s="1"/>
  <c r="W62" i="1"/>
  <c r="BA62" i="1" s="1"/>
  <c r="W64" i="1"/>
  <c r="BA64" i="1" s="1"/>
  <c r="W66" i="1"/>
  <c r="BA66" i="1" s="1"/>
  <c r="W68" i="1"/>
  <c r="BA68" i="1" s="1"/>
  <c r="W70" i="1"/>
  <c r="BA70" i="1" s="1"/>
  <c r="W72" i="1"/>
  <c r="BA72" i="1" s="1"/>
  <c r="W74" i="1"/>
  <c r="BA74" i="1" s="1"/>
  <c r="W76" i="1"/>
  <c r="BA76" i="1" s="1"/>
  <c r="W78" i="1"/>
  <c r="BA78" i="1" s="1"/>
  <c r="W80" i="1"/>
  <c r="BA80" i="1" s="1"/>
  <c r="W82" i="1"/>
  <c r="BA82" i="1" s="1"/>
  <c r="W84" i="1"/>
  <c r="BA84" i="1" s="1"/>
  <c r="W86" i="1"/>
  <c r="BA86" i="1" s="1"/>
  <c r="W88" i="1"/>
  <c r="BA88" i="1" s="1"/>
  <c r="W90" i="1"/>
  <c r="BA90" i="1" s="1"/>
  <c r="W92" i="1"/>
  <c r="BA92" i="1" s="1"/>
  <c r="AA96" i="1"/>
  <c r="BE96" i="1" s="1"/>
  <c r="U96" i="1"/>
  <c r="AY96" i="1" s="1"/>
  <c r="AV96" i="1" s="1"/>
  <c r="BV96" i="1" s="1"/>
  <c r="X96" i="1"/>
  <c r="BB96" i="1" s="1"/>
  <c r="AA100" i="1"/>
  <c r="BE100" i="1" s="1"/>
  <c r="AV100" i="1" s="1"/>
  <c r="BV100" i="1" s="1"/>
  <c r="U100" i="1"/>
  <c r="AY100" i="1" s="1"/>
  <c r="X100" i="1"/>
  <c r="BB100" i="1" s="1"/>
  <c r="AA104" i="1"/>
  <c r="BE104" i="1" s="1"/>
  <c r="U104" i="1"/>
  <c r="AY104" i="1" s="1"/>
  <c r="P7" i="2" s="1"/>
  <c r="H7" i="2" s="1"/>
  <c r="X104" i="1"/>
  <c r="BB104" i="1" s="1"/>
  <c r="AA108" i="1"/>
  <c r="BE108" i="1" s="1"/>
  <c r="U108" i="1"/>
  <c r="AY108" i="1" s="1"/>
  <c r="X108" i="1"/>
  <c r="BB108" i="1" s="1"/>
  <c r="AA131" i="1"/>
  <c r="BE131" i="1" s="1"/>
  <c r="U131" i="1"/>
  <c r="AY131" i="1" s="1"/>
  <c r="Z131" i="1"/>
  <c r="BD131" i="1" s="1"/>
  <c r="T131" i="1"/>
  <c r="AX131" i="1" s="1"/>
  <c r="Y131" i="1"/>
  <c r="BC131" i="1" s="1"/>
  <c r="S131" i="1"/>
  <c r="AD131" i="1"/>
  <c r="BH131" i="1" s="1"/>
  <c r="X131" i="1"/>
  <c r="BB131" i="1" s="1"/>
  <c r="Z151" i="1"/>
  <c r="BD151" i="1" s="1"/>
  <c r="T151" i="1"/>
  <c r="AX151" i="1" s="1"/>
  <c r="AC151" i="1"/>
  <c r="BG151" i="1" s="1"/>
  <c r="V151" i="1"/>
  <c r="AZ151" i="1" s="1"/>
  <c r="CK151" i="1"/>
  <c r="Y151" i="1"/>
  <c r="BC151" i="1" s="1"/>
  <c r="X151" i="1"/>
  <c r="BB151" i="1" s="1"/>
  <c r="W151" i="1"/>
  <c r="BA151" i="1" s="1"/>
  <c r="U151" i="1"/>
  <c r="AY151" i="1" s="1"/>
  <c r="AD151" i="1"/>
  <c r="BH151" i="1" s="1"/>
  <c r="S151" i="1"/>
  <c r="Z123" i="1"/>
  <c r="BD123" i="1" s="1"/>
  <c r="T123" i="1"/>
  <c r="AX123" i="1" s="1"/>
  <c r="CK123" i="1"/>
  <c r="Y123" i="1"/>
  <c r="BC123" i="1" s="1"/>
  <c r="S123" i="1"/>
  <c r="AD123" i="1"/>
  <c r="BH123" i="1" s="1"/>
  <c r="X123" i="1"/>
  <c r="BB123" i="1" s="1"/>
  <c r="AC123" i="1"/>
  <c r="BG123" i="1" s="1"/>
  <c r="Z127" i="1"/>
  <c r="BD127" i="1" s="1"/>
  <c r="T127" i="1"/>
  <c r="AX127" i="1" s="1"/>
  <c r="CK127" i="1"/>
  <c r="Y127" i="1"/>
  <c r="BC127" i="1" s="1"/>
  <c r="S127" i="1"/>
  <c r="AD127" i="1"/>
  <c r="BH127" i="1" s="1"/>
  <c r="X127" i="1"/>
  <c r="BB127" i="1" s="1"/>
  <c r="AC127" i="1"/>
  <c r="BG127" i="1" s="1"/>
  <c r="BI130" i="1"/>
  <c r="V131" i="1"/>
  <c r="AZ131" i="1" s="1"/>
  <c r="R137" i="1"/>
  <c r="CH137" i="1" s="1"/>
  <c r="BI139" i="1"/>
  <c r="BI140" i="1"/>
  <c r="Z145" i="1"/>
  <c r="BD145" i="1" s="1"/>
  <c r="T145" i="1"/>
  <c r="AX145" i="1" s="1"/>
  <c r="CK145" i="1"/>
  <c r="Y145" i="1"/>
  <c r="BC145" i="1" s="1"/>
  <c r="AC145" i="1"/>
  <c r="BG145" i="1" s="1"/>
  <c r="V145" i="1"/>
  <c r="AZ145" i="1" s="1"/>
  <c r="X145" i="1"/>
  <c r="BB145" i="1" s="1"/>
  <c r="W145" i="1"/>
  <c r="BA145" i="1" s="1"/>
  <c r="U145" i="1"/>
  <c r="AY145" i="1" s="1"/>
  <c r="P23" i="2" s="1"/>
  <c r="H23" i="2" s="1"/>
  <c r="AD145" i="1"/>
  <c r="BH145" i="1" s="1"/>
  <c r="S145" i="1"/>
  <c r="AA151" i="1"/>
  <c r="BE151" i="1" s="1"/>
  <c r="BI152" i="1"/>
  <c r="U120" i="1"/>
  <c r="AY120" i="1" s="1"/>
  <c r="P28" i="2" s="1"/>
  <c r="H28" i="2" s="1"/>
  <c r="AA120" i="1"/>
  <c r="BE120" i="1" s="1"/>
  <c r="U122" i="1"/>
  <c r="AY122" i="1" s="1"/>
  <c r="AA122" i="1"/>
  <c r="BE122" i="1" s="1"/>
  <c r="U124" i="1"/>
  <c r="AY124" i="1" s="1"/>
  <c r="AA124" i="1"/>
  <c r="BE124" i="1" s="1"/>
  <c r="U126" i="1"/>
  <c r="AY126" i="1" s="1"/>
  <c r="AA126" i="1"/>
  <c r="BE126" i="1" s="1"/>
  <c r="U128" i="1"/>
  <c r="AY128" i="1" s="1"/>
  <c r="AA128" i="1"/>
  <c r="BE128" i="1" s="1"/>
  <c r="U130" i="1"/>
  <c r="AY130" i="1" s="1"/>
  <c r="AV130" i="1" s="1"/>
  <c r="BV130" i="1" s="1"/>
  <c r="AA130" i="1"/>
  <c r="BE130" i="1" s="1"/>
  <c r="Z132" i="1"/>
  <c r="BD132" i="1" s="1"/>
  <c r="T132" i="1"/>
  <c r="AX132" i="1" s="1"/>
  <c r="AV132" i="1" s="1"/>
  <c r="BV132" i="1" s="1"/>
  <c r="X132" i="1"/>
  <c r="BB132" i="1" s="1"/>
  <c r="U134" i="1"/>
  <c r="AY134" i="1" s="1"/>
  <c r="AB134" i="1"/>
  <c r="BF134" i="1" s="1"/>
  <c r="S135" i="1"/>
  <c r="AA135" i="1"/>
  <c r="BE135" i="1" s="1"/>
  <c r="AW140" i="1"/>
  <c r="X143" i="1"/>
  <c r="BB143" i="1" s="1"/>
  <c r="W147" i="1"/>
  <c r="BA147" i="1" s="1"/>
  <c r="Z149" i="1"/>
  <c r="BD149" i="1" s="1"/>
  <c r="T149" i="1"/>
  <c r="AX149" i="1" s="1"/>
  <c r="CK149" i="1"/>
  <c r="Y149" i="1"/>
  <c r="BC149" i="1" s="1"/>
  <c r="AC149" i="1"/>
  <c r="BG149" i="1" s="1"/>
  <c r="V149" i="1"/>
  <c r="AZ149" i="1" s="1"/>
  <c r="AV149" i="1" s="1"/>
  <c r="BV149" i="1" s="1"/>
  <c r="AB149" i="1"/>
  <c r="BF149" i="1" s="1"/>
  <c r="W153" i="1"/>
  <c r="BA153" i="1" s="1"/>
  <c r="BX154" i="1"/>
  <c r="CH154" i="1"/>
  <c r="X155" i="1"/>
  <c r="BB155" i="1" s="1"/>
  <c r="Z157" i="1"/>
  <c r="BD157" i="1" s="1"/>
  <c r="T157" i="1"/>
  <c r="AX157" i="1" s="1"/>
  <c r="CK157" i="1"/>
  <c r="Y157" i="1"/>
  <c r="BC157" i="1" s="1"/>
  <c r="AC157" i="1"/>
  <c r="BG157" i="1" s="1"/>
  <c r="V157" i="1"/>
  <c r="AZ157" i="1" s="1"/>
  <c r="AB157" i="1"/>
  <c r="BF157" i="1" s="1"/>
  <c r="Z165" i="1"/>
  <c r="BD165" i="1" s="1"/>
  <c r="T165" i="1"/>
  <c r="AX165" i="1" s="1"/>
  <c r="CK165" i="1"/>
  <c r="Y165" i="1"/>
  <c r="BC165" i="1" s="1"/>
  <c r="AD165" i="1"/>
  <c r="BH165" i="1" s="1"/>
  <c r="W165" i="1"/>
  <c r="BA165" i="1" s="1"/>
  <c r="AC165" i="1"/>
  <c r="BG165" i="1" s="1"/>
  <c r="V165" i="1"/>
  <c r="AZ165" i="1" s="1"/>
  <c r="Z167" i="1"/>
  <c r="BD167" i="1" s="1"/>
  <c r="T167" i="1"/>
  <c r="AX167" i="1" s="1"/>
  <c r="CK167" i="1"/>
  <c r="Y167" i="1"/>
  <c r="BC167" i="1" s="1"/>
  <c r="S167" i="1"/>
  <c r="W167" i="1"/>
  <c r="BA167" i="1" s="1"/>
  <c r="AC167" i="1"/>
  <c r="BG167" i="1" s="1"/>
  <c r="U167" i="1"/>
  <c r="AY167" i="1" s="1"/>
  <c r="AB167" i="1"/>
  <c r="BF167" i="1" s="1"/>
  <c r="U170" i="1"/>
  <c r="AY170" i="1" s="1"/>
  <c r="T174" i="1"/>
  <c r="AX174" i="1" s="1"/>
  <c r="AC176" i="1"/>
  <c r="BG176" i="1" s="1"/>
  <c r="S182" i="1"/>
  <c r="AW204" i="1"/>
  <c r="AV204" i="1" s="1"/>
  <c r="BV204" i="1" s="1"/>
  <c r="V120" i="1"/>
  <c r="AZ120" i="1" s="1"/>
  <c r="AB120" i="1"/>
  <c r="BF120" i="1" s="1"/>
  <c r="V122" i="1"/>
  <c r="AZ122" i="1" s="1"/>
  <c r="AB122" i="1"/>
  <c r="BF122" i="1" s="1"/>
  <c r="V124" i="1"/>
  <c r="AZ124" i="1" s="1"/>
  <c r="AB124" i="1"/>
  <c r="BF124" i="1" s="1"/>
  <c r="V126" i="1"/>
  <c r="AZ126" i="1" s="1"/>
  <c r="AB126" i="1"/>
  <c r="BF126" i="1" s="1"/>
  <c r="V128" i="1"/>
  <c r="AZ128" i="1" s="1"/>
  <c r="AB128" i="1"/>
  <c r="BF128" i="1" s="1"/>
  <c r="V130" i="1"/>
  <c r="AZ130" i="1" s="1"/>
  <c r="AB130" i="1"/>
  <c r="BF130" i="1" s="1"/>
  <c r="R132" i="1"/>
  <c r="AS132" i="1" s="1"/>
  <c r="AC133" i="1"/>
  <c r="BG133" i="1" s="1"/>
  <c r="V134" i="1"/>
  <c r="AZ134" i="1" s="1"/>
  <c r="AC134" i="1"/>
  <c r="BG134" i="1" s="1"/>
  <c r="T135" i="1"/>
  <c r="AX135" i="1" s="1"/>
  <c r="AB135" i="1"/>
  <c r="BF135" i="1" s="1"/>
  <c r="X147" i="1"/>
  <c r="BB147" i="1" s="1"/>
  <c r="X153" i="1"/>
  <c r="BB153" i="1" s="1"/>
  <c r="R157" i="1"/>
  <c r="CE157" i="1" s="1"/>
  <c r="Z161" i="1"/>
  <c r="BD161" i="1" s="1"/>
  <c r="T161" i="1"/>
  <c r="AX161" i="1" s="1"/>
  <c r="AV161" i="1" s="1"/>
  <c r="BV161" i="1" s="1"/>
  <c r="CK161" i="1"/>
  <c r="Y161" i="1"/>
  <c r="BC161" i="1" s="1"/>
  <c r="AC161" i="1"/>
  <c r="BG161" i="1" s="1"/>
  <c r="V161" i="1"/>
  <c r="AZ161" i="1" s="1"/>
  <c r="AB161" i="1"/>
  <c r="BF161" i="1" s="1"/>
  <c r="Z163" i="1"/>
  <c r="BD163" i="1" s="1"/>
  <c r="T163" i="1"/>
  <c r="AX163" i="1" s="1"/>
  <c r="AC163" i="1"/>
  <c r="BG163" i="1" s="1"/>
  <c r="V163" i="1"/>
  <c r="AZ163" i="1" s="1"/>
  <c r="AA163" i="1"/>
  <c r="BE163" i="1" s="1"/>
  <c r="S163" i="1"/>
  <c r="CK163" i="1"/>
  <c r="Y163" i="1"/>
  <c r="BC163" i="1" s="1"/>
  <c r="BI164" i="1"/>
  <c r="AW165" i="1"/>
  <c r="R166" i="1"/>
  <c r="CB166" i="1" s="1"/>
  <c r="AB168" i="1"/>
  <c r="BF168" i="1" s="1"/>
  <c r="V168" i="1"/>
  <c r="AZ168" i="1" s="1"/>
  <c r="X168" i="1"/>
  <c r="BB168" i="1" s="1"/>
  <c r="AD168" i="1"/>
  <c r="BH168" i="1" s="1"/>
  <c r="T168" i="1"/>
  <c r="AX168" i="1" s="1"/>
  <c r="AA168" i="1"/>
  <c r="BE168" i="1" s="1"/>
  <c r="S168" i="1"/>
  <c r="Z168" i="1"/>
  <c r="BD168" i="1" s="1"/>
  <c r="Z169" i="1"/>
  <c r="BD169" i="1" s="1"/>
  <c r="T169" i="1"/>
  <c r="AX169" i="1" s="1"/>
  <c r="CK169" i="1"/>
  <c r="Y169" i="1"/>
  <c r="BC169" i="1" s="1"/>
  <c r="S169" i="1"/>
  <c r="W169" i="1"/>
  <c r="BA169" i="1" s="1"/>
  <c r="AC169" i="1"/>
  <c r="BG169" i="1" s="1"/>
  <c r="U169" i="1"/>
  <c r="AY169" i="1" s="1"/>
  <c r="AB169" i="1"/>
  <c r="BF169" i="1" s="1"/>
  <c r="AA173" i="1"/>
  <c r="BE173" i="1" s="1"/>
  <c r="U173" i="1"/>
  <c r="AY173" i="1" s="1"/>
  <c r="Z173" i="1"/>
  <c r="BD173" i="1" s="1"/>
  <c r="T173" i="1"/>
  <c r="AX173" i="1" s="1"/>
  <c r="CK173" i="1"/>
  <c r="Y173" i="1"/>
  <c r="BC173" i="1" s="1"/>
  <c r="S173" i="1"/>
  <c r="AD173" i="1"/>
  <c r="BH173" i="1" s="1"/>
  <c r="AB173" i="1"/>
  <c r="BF173" i="1" s="1"/>
  <c r="X173" i="1"/>
  <c r="BB173" i="1" s="1"/>
  <c r="W120" i="1"/>
  <c r="BA120" i="1" s="1"/>
  <c r="W122" i="1"/>
  <c r="BA122" i="1" s="1"/>
  <c r="W124" i="1"/>
  <c r="BA124" i="1" s="1"/>
  <c r="W126" i="1"/>
  <c r="BA126" i="1" s="1"/>
  <c r="W128" i="1"/>
  <c r="BA128" i="1" s="1"/>
  <c r="W130" i="1"/>
  <c r="BA130" i="1" s="1"/>
  <c r="W134" i="1"/>
  <c r="BA134" i="1" s="1"/>
  <c r="Z143" i="1"/>
  <c r="BD143" i="1" s="1"/>
  <c r="T143" i="1"/>
  <c r="AX143" i="1" s="1"/>
  <c r="AV143" i="1" s="1"/>
  <c r="BV143" i="1" s="1"/>
  <c r="AC143" i="1"/>
  <c r="BG143" i="1" s="1"/>
  <c r="V143" i="1"/>
  <c r="AZ143" i="1" s="1"/>
  <c r="CK143" i="1"/>
  <c r="Y143" i="1"/>
  <c r="BC143" i="1" s="1"/>
  <c r="AB143" i="1"/>
  <c r="BF143" i="1" s="1"/>
  <c r="CF154" i="1"/>
  <c r="BY154" i="1"/>
  <c r="Z155" i="1"/>
  <c r="BD155" i="1" s="1"/>
  <c r="T155" i="1"/>
  <c r="AX155" i="1" s="1"/>
  <c r="AV155" i="1" s="1"/>
  <c r="BV155" i="1" s="1"/>
  <c r="AC155" i="1"/>
  <c r="BG155" i="1" s="1"/>
  <c r="V155" i="1"/>
  <c r="AZ155" i="1" s="1"/>
  <c r="CK155" i="1"/>
  <c r="Y155" i="1"/>
  <c r="BC155" i="1" s="1"/>
  <c r="AB155" i="1"/>
  <c r="BF155" i="1" s="1"/>
  <c r="AW164" i="1"/>
  <c r="AV164" i="1" s="1"/>
  <c r="BV164" i="1" s="1"/>
  <c r="R164" i="1"/>
  <c r="AS164" i="1" s="1"/>
  <c r="AB170" i="1"/>
  <c r="BF170" i="1" s="1"/>
  <c r="V170" i="1"/>
  <c r="AZ170" i="1" s="1"/>
  <c r="X170" i="1"/>
  <c r="BB170" i="1" s="1"/>
  <c r="AD170" i="1"/>
  <c r="BH170" i="1" s="1"/>
  <c r="T170" i="1"/>
  <c r="AX170" i="1" s="1"/>
  <c r="AA170" i="1"/>
  <c r="BE170" i="1" s="1"/>
  <c r="S170" i="1"/>
  <c r="Z170" i="1"/>
  <c r="BD170" i="1" s="1"/>
  <c r="Z171" i="1"/>
  <c r="BD171" i="1" s="1"/>
  <c r="T171" i="1"/>
  <c r="AX171" i="1" s="1"/>
  <c r="CK171" i="1"/>
  <c r="Y171" i="1"/>
  <c r="BC171" i="1" s="1"/>
  <c r="S171" i="1"/>
  <c r="W171" i="1"/>
  <c r="BA171" i="1" s="1"/>
  <c r="AC171" i="1"/>
  <c r="BG171" i="1" s="1"/>
  <c r="U171" i="1"/>
  <c r="AY171" i="1" s="1"/>
  <c r="AB171" i="1"/>
  <c r="BF171" i="1" s="1"/>
  <c r="Z191" i="1"/>
  <c r="BD191" i="1" s="1"/>
  <c r="T191" i="1"/>
  <c r="AX191" i="1" s="1"/>
  <c r="AD191" i="1"/>
  <c r="BH191" i="1" s="1"/>
  <c r="W191" i="1"/>
  <c r="BA191" i="1" s="1"/>
  <c r="AB191" i="1"/>
  <c r="BF191" i="1" s="1"/>
  <c r="U191" i="1"/>
  <c r="AY191" i="1" s="1"/>
  <c r="X191" i="1"/>
  <c r="BB191" i="1" s="1"/>
  <c r="V191" i="1"/>
  <c r="AZ191" i="1" s="1"/>
  <c r="S191" i="1"/>
  <c r="AC191" i="1"/>
  <c r="BG191" i="1" s="1"/>
  <c r="AA191" i="1"/>
  <c r="BE191" i="1" s="1"/>
  <c r="CK191" i="1"/>
  <c r="Y191" i="1"/>
  <c r="BC191" i="1" s="1"/>
  <c r="Z199" i="1"/>
  <c r="BD199" i="1" s="1"/>
  <c r="T199" i="1"/>
  <c r="AX199" i="1" s="1"/>
  <c r="AD199" i="1"/>
  <c r="BH199" i="1" s="1"/>
  <c r="W199" i="1"/>
  <c r="BA199" i="1" s="1"/>
  <c r="AC199" i="1"/>
  <c r="BG199" i="1" s="1"/>
  <c r="V199" i="1"/>
  <c r="AZ199" i="1" s="1"/>
  <c r="AB199" i="1"/>
  <c r="BF199" i="1" s="1"/>
  <c r="U199" i="1"/>
  <c r="AY199" i="1" s="1"/>
  <c r="AA199" i="1"/>
  <c r="BE199" i="1" s="1"/>
  <c r="S199" i="1"/>
  <c r="Y199" i="1"/>
  <c r="BC199" i="1" s="1"/>
  <c r="CK199" i="1"/>
  <c r="X199" i="1"/>
  <c r="BB199" i="1" s="1"/>
  <c r="Z134" i="1"/>
  <c r="BD134" i="1" s="1"/>
  <c r="T134" i="1"/>
  <c r="X134" i="1"/>
  <c r="BB134" i="1" s="1"/>
  <c r="Z147" i="1"/>
  <c r="BD147" i="1" s="1"/>
  <c r="T147" i="1"/>
  <c r="AX147" i="1" s="1"/>
  <c r="AC147" i="1"/>
  <c r="BG147" i="1" s="1"/>
  <c r="V147" i="1"/>
  <c r="AZ147" i="1" s="1"/>
  <c r="CK147" i="1"/>
  <c r="Y147" i="1"/>
  <c r="BC147" i="1" s="1"/>
  <c r="AB147" i="1"/>
  <c r="BF147" i="1" s="1"/>
  <c r="Z153" i="1"/>
  <c r="BD153" i="1" s="1"/>
  <c r="T153" i="1"/>
  <c r="AX153" i="1" s="1"/>
  <c r="CK153" i="1"/>
  <c r="Y153" i="1"/>
  <c r="BC153" i="1" s="1"/>
  <c r="AC153" i="1"/>
  <c r="BG153" i="1" s="1"/>
  <c r="V153" i="1"/>
  <c r="AZ153" i="1" s="1"/>
  <c r="AB153" i="1"/>
  <c r="BF153" i="1" s="1"/>
  <c r="AV157" i="1"/>
  <c r="BV157" i="1" s="1"/>
  <c r="BI168" i="1"/>
  <c r="V171" i="1"/>
  <c r="AZ171" i="1" s="1"/>
  <c r="AD174" i="1"/>
  <c r="BH174" i="1" s="1"/>
  <c r="X174" i="1"/>
  <c r="BB174" i="1" s="1"/>
  <c r="V174" i="1"/>
  <c r="AZ174" i="1" s="1"/>
  <c r="U174" i="1"/>
  <c r="AY174" i="1" s="1"/>
  <c r="S174" i="1"/>
  <c r="AA174" i="1"/>
  <c r="BE174" i="1" s="1"/>
  <c r="BI175" i="1"/>
  <c r="X182" i="1"/>
  <c r="BB182" i="1" s="1"/>
  <c r="AD182" i="1"/>
  <c r="BH182" i="1" s="1"/>
  <c r="V182" i="1"/>
  <c r="AZ182" i="1" s="1"/>
  <c r="AB182" i="1"/>
  <c r="BF182" i="1" s="1"/>
  <c r="U182" i="1"/>
  <c r="AY182" i="1" s="1"/>
  <c r="T182" i="1"/>
  <c r="AX182" i="1" s="1"/>
  <c r="AA182" i="1"/>
  <c r="BE182" i="1" s="1"/>
  <c r="BI185" i="1"/>
  <c r="Y194" i="1"/>
  <c r="BC194" i="1" s="1"/>
  <c r="AD194" i="1"/>
  <c r="BH194" i="1" s="1"/>
  <c r="V194" i="1"/>
  <c r="AZ194" i="1" s="1"/>
  <c r="AB194" i="1"/>
  <c r="BF194" i="1" s="1"/>
  <c r="S194" i="1"/>
  <c r="AA194" i="1"/>
  <c r="BE194" i="1" s="1"/>
  <c r="Z194" i="1"/>
  <c r="BD194" i="1" s="1"/>
  <c r="X194" i="1"/>
  <c r="BB194" i="1" s="1"/>
  <c r="U194" i="1"/>
  <c r="AY194" i="1" s="1"/>
  <c r="P26" i="2" s="1"/>
  <c r="H26" i="2" s="1"/>
  <c r="T194" i="1"/>
  <c r="AX194" i="1" s="1"/>
  <c r="Z219" i="1"/>
  <c r="BD219" i="1" s="1"/>
  <c r="T219" i="1"/>
  <c r="AX219" i="1" s="1"/>
  <c r="AD219" i="1"/>
  <c r="BH219" i="1" s="1"/>
  <c r="W219" i="1"/>
  <c r="BA219" i="1" s="1"/>
  <c r="AC219" i="1"/>
  <c r="BG219" i="1" s="1"/>
  <c r="V219" i="1"/>
  <c r="AZ219" i="1" s="1"/>
  <c r="AB219" i="1"/>
  <c r="BF219" i="1" s="1"/>
  <c r="U219" i="1"/>
  <c r="AY219" i="1" s="1"/>
  <c r="AA219" i="1"/>
  <c r="BE219" i="1" s="1"/>
  <c r="S219" i="1"/>
  <c r="Y219" i="1"/>
  <c r="BC219" i="1" s="1"/>
  <c r="X219" i="1"/>
  <c r="BB219" i="1" s="1"/>
  <c r="CK219" i="1"/>
  <c r="W133" i="1"/>
  <c r="BA133" i="1" s="1"/>
  <c r="W135" i="1"/>
  <c r="BA135" i="1" s="1"/>
  <c r="T136" i="1"/>
  <c r="AX136" i="1" s="1"/>
  <c r="AV136" i="1" s="1"/>
  <c r="BV136" i="1" s="1"/>
  <c r="Z136" i="1"/>
  <c r="BD136" i="1" s="1"/>
  <c r="W137" i="1"/>
  <c r="BA137" i="1" s="1"/>
  <c r="T138" i="1"/>
  <c r="AX138" i="1" s="1"/>
  <c r="Z138" i="1"/>
  <c r="BD138" i="1" s="1"/>
  <c r="W139" i="1"/>
  <c r="BA139" i="1" s="1"/>
  <c r="T140" i="1"/>
  <c r="AX140" i="1" s="1"/>
  <c r="Z140" i="1"/>
  <c r="BD140" i="1" s="1"/>
  <c r="T142" i="1"/>
  <c r="AC144" i="1"/>
  <c r="BG144" i="1" s="1"/>
  <c r="X144" i="1"/>
  <c r="BB144" i="1" s="1"/>
  <c r="T146" i="1"/>
  <c r="AX146" i="1" s="1"/>
  <c r="AC148" i="1"/>
  <c r="BG148" i="1" s="1"/>
  <c r="X148" i="1"/>
  <c r="BB148" i="1" s="1"/>
  <c r="AC152" i="1"/>
  <c r="BG152" i="1" s="1"/>
  <c r="X152" i="1"/>
  <c r="BB152" i="1" s="1"/>
  <c r="AC156" i="1"/>
  <c r="BG156" i="1" s="1"/>
  <c r="T158" i="1"/>
  <c r="AX158" i="1" s="1"/>
  <c r="AC160" i="1"/>
  <c r="BG160" i="1" s="1"/>
  <c r="X160" i="1"/>
  <c r="BB160" i="1" s="1"/>
  <c r="T162" i="1"/>
  <c r="AC164" i="1"/>
  <c r="BG164" i="1" s="1"/>
  <c r="X164" i="1"/>
  <c r="BB164" i="1" s="1"/>
  <c r="T166" i="1"/>
  <c r="AX166" i="1" s="1"/>
  <c r="AV166" i="1" s="1"/>
  <c r="BV166" i="1" s="1"/>
  <c r="AD172" i="1"/>
  <c r="BH172" i="1" s="1"/>
  <c r="AB172" i="1"/>
  <c r="BF172" i="1" s="1"/>
  <c r="V172" i="1"/>
  <c r="AZ172" i="1" s="1"/>
  <c r="AC174" i="1"/>
  <c r="BG174" i="1" s="1"/>
  <c r="BI174" i="1"/>
  <c r="AA175" i="1"/>
  <c r="BE175" i="1" s="1"/>
  <c r="U175" i="1"/>
  <c r="AY175" i="1" s="1"/>
  <c r="Z175" i="1"/>
  <c r="BD175" i="1" s="1"/>
  <c r="T175" i="1"/>
  <c r="AX175" i="1" s="1"/>
  <c r="CK175" i="1"/>
  <c r="Y175" i="1"/>
  <c r="BC175" i="1" s="1"/>
  <c r="S175" i="1"/>
  <c r="AC175" i="1"/>
  <c r="BG175" i="1" s="1"/>
  <c r="J178" i="1"/>
  <c r="AW180" i="1"/>
  <c r="Z187" i="1"/>
  <c r="BD187" i="1" s="1"/>
  <c r="T187" i="1"/>
  <c r="AX187" i="1" s="1"/>
  <c r="AC187" i="1"/>
  <c r="BG187" i="1" s="1"/>
  <c r="V187" i="1"/>
  <c r="AZ187" i="1" s="1"/>
  <c r="AB187" i="1"/>
  <c r="BF187" i="1" s="1"/>
  <c r="U187" i="1"/>
  <c r="AY187" i="1" s="1"/>
  <c r="AA187" i="1"/>
  <c r="BE187" i="1" s="1"/>
  <c r="S187" i="1"/>
  <c r="AC178" i="1"/>
  <c r="BG178" i="1" s="1"/>
  <c r="BI178" i="1"/>
  <c r="AA179" i="1"/>
  <c r="BE179" i="1" s="1"/>
  <c r="U179" i="1"/>
  <c r="AY179" i="1" s="1"/>
  <c r="Z179" i="1"/>
  <c r="BD179" i="1" s="1"/>
  <c r="T179" i="1"/>
  <c r="AX179" i="1" s="1"/>
  <c r="CK179" i="1"/>
  <c r="Y179" i="1"/>
  <c r="BC179" i="1" s="1"/>
  <c r="S179" i="1"/>
  <c r="AC179" i="1"/>
  <c r="BG179" i="1" s="1"/>
  <c r="BI181" i="1"/>
  <c r="BI184" i="1"/>
  <c r="X186" i="1"/>
  <c r="BB186" i="1" s="1"/>
  <c r="AD186" i="1"/>
  <c r="BH186" i="1" s="1"/>
  <c r="V186" i="1"/>
  <c r="AZ186" i="1" s="1"/>
  <c r="AB186" i="1"/>
  <c r="BF186" i="1" s="1"/>
  <c r="U186" i="1"/>
  <c r="Y186" i="1"/>
  <c r="BC186" i="1" s="1"/>
  <c r="BI188" i="1"/>
  <c r="AW190" i="1"/>
  <c r="BI190" i="1"/>
  <c r="BI191" i="1"/>
  <c r="Y198" i="1"/>
  <c r="BC198" i="1" s="1"/>
  <c r="X198" i="1"/>
  <c r="BB198" i="1" s="1"/>
  <c r="AD198" i="1"/>
  <c r="BH198" i="1" s="1"/>
  <c r="V198" i="1"/>
  <c r="AZ198" i="1" s="1"/>
  <c r="AB198" i="1"/>
  <c r="BF198" i="1" s="1"/>
  <c r="T198" i="1"/>
  <c r="AX198" i="1" s="1"/>
  <c r="S198" i="1"/>
  <c r="W136" i="1"/>
  <c r="BA136" i="1" s="1"/>
  <c r="T137" i="1"/>
  <c r="AX137" i="1" s="1"/>
  <c r="AV137" i="1" s="1"/>
  <c r="BV137" i="1" s="1"/>
  <c r="W138" i="1"/>
  <c r="BA138" i="1" s="1"/>
  <c r="W140" i="1"/>
  <c r="BA140" i="1" s="1"/>
  <c r="T144" i="1"/>
  <c r="AX144" i="1" s="1"/>
  <c r="T148" i="1"/>
  <c r="AX148" i="1" s="1"/>
  <c r="AV148" i="1" s="1"/>
  <c r="BV148" i="1" s="1"/>
  <c r="T156" i="1"/>
  <c r="AX156" i="1" s="1"/>
  <c r="T160" i="1"/>
  <c r="J168" i="1"/>
  <c r="J170" i="1"/>
  <c r="S172" i="1"/>
  <c r="AA172" i="1"/>
  <c r="BE172" i="1" s="1"/>
  <c r="W175" i="1"/>
  <c r="BA175" i="1" s="1"/>
  <c r="J176" i="1"/>
  <c r="BI176" i="1"/>
  <c r="AA177" i="1"/>
  <c r="BE177" i="1" s="1"/>
  <c r="U177" i="1"/>
  <c r="AY177" i="1" s="1"/>
  <c r="Z177" i="1"/>
  <c r="BD177" i="1" s="1"/>
  <c r="T177" i="1"/>
  <c r="AX177" i="1" s="1"/>
  <c r="CK177" i="1"/>
  <c r="Y177" i="1"/>
  <c r="BC177" i="1" s="1"/>
  <c r="S177" i="1"/>
  <c r="AC177" i="1"/>
  <c r="BG177" i="1" s="1"/>
  <c r="V179" i="1"/>
  <c r="AZ179" i="1" s="1"/>
  <c r="AD180" i="1"/>
  <c r="BH180" i="1" s="1"/>
  <c r="X180" i="1"/>
  <c r="BB180" i="1" s="1"/>
  <c r="AB180" i="1"/>
  <c r="BF180" i="1" s="1"/>
  <c r="V180" i="1"/>
  <c r="AZ180" i="1" s="1"/>
  <c r="Y180" i="1"/>
  <c r="BC180" i="1" s="1"/>
  <c r="Z183" i="1"/>
  <c r="BD183" i="1" s="1"/>
  <c r="T183" i="1"/>
  <c r="AX183" i="1" s="1"/>
  <c r="AC183" i="1"/>
  <c r="BG183" i="1" s="1"/>
  <c r="V183" i="1"/>
  <c r="AZ183" i="1" s="1"/>
  <c r="AB183" i="1"/>
  <c r="BF183" i="1" s="1"/>
  <c r="U183" i="1"/>
  <c r="AY183" i="1" s="1"/>
  <c r="AA183" i="1"/>
  <c r="BE183" i="1" s="1"/>
  <c r="S183" i="1"/>
  <c r="AA186" i="1"/>
  <c r="BE186" i="1" s="1"/>
  <c r="X187" i="1"/>
  <c r="BB187" i="1" s="1"/>
  <c r="AD192" i="1"/>
  <c r="BH192" i="1" s="1"/>
  <c r="BI193" i="1"/>
  <c r="J194" i="1"/>
  <c r="X195" i="1"/>
  <c r="BB195" i="1" s="1"/>
  <c r="AB196" i="1"/>
  <c r="BF196" i="1" s="1"/>
  <c r="U196" i="1"/>
  <c r="AY196" i="1" s="1"/>
  <c r="AA196" i="1"/>
  <c r="BE196" i="1" s="1"/>
  <c r="T196" i="1"/>
  <c r="AX196" i="1" s="1"/>
  <c r="Z196" i="1"/>
  <c r="BD196" i="1" s="1"/>
  <c r="S196" i="1"/>
  <c r="X196" i="1"/>
  <c r="BB196" i="1" s="1"/>
  <c r="BI201" i="1"/>
  <c r="AA203" i="1"/>
  <c r="BE203" i="1" s="1"/>
  <c r="U203" i="1"/>
  <c r="AY203" i="1" s="1"/>
  <c r="Z203" i="1"/>
  <c r="BD203" i="1" s="1"/>
  <c r="T203" i="1"/>
  <c r="AX203" i="1" s="1"/>
  <c r="X203" i="1"/>
  <c r="BB203" i="1" s="1"/>
  <c r="W203" i="1"/>
  <c r="BA203" i="1" s="1"/>
  <c r="AD203" i="1"/>
  <c r="BH203" i="1" s="1"/>
  <c r="V203" i="1"/>
  <c r="AZ203" i="1" s="1"/>
  <c r="AC203" i="1"/>
  <c r="BG203" i="1" s="1"/>
  <c r="S203" i="1"/>
  <c r="AA209" i="1"/>
  <c r="BE209" i="1" s="1"/>
  <c r="U209" i="1"/>
  <c r="AY209" i="1" s="1"/>
  <c r="Z209" i="1"/>
  <c r="BD209" i="1" s="1"/>
  <c r="T209" i="1"/>
  <c r="AX209" i="1" s="1"/>
  <c r="CK209" i="1"/>
  <c r="Y209" i="1"/>
  <c r="BC209" i="1" s="1"/>
  <c r="S209" i="1"/>
  <c r="AB209" i="1"/>
  <c r="BF209" i="1" s="1"/>
  <c r="X209" i="1"/>
  <c r="BB209" i="1" s="1"/>
  <c r="W209" i="1"/>
  <c r="BA209" i="1" s="1"/>
  <c r="V209" i="1"/>
  <c r="AZ209" i="1" s="1"/>
  <c r="W142" i="1"/>
  <c r="BA142" i="1" s="1"/>
  <c r="W144" i="1"/>
  <c r="BA144" i="1" s="1"/>
  <c r="W146" i="1"/>
  <c r="BA146" i="1" s="1"/>
  <c r="W148" i="1"/>
  <c r="BA148" i="1" s="1"/>
  <c r="W150" i="1"/>
  <c r="BA150" i="1" s="1"/>
  <c r="W152" i="1"/>
  <c r="BA152" i="1" s="1"/>
  <c r="AV152" i="1" s="1"/>
  <c r="BV152" i="1" s="1"/>
  <c r="W154" i="1"/>
  <c r="BA154" i="1" s="1"/>
  <c r="AV154" i="1" s="1"/>
  <c r="BV154" i="1" s="1"/>
  <c r="W156" i="1"/>
  <c r="BA156" i="1" s="1"/>
  <c r="W158" i="1"/>
  <c r="BA158" i="1" s="1"/>
  <c r="AV158" i="1" s="1"/>
  <c r="BV158" i="1" s="1"/>
  <c r="W160" i="1"/>
  <c r="BA160" i="1" s="1"/>
  <c r="W162" i="1"/>
  <c r="BA162" i="1" s="1"/>
  <c r="W164" i="1"/>
  <c r="BA164" i="1" s="1"/>
  <c r="W166" i="1"/>
  <c r="BA166" i="1" s="1"/>
  <c r="W168" i="1"/>
  <c r="BA168" i="1" s="1"/>
  <c r="W170" i="1"/>
  <c r="BA170" i="1" s="1"/>
  <c r="W172" i="1"/>
  <c r="BA172" i="1" s="1"/>
  <c r="W174" i="1"/>
  <c r="BA174" i="1" s="1"/>
  <c r="W176" i="1"/>
  <c r="BA176" i="1" s="1"/>
  <c r="W178" i="1"/>
  <c r="BA178" i="1" s="1"/>
  <c r="W180" i="1"/>
  <c r="BA180" i="1" s="1"/>
  <c r="Z181" i="1"/>
  <c r="BD181" i="1" s="1"/>
  <c r="T181" i="1"/>
  <c r="AX181" i="1" s="1"/>
  <c r="X181" i="1"/>
  <c r="BB181" i="1" s="1"/>
  <c r="AV181" i="1" s="1"/>
  <c r="BV181" i="1" s="1"/>
  <c r="S184" i="1"/>
  <c r="Z184" i="1"/>
  <c r="BD184" i="1" s="1"/>
  <c r="Z185" i="1"/>
  <c r="BD185" i="1" s="1"/>
  <c r="T185" i="1"/>
  <c r="AX185" i="1" s="1"/>
  <c r="AV185" i="1" s="1"/>
  <c r="BV185" i="1" s="1"/>
  <c r="X185" i="1"/>
  <c r="BB185" i="1" s="1"/>
  <c r="T188" i="1"/>
  <c r="AX188" i="1" s="1"/>
  <c r="Y190" i="1"/>
  <c r="BC190" i="1" s="1"/>
  <c r="AD190" i="1"/>
  <c r="BH190" i="1" s="1"/>
  <c r="V190" i="1"/>
  <c r="AZ190" i="1" s="1"/>
  <c r="X190" i="1"/>
  <c r="BB190" i="1" s="1"/>
  <c r="AC194" i="1"/>
  <c r="BG194" i="1" s="1"/>
  <c r="BI194" i="1"/>
  <c r="Y196" i="1"/>
  <c r="BC196" i="1" s="1"/>
  <c r="BI197" i="1"/>
  <c r="Y202" i="1"/>
  <c r="BC202" i="1" s="1"/>
  <c r="X202" i="1"/>
  <c r="BB202" i="1" s="1"/>
  <c r="AD202" i="1"/>
  <c r="BH202" i="1" s="1"/>
  <c r="V202" i="1"/>
  <c r="AZ202" i="1" s="1"/>
  <c r="AB202" i="1"/>
  <c r="BF202" i="1" s="1"/>
  <c r="U202" i="1"/>
  <c r="AY202" i="1" s="1"/>
  <c r="AV202" i="1" s="1"/>
  <c r="BV202" i="1" s="1"/>
  <c r="AA202" i="1"/>
  <c r="BE202" i="1" s="1"/>
  <c r="BI204" i="1"/>
  <c r="AA205" i="1"/>
  <c r="BE205" i="1" s="1"/>
  <c r="U205" i="1"/>
  <c r="AY205" i="1" s="1"/>
  <c r="Z205" i="1"/>
  <c r="BD205" i="1" s="1"/>
  <c r="T205" i="1"/>
  <c r="AX205" i="1" s="1"/>
  <c r="X205" i="1"/>
  <c r="BB205" i="1" s="1"/>
  <c r="W205" i="1"/>
  <c r="BA205" i="1" s="1"/>
  <c r="AD205" i="1"/>
  <c r="BH205" i="1" s="1"/>
  <c r="V205" i="1"/>
  <c r="AZ205" i="1" s="1"/>
  <c r="AC205" i="1"/>
  <c r="BG205" i="1" s="1"/>
  <c r="S205" i="1"/>
  <c r="AW206" i="1"/>
  <c r="AW208" i="1"/>
  <c r="AV208" i="1" s="1"/>
  <c r="BV208" i="1" s="1"/>
  <c r="AC182" i="1"/>
  <c r="BG182" i="1" s="1"/>
  <c r="T184" i="1"/>
  <c r="AX184" i="1" s="1"/>
  <c r="AC186" i="1"/>
  <c r="BG186" i="1" s="1"/>
  <c r="AB188" i="1"/>
  <c r="BF188" i="1" s="1"/>
  <c r="S188" i="1"/>
  <c r="U188" i="1"/>
  <c r="AY188" i="1" s="1"/>
  <c r="AD188" i="1"/>
  <c r="BH188" i="1" s="1"/>
  <c r="BI189" i="1"/>
  <c r="AB192" i="1"/>
  <c r="BF192" i="1" s="1"/>
  <c r="U192" i="1"/>
  <c r="AY192" i="1" s="1"/>
  <c r="P9" i="2" s="1"/>
  <c r="H9" i="2" s="1"/>
  <c r="Z192" i="1"/>
  <c r="BD192" i="1" s="1"/>
  <c r="S192" i="1"/>
  <c r="V192" i="1"/>
  <c r="AZ192" i="1" s="1"/>
  <c r="Z195" i="1"/>
  <c r="BD195" i="1" s="1"/>
  <c r="T195" i="1"/>
  <c r="AD195" i="1"/>
  <c r="BH195" i="1" s="1"/>
  <c r="W195" i="1"/>
  <c r="BA195" i="1" s="1"/>
  <c r="AB195" i="1"/>
  <c r="BF195" i="1" s="1"/>
  <c r="U195" i="1"/>
  <c r="AY195" i="1" s="1"/>
  <c r="AA195" i="1"/>
  <c r="BE195" i="1" s="1"/>
  <c r="BI206" i="1"/>
  <c r="AA207" i="1"/>
  <c r="BE207" i="1" s="1"/>
  <c r="U207" i="1"/>
  <c r="AY207" i="1" s="1"/>
  <c r="Z207" i="1"/>
  <c r="BD207" i="1" s="1"/>
  <c r="T207" i="1"/>
  <c r="AX207" i="1" s="1"/>
  <c r="X207" i="1"/>
  <c r="BB207" i="1" s="1"/>
  <c r="W207" i="1"/>
  <c r="BA207" i="1" s="1"/>
  <c r="AD207" i="1"/>
  <c r="BH207" i="1" s="1"/>
  <c r="V207" i="1"/>
  <c r="AZ207" i="1" s="1"/>
  <c r="AC207" i="1"/>
  <c r="BG207" i="1" s="1"/>
  <c r="S207" i="1"/>
  <c r="AW237" i="1"/>
  <c r="AD210" i="1"/>
  <c r="BH210" i="1" s="1"/>
  <c r="X210" i="1"/>
  <c r="BB210" i="1" s="1"/>
  <c r="AB210" i="1"/>
  <c r="BF210" i="1" s="1"/>
  <c r="V210" i="1"/>
  <c r="AZ210" i="1" s="1"/>
  <c r="Y210" i="1"/>
  <c r="BC210" i="1" s="1"/>
  <c r="AW212" i="1"/>
  <c r="BI213" i="1"/>
  <c r="Y214" i="1"/>
  <c r="BC214" i="1" s="1"/>
  <c r="X214" i="1"/>
  <c r="BB214" i="1" s="1"/>
  <c r="AD214" i="1"/>
  <c r="BH214" i="1" s="1"/>
  <c r="V214" i="1"/>
  <c r="AZ214" i="1" s="1"/>
  <c r="AB214" i="1"/>
  <c r="BF214" i="1" s="1"/>
  <c r="Z214" i="1"/>
  <c r="BD214" i="1" s="1"/>
  <c r="Z215" i="1"/>
  <c r="BD215" i="1" s="1"/>
  <c r="T215" i="1"/>
  <c r="AX215" i="1" s="1"/>
  <c r="AD215" i="1"/>
  <c r="BH215" i="1" s="1"/>
  <c r="W215" i="1"/>
  <c r="BA215" i="1" s="1"/>
  <c r="AC215" i="1"/>
  <c r="BG215" i="1" s="1"/>
  <c r="V215" i="1"/>
  <c r="AZ215" i="1" s="1"/>
  <c r="AB215" i="1"/>
  <c r="BF215" i="1" s="1"/>
  <c r="U215" i="1"/>
  <c r="AY215" i="1" s="1"/>
  <c r="AA215" i="1"/>
  <c r="BE215" i="1" s="1"/>
  <c r="S215" i="1"/>
  <c r="Y218" i="1"/>
  <c r="BC218" i="1" s="1"/>
  <c r="X218" i="1"/>
  <c r="BB218" i="1" s="1"/>
  <c r="AD218" i="1"/>
  <c r="BH218" i="1" s="1"/>
  <c r="V218" i="1"/>
  <c r="AZ218" i="1" s="1"/>
  <c r="AB218" i="1"/>
  <c r="BF218" i="1" s="1"/>
  <c r="U218" i="1"/>
  <c r="AY218" i="1" s="1"/>
  <c r="AA218" i="1"/>
  <c r="BE218" i="1" s="1"/>
  <c r="X229" i="1"/>
  <c r="BB229" i="1" s="1"/>
  <c r="Z189" i="1"/>
  <c r="BD189" i="1" s="1"/>
  <c r="T189" i="1"/>
  <c r="AX189" i="1" s="1"/>
  <c r="X189" i="1"/>
  <c r="BB189" i="1" s="1"/>
  <c r="Z193" i="1"/>
  <c r="BD193" i="1" s="1"/>
  <c r="T193" i="1"/>
  <c r="AX193" i="1" s="1"/>
  <c r="X193" i="1"/>
  <c r="BB193" i="1" s="1"/>
  <c r="Z197" i="1"/>
  <c r="BD197" i="1" s="1"/>
  <c r="T197" i="1"/>
  <c r="AX197" i="1" s="1"/>
  <c r="X197" i="1"/>
  <c r="BB197" i="1" s="1"/>
  <c r="S200" i="1"/>
  <c r="Z200" i="1"/>
  <c r="BD200" i="1" s="1"/>
  <c r="Z201" i="1"/>
  <c r="BD201" i="1" s="1"/>
  <c r="T201" i="1"/>
  <c r="AX201" i="1" s="1"/>
  <c r="X201" i="1"/>
  <c r="BB201" i="1" s="1"/>
  <c r="AD204" i="1"/>
  <c r="BH204" i="1" s="1"/>
  <c r="X204" i="1"/>
  <c r="BB204" i="1" s="1"/>
  <c r="U204" i="1"/>
  <c r="AY204" i="1" s="1"/>
  <c r="AD206" i="1"/>
  <c r="BH206" i="1" s="1"/>
  <c r="X206" i="1"/>
  <c r="BB206" i="1" s="1"/>
  <c r="U206" i="1"/>
  <c r="AY206" i="1" s="1"/>
  <c r="AD208" i="1"/>
  <c r="BH208" i="1" s="1"/>
  <c r="X208" i="1"/>
  <c r="BB208" i="1" s="1"/>
  <c r="AB208" i="1"/>
  <c r="BF208" i="1" s="1"/>
  <c r="U208" i="1"/>
  <c r="AY208" i="1" s="1"/>
  <c r="J210" i="1"/>
  <c r="Z210" i="1"/>
  <c r="BD210" i="1" s="1"/>
  <c r="AA211" i="1"/>
  <c r="BE211" i="1" s="1"/>
  <c r="U211" i="1"/>
  <c r="AY211" i="1" s="1"/>
  <c r="P22" i="2" s="1"/>
  <c r="H22" i="2" s="1"/>
  <c r="Z211" i="1"/>
  <c r="T211" i="1"/>
  <c r="AX211" i="1" s="1"/>
  <c r="CK211" i="1"/>
  <c r="Y211" i="1"/>
  <c r="BC211" i="1" s="1"/>
  <c r="S211" i="1"/>
  <c r="AC211" i="1"/>
  <c r="J214" i="1"/>
  <c r="AA214" i="1"/>
  <c r="BE214" i="1" s="1"/>
  <c r="CK215" i="1"/>
  <c r="J218" i="1"/>
  <c r="AC198" i="1"/>
  <c r="BG198" i="1" s="1"/>
  <c r="T200" i="1"/>
  <c r="AX200" i="1" s="1"/>
  <c r="AA200" i="1"/>
  <c r="BE200" i="1" s="1"/>
  <c r="AC202" i="1"/>
  <c r="BG202" i="1" s="1"/>
  <c r="BI210" i="1"/>
  <c r="Z231" i="1"/>
  <c r="BD231" i="1" s="1"/>
  <c r="S231" i="1"/>
  <c r="Y231" i="1"/>
  <c r="BC231" i="1" s="1"/>
  <c r="X231" i="1"/>
  <c r="BB231" i="1" s="1"/>
  <c r="AD231" i="1"/>
  <c r="BH231" i="1" s="1"/>
  <c r="V231" i="1"/>
  <c r="AZ231" i="1" s="1"/>
  <c r="U231" i="1"/>
  <c r="AY231" i="1" s="1"/>
  <c r="T231" i="1"/>
  <c r="AX231" i="1" s="1"/>
  <c r="S189" i="1"/>
  <c r="AA189" i="1"/>
  <c r="BE189" i="1" s="1"/>
  <c r="S193" i="1"/>
  <c r="AA193" i="1"/>
  <c r="BE193" i="1" s="1"/>
  <c r="S197" i="1"/>
  <c r="AA197" i="1"/>
  <c r="BE197" i="1" s="1"/>
  <c r="U200" i="1"/>
  <c r="AY200" i="1" s="1"/>
  <c r="S201" i="1"/>
  <c r="AA201" i="1"/>
  <c r="BE201" i="1" s="1"/>
  <c r="Y204" i="1"/>
  <c r="BC204" i="1" s="1"/>
  <c r="Y206" i="1"/>
  <c r="BC206" i="1" s="1"/>
  <c r="Y208" i="1"/>
  <c r="BC208" i="1" s="1"/>
  <c r="S210" i="1"/>
  <c r="V211" i="1"/>
  <c r="AZ211" i="1" s="1"/>
  <c r="AD212" i="1"/>
  <c r="BH212" i="1" s="1"/>
  <c r="X212" i="1"/>
  <c r="BB212" i="1" s="1"/>
  <c r="AB212" i="1"/>
  <c r="BF212" i="1" s="1"/>
  <c r="V212" i="1"/>
  <c r="AZ212" i="1" s="1"/>
  <c r="Y212" i="1"/>
  <c r="BC212" i="1" s="1"/>
  <c r="S214" i="1"/>
  <c r="Y215" i="1"/>
  <c r="BC215" i="1" s="1"/>
  <c r="S218" i="1"/>
  <c r="AD229" i="1"/>
  <c r="BH229" i="1" s="1"/>
  <c r="V229" i="1"/>
  <c r="AZ229" i="1" s="1"/>
  <c r="AB229" i="1"/>
  <c r="BF229" i="1" s="1"/>
  <c r="U229" i="1"/>
  <c r="AY229" i="1" s="1"/>
  <c r="Z229" i="1"/>
  <c r="BD229" i="1" s="1"/>
  <c r="S229" i="1"/>
  <c r="T229" i="1"/>
  <c r="AX229" i="1" s="1"/>
  <c r="AA229" i="1"/>
  <c r="BE229" i="1" s="1"/>
  <c r="J229" i="1"/>
  <c r="J231" i="1"/>
  <c r="Z213" i="1"/>
  <c r="BD213" i="1" s="1"/>
  <c r="T213" i="1"/>
  <c r="AX213" i="1" s="1"/>
  <c r="X213" i="1"/>
  <c r="BB213" i="1" s="1"/>
  <c r="Z217" i="1"/>
  <c r="BD217" i="1" s="1"/>
  <c r="T217" i="1"/>
  <c r="AX217" i="1" s="1"/>
  <c r="X217" i="1"/>
  <c r="BB217" i="1" s="1"/>
  <c r="AC229" i="1"/>
  <c r="BG229" i="1" s="1"/>
  <c r="W182" i="1"/>
  <c r="BA182" i="1" s="1"/>
  <c r="W184" i="1"/>
  <c r="BA184" i="1" s="1"/>
  <c r="W186" i="1"/>
  <c r="BA186" i="1" s="1"/>
  <c r="W188" i="1"/>
  <c r="BA188" i="1" s="1"/>
  <c r="W190" i="1"/>
  <c r="BA190" i="1" s="1"/>
  <c r="W192" i="1"/>
  <c r="BA192" i="1" s="1"/>
  <c r="W194" i="1"/>
  <c r="BA194" i="1" s="1"/>
  <c r="W196" i="1"/>
  <c r="BA196" i="1" s="1"/>
  <c r="W198" i="1"/>
  <c r="BA198" i="1" s="1"/>
  <c r="W200" i="1"/>
  <c r="BA200" i="1" s="1"/>
  <c r="W202" i="1"/>
  <c r="BA202" i="1" s="1"/>
  <c r="W204" i="1"/>
  <c r="BA204" i="1" s="1"/>
  <c r="W206" i="1"/>
  <c r="BA206" i="1" s="1"/>
  <c r="W208" i="1"/>
  <c r="BA208" i="1" s="1"/>
  <c r="W210" i="1"/>
  <c r="BA210" i="1" s="1"/>
  <c r="W212" i="1"/>
  <c r="BA212" i="1" s="1"/>
  <c r="Y213" i="1"/>
  <c r="BC213" i="1" s="1"/>
  <c r="CK213" i="1"/>
  <c r="AC214" i="1"/>
  <c r="BG214" i="1" s="1"/>
  <c r="T216" i="1"/>
  <c r="Y217" i="1"/>
  <c r="BC217" i="1" s="1"/>
  <c r="CK217" i="1"/>
  <c r="AC218" i="1"/>
  <c r="BG218" i="1" s="1"/>
  <c r="Z220" i="1"/>
  <c r="BD220" i="1" s="1"/>
  <c r="T220" i="1"/>
  <c r="U220" i="1"/>
  <c r="AY220" i="1" s="1"/>
  <c r="AD220" i="1"/>
  <c r="BH220" i="1" s="1"/>
  <c r="AD225" i="1"/>
  <c r="BH225" i="1" s="1"/>
  <c r="V225" i="1"/>
  <c r="AZ225" i="1" s="1"/>
  <c r="Z225" i="1"/>
  <c r="BD225" i="1" s="1"/>
  <c r="S225" i="1"/>
  <c r="X225" i="1"/>
  <c r="BB225" i="1" s="1"/>
  <c r="Z227" i="1"/>
  <c r="BD227" i="1" s="1"/>
  <c r="S227" i="1"/>
  <c r="Y227" i="1"/>
  <c r="BC227" i="1" s="1"/>
  <c r="AD227" i="1"/>
  <c r="BH227" i="1" s="1"/>
  <c r="V227" i="1"/>
  <c r="AZ227" i="1" s="1"/>
  <c r="AA227" i="1"/>
  <c r="BE227" i="1" s="1"/>
  <c r="BI230" i="1"/>
  <c r="AW235" i="1"/>
  <c r="Z236" i="1"/>
  <c r="BD236" i="1" s="1"/>
  <c r="T236" i="1"/>
  <c r="AX236" i="1" s="1"/>
  <c r="CK236" i="1"/>
  <c r="Y236" i="1"/>
  <c r="BC236" i="1" s="1"/>
  <c r="S236" i="1"/>
  <c r="AD236" i="1"/>
  <c r="BH236" i="1" s="1"/>
  <c r="X236" i="1"/>
  <c r="BB236" i="1" s="1"/>
  <c r="AA236" i="1"/>
  <c r="BE236" i="1" s="1"/>
  <c r="W236" i="1"/>
  <c r="BA236" i="1" s="1"/>
  <c r="V236" i="1"/>
  <c r="AZ236" i="1" s="1"/>
  <c r="U236" i="1"/>
  <c r="AY236" i="1" s="1"/>
  <c r="AB256" i="1"/>
  <c r="BF256" i="1" s="1"/>
  <c r="V256" i="1"/>
  <c r="AZ256" i="1" s="1"/>
  <c r="AA256" i="1"/>
  <c r="BE256" i="1" s="1"/>
  <c r="U256" i="1"/>
  <c r="AY256" i="1" s="1"/>
  <c r="Z256" i="1"/>
  <c r="BD256" i="1" s="1"/>
  <c r="T256" i="1"/>
  <c r="AX256" i="1" s="1"/>
  <c r="Y256" i="1"/>
  <c r="BC256" i="1" s="1"/>
  <c r="S256" i="1"/>
  <c r="AD256" i="1"/>
  <c r="BH256" i="1" s="1"/>
  <c r="CK256" i="1"/>
  <c r="AC256" i="1"/>
  <c r="BG256" i="1" s="1"/>
  <c r="X256" i="1"/>
  <c r="BB256" i="1" s="1"/>
  <c r="W256" i="1"/>
  <c r="BA256" i="1" s="1"/>
  <c r="S213" i="1"/>
  <c r="AA213" i="1"/>
  <c r="BE213" i="1" s="1"/>
  <c r="S217" i="1"/>
  <c r="AA217" i="1"/>
  <c r="BE217" i="1" s="1"/>
  <c r="BI224" i="1"/>
  <c r="AW233" i="1"/>
  <c r="AB236" i="1"/>
  <c r="BF236" i="1" s="1"/>
  <c r="W214" i="1"/>
  <c r="BA214" i="1" s="1"/>
  <c r="W216" i="1"/>
  <c r="BA216" i="1" s="1"/>
  <c r="W218" i="1"/>
  <c r="BA218" i="1" s="1"/>
  <c r="W220" i="1"/>
  <c r="BA220" i="1" s="1"/>
  <c r="T221" i="1"/>
  <c r="Z221" i="1"/>
  <c r="BD221" i="1" s="1"/>
  <c r="W222" i="1"/>
  <c r="BA222" i="1" s="1"/>
  <c r="T223" i="1"/>
  <c r="Z223" i="1"/>
  <c r="BD223" i="1" s="1"/>
  <c r="U224" i="1"/>
  <c r="AY224" i="1" s="1"/>
  <c r="Z226" i="1"/>
  <c r="BD226" i="1" s="1"/>
  <c r="T226" i="1"/>
  <c r="X226" i="1"/>
  <c r="BB226" i="1" s="1"/>
  <c r="U228" i="1"/>
  <c r="AY228" i="1" s="1"/>
  <c r="P5" i="2" s="1"/>
  <c r="H5" i="2" s="1"/>
  <c r="Z230" i="1"/>
  <c r="BD230" i="1" s="1"/>
  <c r="T230" i="1"/>
  <c r="X230" i="1"/>
  <c r="BB230" i="1" s="1"/>
  <c r="V232" i="1"/>
  <c r="AZ232" i="1" s="1"/>
  <c r="AD232" i="1"/>
  <c r="BH232" i="1" s="1"/>
  <c r="AB233" i="1"/>
  <c r="BF233" i="1" s="1"/>
  <c r="V233" i="1"/>
  <c r="AZ233" i="1" s="1"/>
  <c r="AA233" i="1"/>
  <c r="BE233" i="1" s="1"/>
  <c r="U233" i="1"/>
  <c r="AY233" i="1" s="1"/>
  <c r="X233" i="1"/>
  <c r="BB233" i="1" s="1"/>
  <c r="AA234" i="1"/>
  <c r="BE234" i="1" s="1"/>
  <c r="AD235" i="1"/>
  <c r="BH235" i="1" s="1"/>
  <c r="AA237" i="1"/>
  <c r="BE237" i="1" s="1"/>
  <c r="U237" i="1"/>
  <c r="AY237" i="1" s="1"/>
  <c r="X237" i="1"/>
  <c r="BB237" i="1" s="1"/>
  <c r="AA238" i="1"/>
  <c r="BE238" i="1" s="1"/>
  <c r="Z240" i="1"/>
  <c r="BD240" i="1" s="1"/>
  <c r="S240" i="1"/>
  <c r="Y240" i="1"/>
  <c r="BC240" i="1" s="1"/>
  <c r="X240" i="1"/>
  <c r="BB240" i="1" s="1"/>
  <c r="AD240" i="1"/>
  <c r="BH240" i="1" s="1"/>
  <c r="V240" i="1"/>
  <c r="AZ240" i="1" s="1"/>
  <c r="AB240" i="1"/>
  <c r="BF240" i="1" s="1"/>
  <c r="U240" i="1"/>
  <c r="AY240" i="1" s="1"/>
  <c r="AC231" i="1"/>
  <c r="BG231" i="1" s="1"/>
  <c r="BI233" i="1"/>
  <c r="BI237" i="1"/>
  <c r="S239" i="1"/>
  <c r="BI239" i="1"/>
  <c r="Z234" i="1"/>
  <c r="BD234" i="1" s="1"/>
  <c r="T234" i="1"/>
  <c r="AX234" i="1" s="1"/>
  <c r="CK234" i="1"/>
  <c r="Y234" i="1"/>
  <c r="BC234" i="1" s="1"/>
  <c r="S234" i="1"/>
  <c r="AD234" i="1"/>
  <c r="BH234" i="1" s="1"/>
  <c r="X234" i="1"/>
  <c r="BB234" i="1" s="1"/>
  <c r="AC234" i="1"/>
  <c r="BG234" i="1" s="1"/>
  <c r="Z238" i="1"/>
  <c r="BD238" i="1" s="1"/>
  <c r="T238" i="1"/>
  <c r="AX238" i="1" s="1"/>
  <c r="CK238" i="1"/>
  <c r="Y238" i="1"/>
  <c r="BC238" i="1" s="1"/>
  <c r="S238" i="1"/>
  <c r="AD238" i="1"/>
  <c r="BH238" i="1" s="1"/>
  <c r="X238" i="1"/>
  <c r="BB238" i="1" s="1"/>
  <c r="AC238" i="1"/>
  <c r="BG238" i="1" s="1"/>
  <c r="T239" i="1"/>
  <c r="AX239" i="1" s="1"/>
  <c r="J259" i="1"/>
  <c r="AD259" i="1"/>
  <c r="BH259" i="1" s="1"/>
  <c r="U259" i="1"/>
  <c r="AY259" i="1" s="1"/>
  <c r="AC259" i="1"/>
  <c r="BG259" i="1" s="1"/>
  <c r="S259" i="1"/>
  <c r="AA259" i="1"/>
  <c r="BE259" i="1" s="1"/>
  <c r="W259" i="1"/>
  <c r="BA259" i="1" s="1"/>
  <c r="X259" i="1"/>
  <c r="BB259" i="1" s="1"/>
  <c r="W221" i="1"/>
  <c r="BA221" i="1" s="1"/>
  <c r="T222" i="1"/>
  <c r="W223" i="1"/>
  <c r="BA223" i="1" s="1"/>
  <c r="Z224" i="1"/>
  <c r="BD224" i="1" s="1"/>
  <c r="T224" i="1"/>
  <c r="X224" i="1"/>
  <c r="BB224" i="1" s="1"/>
  <c r="Z228" i="1"/>
  <c r="BD228" i="1" s="1"/>
  <c r="T228" i="1"/>
  <c r="X228" i="1"/>
  <c r="BB228" i="1" s="1"/>
  <c r="Z232" i="1"/>
  <c r="BD232" i="1" s="1"/>
  <c r="T232" i="1"/>
  <c r="AX232" i="1" s="1"/>
  <c r="CK232" i="1"/>
  <c r="Y232" i="1"/>
  <c r="BC232" i="1" s="1"/>
  <c r="S232" i="1"/>
  <c r="AA232" i="1"/>
  <c r="BE232" i="1" s="1"/>
  <c r="U234" i="1"/>
  <c r="AY234" i="1" s="1"/>
  <c r="AB235" i="1"/>
  <c r="BF235" i="1" s="1"/>
  <c r="V235" i="1"/>
  <c r="AZ235" i="1" s="1"/>
  <c r="AA235" i="1"/>
  <c r="BE235" i="1" s="1"/>
  <c r="U235" i="1"/>
  <c r="AY235" i="1" s="1"/>
  <c r="X235" i="1"/>
  <c r="BB235" i="1" s="1"/>
  <c r="U238" i="1"/>
  <c r="AY238" i="1" s="1"/>
  <c r="X239" i="1"/>
  <c r="BB239" i="1" s="1"/>
  <c r="AW261" i="1"/>
  <c r="S241" i="1"/>
  <c r="AA241" i="1"/>
  <c r="BE241" i="1" s="1"/>
  <c r="Z243" i="1"/>
  <c r="BD243" i="1" s="1"/>
  <c r="T243" i="1"/>
  <c r="AX243" i="1" s="1"/>
  <c r="CK243" i="1"/>
  <c r="Y243" i="1"/>
  <c r="BC243" i="1" s="1"/>
  <c r="S243" i="1"/>
  <c r="AA243" i="1"/>
  <c r="BE243" i="1" s="1"/>
  <c r="AA245" i="1"/>
  <c r="BE245" i="1" s="1"/>
  <c r="U245" i="1"/>
  <c r="AY245" i="1" s="1"/>
  <c r="AB245" i="1"/>
  <c r="BF245" i="1" s="1"/>
  <c r="T245" i="1"/>
  <c r="AX245" i="1" s="1"/>
  <c r="Z245" i="1"/>
  <c r="BD245" i="1" s="1"/>
  <c r="S245" i="1"/>
  <c r="AC245" i="1"/>
  <c r="BG245" i="1" s="1"/>
  <c r="AC248" i="1"/>
  <c r="BG248" i="1" s="1"/>
  <c r="U239" i="1"/>
  <c r="AY239" i="1" s="1"/>
  <c r="AA239" i="1"/>
  <c r="BE239" i="1" s="1"/>
  <c r="U241" i="1"/>
  <c r="AY241" i="1" s="1"/>
  <c r="AB241" i="1"/>
  <c r="BF241" i="1" s="1"/>
  <c r="AB243" i="1"/>
  <c r="BF243" i="1" s="1"/>
  <c r="S244" i="1"/>
  <c r="AA244" i="1"/>
  <c r="BE244" i="1" s="1"/>
  <c r="AD245" i="1"/>
  <c r="BH245" i="1" s="1"/>
  <c r="CK245" i="1"/>
  <c r="AB246" i="1"/>
  <c r="BF246" i="1" s="1"/>
  <c r="AD247" i="1"/>
  <c r="BH247" i="1" s="1"/>
  <c r="X247" i="1"/>
  <c r="BB247" i="1" s="1"/>
  <c r="AA247" i="1"/>
  <c r="BE247" i="1" s="1"/>
  <c r="U247" i="1"/>
  <c r="AY247" i="1" s="1"/>
  <c r="AC247" i="1"/>
  <c r="BG247" i="1" s="1"/>
  <c r="T247" i="1"/>
  <c r="AX247" i="1" s="1"/>
  <c r="AB247" i="1"/>
  <c r="BF247" i="1" s="1"/>
  <c r="S247" i="1"/>
  <c r="AD248" i="1"/>
  <c r="BH248" i="1" s="1"/>
  <c r="V237" i="1"/>
  <c r="AZ237" i="1" s="1"/>
  <c r="AB237" i="1"/>
  <c r="BF237" i="1" s="1"/>
  <c r="V239" i="1"/>
  <c r="AZ239" i="1" s="1"/>
  <c r="AB239" i="1"/>
  <c r="BF239" i="1" s="1"/>
  <c r="CK239" i="1"/>
  <c r="AC240" i="1"/>
  <c r="BG240" i="1" s="1"/>
  <c r="V241" i="1"/>
  <c r="AZ241" i="1" s="1"/>
  <c r="AC241" i="1"/>
  <c r="BG241" i="1" s="1"/>
  <c r="AB242" i="1"/>
  <c r="BF242" i="1" s="1"/>
  <c r="V242" i="1"/>
  <c r="AZ242" i="1" s="1"/>
  <c r="T242" i="1"/>
  <c r="AD242" i="1"/>
  <c r="BH242" i="1" s="1"/>
  <c r="U243" i="1"/>
  <c r="AY243" i="1" s="1"/>
  <c r="AC243" i="1"/>
  <c r="BG243" i="1" s="1"/>
  <c r="T244" i="1"/>
  <c r="AX244" i="1" s="1"/>
  <c r="AD244" i="1"/>
  <c r="BH244" i="1" s="1"/>
  <c r="BI244" i="1"/>
  <c r="V245" i="1"/>
  <c r="AZ245" i="1" s="1"/>
  <c r="T246" i="1"/>
  <c r="AX246" i="1" s="1"/>
  <c r="AC246" i="1"/>
  <c r="BG246" i="1" s="1"/>
  <c r="V247" i="1"/>
  <c r="AZ247" i="1" s="1"/>
  <c r="CK247" i="1"/>
  <c r="J248" i="1"/>
  <c r="AY250" i="1"/>
  <c r="CI258" i="1"/>
  <c r="CC258" i="1"/>
  <c r="CG258" i="1"/>
  <c r="CA258" i="1"/>
  <c r="CD258" i="1"/>
  <c r="CB258" i="1"/>
  <c r="CH258" i="1"/>
  <c r="CF258" i="1"/>
  <c r="W225" i="1"/>
  <c r="BA225" i="1" s="1"/>
  <c r="W227" i="1"/>
  <c r="BA227" i="1" s="1"/>
  <c r="W229" i="1"/>
  <c r="BA229" i="1" s="1"/>
  <c r="W231" i="1"/>
  <c r="BA231" i="1" s="1"/>
  <c r="W233" i="1"/>
  <c r="BA233" i="1" s="1"/>
  <c r="W235" i="1"/>
  <c r="BA235" i="1" s="1"/>
  <c r="W237" i="1"/>
  <c r="BA237" i="1" s="1"/>
  <c r="W239" i="1"/>
  <c r="BA239" i="1" s="1"/>
  <c r="W241" i="1"/>
  <c r="BA241" i="1" s="1"/>
  <c r="BI242" i="1"/>
  <c r="V243" i="1"/>
  <c r="AZ243" i="1" s="1"/>
  <c r="AD243" i="1"/>
  <c r="BH243" i="1" s="1"/>
  <c r="W245" i="1"/>
  <c r="BA245" i="1" s="1"/>
  <c r="W247" i="1"/>
  <c r="BA247" i="1" s="1"/>
  <c r="AB248" i="1"/>
  <c r="BF248" i="1" s="1"/>
  <c r="V248" i="1"/>
  <c r="AZ248" i="1" s="1"/>
  <c r="Z248" i="1"/>
  <c r="BD248" i="1" s="1"/>
  <c r="S248" i="1"/>
  <c r="CK248" i="1"/>
  <c r="Y248" i="1"/>
  <c r="BC248" i="1" s="1"/>
  <c r="W248" i="1"/>
  <c r="BA248" i="1" s="1"/>
  <c r="U248" i="1"/>
  <c r="AY248" i="1" s="1"/>
  <c r="BX249" i="1"/>
  <c r="AD263" i="1"/>
  <c r="BH263" i="1" s="1"/>
  <c r="X263" i="1"/>
  <c r="BB263" i="1" s="1"/>
  <c r="CK263" i="1"/>
  <c r="AB263" i="1"/>
  <c r="BF263" i="1" s="1"/>
  <c r="V263" i="1"/>
  <c r="AZ263" i="1" s="1"/>
  <c r="W263" i="1"/>
  <c r="BA263" i="1" s="1"/>
  <c r="U263" i="1"/>
  <c r="AY263" i="1" s="1"/>
  <c r="AC263" i="1"/>
  <c r="BG263" i="1" s="1"/>
  <c r="T263" i="1"/>
  <c r="AX263" i="1" s="1"/>
  <c r="AA263" i="1"/>
  <c r="BE263" i="1" s="1"/>
  <c r="S263" i="1"/>
  <c r="Y263" i="1"/>
  <c r="BC263" i="1" s="1"/>
  <c r="Z241" i="1"/>
  <c r="BD241" i="1" s="1"/>
  <c r="T241" i="1"/>
  <c r="AX241" i="1" s="1"/>
  <c r="X241" i="1"/>
  <c r="BB241" i="1" s="1"/>
  <c r="W243" i="1"/>
  <c r="BA243" i="1" s="1"/>
  <c r="X245" i="1"/>
  <c r="BB245" i="1" s="1"/>
  <c r="Z246" i="1"/>
  <c r="BD246" i="1" s="1"/>
  <c r="S246" i="1"/>
  <c r="V246" i="1"/>
  <c r="AZ246" i="1" s="1"/>
  <c r="BI247" i="1"/>
  <c r="CG257" i="1"/>
  <c r="CA257" i="1"/>
  <c r="CE257" i="1"/>
  <c r="CF257" i="1"/>
  <c r="CD257" i="1"/>
  <c r="CC257" i="1"/>
  <c r="CB257" i="1"/>
  <c r="CH257" i="1"/>
  <c r="BZ257" i="1"/>
  <c r="V244" i="1"/>
  <c r="AZ244" i="1" s="1"/>
  <c r="AB244" i="1"/>
  <c r="BF244" i="1" s="1"/>
  <c r="AD246" i="1"/>
  <c r="BH246" i="1" s="1"/>
  <c r="X246" i="1"/>
  <c r="BB246" i="1" s="1"/>
  <c r="Y246" i="1"/>
  <c r="BC246" i="1" s="1"/>
  <c r="X257" i="1"/>
  <c r="BB257" i="1" s="1"/>
  <c r="Z258" i="1"/>
  <c r="BD258" i="1" s="1"/>
  <c r="T258" i="1"/>
  <c r="AX258" i="1" s="1"/>
  <c r="AD258" i="1"/>
  <c r="BH258" i="1" s="1"/>
  <c r="X258" i="1"/>
  <c r="BB258" i="1" s="1"/>
  <c r="W258" i="1"/>
  <c r="BA258" i="1" s="1"/>
  <c r="CK258" i="1"/>
  <c r="V258" i="1"/>
  <c r="AZ258" i="1" s="1"/>
  <c r="AC258" i="1"/>
  <c r="BG258" i="1" s="1"/>
  <c r="U258" i="1"/>
  <c r="AY258" i="1" s="1"/>
  <c r="AB258" i="1"/>
  <c r="BF258" i="1" s="1"/>
  <c r="S258" i="1"/>
  <c r="CK262" i="1"/>
  <c r="AB262" i="1"/>
  <c r="BF262" i="1" s="1"/>
  <c r="V262" i="1"/>
  <c r="AZ262" i="1" s="1"/>
  <c r="Z262" i="1"/>
  <c r="BD262" i="1" s="1"/>
  <c r="T262" i="1"/>
  <c r="AX262" i="1" s="1"/>
  <c r="X262" i="1"/>
  <c r="BB262" i="1" s="1"/>
  <c r="W262" i="1"/>
  <c r="BA262" i="1" s="1"/>
  <c r="AD262" i="1"/>
  <c r="BH262" i="1" s="1"/>
  <c r="U262" i="1"/>
  <c r="AY262" i="1" s="1"/>
  <c r="AC262" i="1"/>
  <c r="BG262" i="1" s="1"/>
  <c r="S262" i="1"/>
  <c r="W240" i="1"/>
  <c r="BA240" i="1" s="1"/>
  <c r="W242" i="1"/>
  <c r="BA242" i="1" s="1"/>
  <c r="W244" i="1"/>
  <c r="BA244" i="1" s="1"/>
  <c r="AY249" i="1"/>
  <c r="CI256" i="1"/>
  <c r="CC256" i="1"/>
  <c r="CH256" i="1"/>
  <c r="CB256" i="1"/>
  <c r="CG256" i="1"/>
  <c r="CA256" i="1"/>
  <c r="CF256" i="1"/>
  <c r="BZ256" i="1"/>
  <c r="CJ256" i="1" s="1"/>
  <c r="CL256" i="1" s="1"/>
  <c r="BI256" i="1"/>
  <c r="CG263" i="1"/>
  <c r="CA263" i="1"/>
  <c r="CE263" i="1"/>
  <c r="CC263" i="1"/>
  <c r="CB263" i="1"/>
  <c r="CI263" i="1"/>
  <c r="CH263" i="1"/>
  <c r="AC264" i="1"/>
  <c r="BG264" i="1" s="1"/>
  <c r="U264" i="1"/>
  <c r="AY264" i="1" s="1"/>
  <c r="AB264" i="1"/>
  <c r="BF264" i="1" s="1"/>
  <c r="S264" i="1"/>
  <c r="J264" i="1"/>
  <c r="CK257" i="1"/>
  <c r="AC257" i="1"/>
  <c r="BG257" i="1" s="1"/>
  <c r="AB257" i="1"/>
  <c r="BF257" i="1" s="1"/>
  <c r="V257" i="1"/>
  <c r="AZ257" i="1" s="1"/>
  <c r="AA257" i="1"/>
  <c r="BE257" i="1" s="1"/>
  <c r="U257" i="1"/>
  <c r="AY257" i="1" s="1"/>
  <c r="Z257" i="1"/>
  <c r="BD257" i="1" s="1"/>
  <c r="T257" i="1"/>
  <c r="AX257" i="1" s="1"/>
  <c r="Y257" i="1"/>
  <c r="BC257" i="1" s="1"/>
  <c r="S257" i="1"/>
  <c r="V250" i="1"/>
  <c r="AZ250" i="1" s="1"/>
  <c r="AB250" i="1"/>
  <c r="BF250" i="1" s="1"/>
  <c r="CK259" i="1"/>
  <c r="AB259" i="1"/>
  <c r="BF259" i="1" s="1"/>
  <c r="V259" i="1"/>
  <c r="AZ259" i="1" s="1"/>
  <c r="Z259" i="1"/>
  <c r="BD259" i="1" s="1"/>
  <c r="T259" i="1"/>
  <c r="AX259" i="1" s="1"/>
  <c r="Y259" i="1"/>
  <c r="BC259" i="1" s="1"/>
  <c r="CG260" i="1"/>
  <c r="CA260" i="1"/>
  <c r="CJ260" i="1" s="1"/>
  <c r="CL260" i="1" s="1"/>
  <c r="CE260" i="1"/>
  <c r="CD260" i="1"/>
  <c r="V261" i="1"/>
  <c r="AZ261" i="1" s="1"/>
  <c r="CB261" i="1"/>
  <c r="CK261" i="1"/>
  <c r="BI262" i="1"/>
  <c r="CH262" i="1"/>
  <c r="BJ274" i="1"/>
  <c r="N4" i="2"/>
  <c r="F5" i="2"/>
  <c r="B51" i="2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50" i="2"/>
  <c r="W250" i="1"/>
  <c r="BA250" i="1" s="1"/>
  <c r="AC250" i="1"/>
  <c r="BG250" i="1" s="1"/>
  <c r="BX250" i="1"/>
  <c r="AD260" i="1"/>
  <c r="BH260" i="1" s="1"/>
  <c r="X260" i="1"/>
  <c r="BB260" i="1" s="1"/>
  <c r="CK260" i="1"/>
  <c r="AB260" i="1"/>
  <c r="BF260" i="1" s="1"/>
  <c r="V260" i="1"/>
  <c r="AZ260" i="1" s="1"/>
  <c r="Z260" i="1"/>
  <c r="BD260" i="1" s="1"/>
  <c r="BI263" i="1"/>
  <c r="Z264" i="1"/>
  <c r="BD264" i="1" s="1"/>
  <c r="T264" i="1"/>
  <c r="AX264" i="1" s="1"/>
  <c r="AD264" i="1"/>
  <c r="BH264" i="1" s="1"/>
  <c r="X264" i="1"/>
  <c r="BB264" i="1" s="1"/>
  <c r="AA264" i="1"/>
  <c r="BE264" i="1" s="1"/>
  <c r="BI259" i="1"/>
  <c r="AW260" i="1"/>
  <c r="CI261" i="1"/>
  <c r="CC261" i="1"/>
  <c r="CG261" i="1"/>
  <c r="CA261" i="1"/>
  <c r="CE261" i="1"/>
  <c r="V249" i="1"/>
  <c r="AZ249" i="1" s="1"/>
  <c r="BI260" i="1"/>
  <c r="Z261" i="1"/>
  <c r="BD261" i="1" s="1"/>
  <c r="T261" i="1"/>
  <c r="AX261" i="1" s="1"/>
  <c r="AD261" i="1"/>
  <c r="BH261" i="1" s="1"/>
  <c r="X261" i="1"/>
  <c r="BB261" i="1" s="1"/>
  <c r="AA261" i="1"/>
  <c r="BE261" i="1" s="1"/>
  <c r="CF261" i="1"/>
  <c r="CE262" i="1"/>
  <c r="CI262" i="1"/>
  <c r="CC262" i="1"/>
  <c r="CJ262" i="1" s="1"/>
  <c r="CL262" i="1" s="1"/>
  <c r="CD262" i="1"/>
  <c r="P59" i="2"/>
  <c r="H59" i="2" s="1"/>
  <c r="N37" i="2"/>
  <c r="F38" i="2"/>
  <c r="N36" i="2"/>
  <c r="I9" i="2" l="1"/>
  <c r="J9" i="2" s="1"/>
  <c r="L9" i="2" s="1"/>
  <c r="I26" i="2"/>
  <c r="J26" i="2" s="1"/>
  <c r="L26" i="2" s="1"/>
  <c r="P29" i="2"/>
  <c r="H29" i="2" s="1"/>
  <c r="J13" i="2"/>
  <c r="L13" i="2" s="1"/>
  <c r="I13" i="2"/>
  <c r="J22" i="2"/>
  <c r="L22" i="2" s="1"/>
  <c r="I22" i="2"/>
  <c r="I6" i="2"/>
  <c r="J6" i="2" s="1"/>
  <c r="L6" i="2" s="1"/>
  <c r="J30" i="2"/>
  <c r="L30" i="2" s="1"/>
  <c r="I30" i="2"/>
  <c r="I15" i="2"/>
  <c r="J15" i="2" s="1"/>
  <c r="L15" i="2" s="1"/>
  <c r="I7" i="2"/>
  <c r="J7" i="2" s="1"/>
  <c r="L7" i="2" s="1"/>
  <c r="P18" i="2"/>
  <c r="H18" i="2" s="1"/>
  <c r="I24" i="2"/>
  <c r="J24" i="2" s="1"/>
  <c r="L24" i="2" s="1"/>
  <c r="I5" i="2"/>
  <c r="J5" i="2" s="1"/>
  <c r="L5" i="2" s="1"/>
  <c r="I4" i="2"/>
  <c r="J4" i="2"/>
  <c r="J23" i="2"/>
  <c r="L23" i="2" s="1"/>
  <c r="I23" i="2"/>
  <c r="I16" i="2"/>
  <c r="J16" i="2" s="1"/>
  <c r="L16" i="2" s="1"/>
  <c r="J28" i="2"/>
  <c r="L28" i="2" s="1"/>
  <c r="I28" i="2"/>
  <c r="I12" i="2"/>
  <c r="J12" i="2"/>
  <c r="L12" i="2" s="1"/>
  <c r="I19" i="2"/>
  <c r="J19" i="2" s="1"/>
  <c r="L19" i="2" s="1"/>
  <c r="R55" i="1"/>
  <c r="AW55" i="1"/>
  <c r="AV55" i="1" s="1"/>
  <c r="BV55" i="1" s="1"/>
  <c r="AW257" i="1"/>
  <c r="AV257" i="1" s="1"/>
  <c r="BV257" i="1" s="1"/>
  <c r="R257" i="1"/>
  <c r="AS257" i="1" s="1"/>
  <c r="R188" i="1"/>
  <c r="AW188" i="1"/>
  <c r="AV188" i="1" s="1"/>
  <c r="BV188" i="1" s="1"/>
  <c r="AV190" i="1"/>
  <c r="BV190" i="1" s="1"/>
  <c r="R180" i="1"/>
  <c r="AW135" i="1"/>
  <c r="AV135" i="1" s="1"/>
  <c r="BV135" i="1" s="1"/>
  <c r="R135" i="1"/>
  <c r="BY157" i="1"/>
  <c r="CD157" i="1"/>
  <c r="AW209" i="1"/>
  <c r="AV209" i="1" s="1"/>
  <c r="BV209" i="1" s="1"/>
  <c r="R209" i="1"/>
  <c r="CB168" i="1"/>
  <c r="BZ168" i="1"/>
  <c r="BY168" i="1"/>
  <c r="CG168" i="1"/>
  <c r="AW179" i="1"/>
  <c r="AV179" i="1" s="1"/>
  <c r="BV179" i="1" s="1"/>
  <c r="R179" i="1"/>
  <c r="R194" i="1"/>
  <c r="AS194" i="1" s="1"/>
  <c r="AW194" i="1"/>
  <c r="AV194" i="1" s="1"/>
  <c r="BV194" i="1" s="1"/>
  <c r="R159" i="1"/>
  <c r="AW159" i="1"/>
  <c r="AV159" i="1" s="1"/>
  <c r="BV159" i="1" s="1"/>
  <c r="R93" i="1"/>
  <c r="AW93" i="1"/>
  <c r="AV93" i="1" s="1"/>
  <c r="BV93" i="1" s="1"/>
  <c r="R71" i="1"/>
  <c r="AW71" i="1"/>
  <c r="AV71" i="1" s="1"/>
  <c r="BV71" i="1" s="1"/>
  <c r="AW49" i="1"/>
  <c r="AV49" i="1" s="1"/>
  <c r="BV49" i="1" s="1"/>
  <c r="R49" i="1"/>
  <c r="I8" i="2"/>
  <c r="J8" i="2" s="1"/>
  <c r="L8" i="2" s="1"/>
  <c r="I66" i="2"/>
  <c r="J66" i="2"/>
  <c r="L66" i="2" s="1"/>
  <c r="CG92" i="1"/>
  <c r="CB92" i="1"/>
  <c r="CH92" i="1"/>
  <c r="BZ92" i="1"/>
  <c r="CD86" i="1"/>
  <c r="CB86" i="1"/>
  <c r="CG86" i="1"/>
  <c r="BZ86" i="1"/>
  <c r="CD80" i="1"/>
  <c r="CB80" i="1"/>
  <c r="CG80" i="1"/>
  <c r="BZ80" i="1"/>
  <c r="AY64" i="1"/>
  <c r="R64" i="1"/>
  <c r="AS64" i="1" s="1"/>
  <c r="AX52" i="1"/>
  <c r="AV52" i="1" s="1"/>
  <c r="BV52" i="1" s="1"/>
  <c r="R52" i="1"/>
  <c r="CE164" i="1"/>
  <c r="R130" i="1"/>
  <c r="AS130" i="1" s="1"/>
  <c r="R70" i="1"/>
  <c r="AS70" i="1" s="1"/>
  <c r="R22" i="1"/>
  <c r="AW22" i="1"/>
  <c r="AV22" i="1" s="1"/>
  <c r="BV22" i="1" s="1"/>
  <c r="CD132" i="1"/>
  <c r="AD269" i="1"/>
  <c r="BH8" i="1"/>
  <c r="BH269" i="1" s="1"/>
  <c r="BU275" i="1" s="1"/>
  <c r="BU279" i="1" s="1"/>
  <c r="AC269" i="1"/>
  <c r="BG8" i="1"/>
  <c r="BG269" i="1" s="1"/>
  <c r="BT275" i="1" s="1"/>
  <c r="BT279" i="1" s="1"/>
  <c r="I59" i="2"/>
  <c r="J59" i="2" s="1"/>
  <c r="L59" i="2" s="1"/>
  <c r="AX226" i="1"/>
  <c r="AV226" i="1" s="1"/>
  <c r="BV226" i="1" s="1"/>
  <c r="R226" i="1"/>
  <c r="CI214" i="1"/>
  <c r="CA214" i="1"/>
  <c r="CG214" i="1"/>
  <c r="CF214" i="1"/>
  <c r="BX166" i="1"/>
  <c r="R129" i="1"/>
  <c r="AW129" i="1"/>
  <c r="AV129" i="1" s="1"/>
  <c r="BV129" i="1" s="1"/>
  <c r="I27" i="2"/>
  <c r="J27" i="2" s="1"/>
  <c r="L27" i="2" s="1"/>
  <c r="AX48" i="1"/>
  <c r="AV48" i="1" s="1"/>
  <c r="BV48" i="1" s="1"/>
  <c r="R48" i="1"/>
  <c r="CI164" i="1"/>
  <c r="BX132" i="1"/>
  <c r="R108" i="1"/>
  <c r="AS108" i="1" s="1"/>
  <c r="AV15" i="1"/>
  <c r="BV15" i="1" s="1"/>
  <c r="AV51" i="1"/>
  <c r="BV51" i="1" s="1"/>
  <c r="AV86" i="1"/>
  <c r="BV86" i="1" s="1"/>
  <c r="R30" i="1"/>
  <c r="AW30" i="1"/>
  <c r="AV30" i="1" s="1"/>
  <c r="BV30" i="1" s="1"/>
  <c r="R66" i="1"/>
  <c r="AS66" i="1" s="1"/>
  <c r="AW183" i="1"/>
  <c r="AV183" i="1" s="1"/>
  <c r="BV183" i="1" s="1"/>
  <c r="R183" i="1"/>
  <c r="AX160" i="1"/>
  <c r="AV160" i="1" s="1"/>
  <c r="BV160" i="1" s="1"/>
  <c r="R160" i="1"/>
  <c r="CC178" i="1"/>
  <c r="CH178" i="1"/>
  <c r="CG178" i="1"/>
  <c r="CF178" i="1"/>
  <c r="AV146" i="1"/>
  <c r="BV146" i="1" s="1"/>
  <c r="AW219" i="1"/>
  <c r="AV219" i="1" s="1"/>
  <c r="BV219" i="1" s="1"/>
  <c r="R219" i="1"/>
  <c r="R155" i="1"/>
  <c r="CB154" i="1"/>
  <c r="AV165" i="1"/>
  <c r="BV165" i="1" s="1"/>
  <c r="R204" i="1"/>
  <c r="CC157" i="1"/>
  <c r="CF157" i="1"/>
  <c r="R138" i="1"/>
  <c r="AV144" i="1"/>
  <c r="BV144" i="1" s="1"/>
  <c r="CG137" i="1"/>
  <c r="CF137" i="1"/>
  <c r="CA166" i="1"/>
  <c r="CG166" i="1"/>
  <c r="R68" i="1"/>
  <c r="AS68" i="1" s="1"/>
  <c r="AY68" i="1"/>
  <c r="AV68" i="1" s="1"/>
  <c r="BV68" i="1" s="1"/>
  <c r="J14" i="2"/>
  <c r="L14" i="2" s="1"/>
  <c r="I14" i="2"/>
  <c r="I65" i="2"/>
  <c r="J65" i="2" s="1"/>
  <c r="L65" i="2" s="1"/>
  <c r="CD90" i="1"/>
  <c r="BX90" i="1"/>
  <c r="CG90" i="1"/>
  <c r="CA90" i="1"/>
  <c r="R89" i="1"/>
  <c r="AW89" i="1"/>
  <c r="AV89" i="1" s="1"/>
  <c r="BV89" i="1" s="1"/>
  <c r="CB84" i="1"/>
  <c r="BZ84" i="1"/>
  <c r="R83" i="1"/>
  <c r="AW83" i="1"/>
  <c r="AV83" i="1" s="1"/>
  <c r="BV83" i="1" s="1"/>
  <c r="CI78" i="1"/>
  <c r="CC78" i="1"/>
  <c r="BY78" i="1"/>
  <c r="CF78" i="1"/>
  <c r="CI64" i="1"/>
  <c r="CH64" i="1"/>
  <c r="CB64" i="1"/>
  <c r="CG64" i="1"/>
  <c r="CA64" i="1"/>
  <c r="BX64" i="1"/>
  <c r="CF64" i="1"/>
  <c r="CE64" i="1"/>
  <c r="BZ64" i="1"/>
  <c r="BY64" i="1"/>
  <c r="CI60" i="1"/>
  <c r="CH60" i="1"/>
  <c r="CB60" i="1"/>
  <c r="CG60" i="1"/>
  <c r="CA60" i="1"/>
  <c r="BY60" i="1"/>
  <c r="BX60" i="1"/>
  <c r="CF60" i="1"/>
  <c r="CD60" i="1"/>
  <c r="BZ60" i="1"/>
  <c r="BX164" i="1"/>
  <c r="CB164" i="1"/>
  <c r="AV153" i="1"/>
  <c r="BV153" i="1" s="1"/>
  <c r="R59" i="1"/>
  <c r="AW59" i="1"/>
  <c r="AV59" i="1" s="1"/>
  <c r="BV59" i="1" s="1"/>
  <c r="CC124" i="1"/>
  <c r="CB124" i="1"/>
  <c r="CG124" i="1"/>
  <c r="CA124" i="1"/>
  <c r="CF124" i="1"/>
  <c r="CE124" i="1"/>
  <c r="BZ124" i="1"/>
  <c r="BX124" i="1"/>
  <c r="BY124" i="1"/>
  <c r="CC100" i="1"/>
  <c r="CI100" i="1"/>
  <c r="CE100" i="1"/>
  <c r="BY100" i="1"/>
  <c r="AW47" i="1"/>
  <c r="AV47" i="1" s="1"/>
  <c r="BV47" i="1" s="1"/>
  <c r="R47" i="1"/>
  <c r="R40" i="1"/>
  <c r="AW40" i="1"/>
  <c r="AV40" i="1" s="1"/>
  <c r="BV40" i="1" s="1"/>
  <c r="CG37" i="1"/>
  <c r="R17" i="1"/>
  <c r="AS17" i="1" s="1"/>
  <c r="AW17" i="1"/>
  <c r="AV17" i="1" s="1"/>
  <c r="BV17" i="1" s="1"/>
  <c r="R11" i="1"/>
  <c r="AW11" i="1"/>
  <c r="AV11" i="1" s="1"/>
  <c r="BV11" i="1" s="1"/>
  <c r="AW54" i="1"/>
  <c r="AV54" i="1" s="1"/>
  <c r="BV54" i="1" s="1"/>
  <c r="R54" i="1"/>
  <c r="AS54" i="1" s="1"/>
  <c r="R39" i="1"/>
  <c r="BL271" i="1"/>
  <c r="BM271" i="1" s="1"/>
  <c r="BN271" i="1" s="1"/>
  <c r="BO271" i="1" s="1"/>
  <c r="BP271" i="1" s="1"/>
  <c r="BQ271" i="1" s="1"/>
  <c r="BR271" i="1" s="1"/>
  <c r="BS271" i="1" s="1"/>
  <c r="BT271" i="1" s="1"/>
  <c r="BU271" i="1" s="1"/>
  <c r="AW76" i="1"/>
  <c r="AV76" i="1" s="1"/>
  <c r="BV76" i="1" s="1"/>
  <c r="R76" i="1"/>
  <c r="AS76" i="1" s="1"/>
  <c r="AV56" i="1"/>
  <c r="BV56" i="1" s="1"/>
  <c r="R23" i="1"/>
  <c r="AS23" i="1" s="1"/>
  <c r="AW23" i="1"/>
  <c r="AV23" i="1" s="1"/>
  <c r="BV23" i="1" s="1"/>
  <c r="R12" i="1"/>
  <c r="AW12" i="1"/>
  <c r="AV12" i="1" s="1"/>
  <c r="BV12" i="1" s="1"/>
  <c r="CB132" i="1"/>
  <c r="CE132" i="1"/>
  <c r="CI50" i="1"/>
  <c r="CA50" i="1"/>
  <c r="BY50" i="1"/>
  <c r="CF50" i="1"/>
  <c r="R15" i="1"/>
  <c r="BX37" i="1"/>
  <c r="R105" i="1"/>
  <c r="R86" i="1"/>
  <c r="AS86" i="1" s="1"/>
  <c r="AW72" i="1"/>
  <c r="AV72" i="1" s="1"/>
  <c r="BV72" i="1" s="1"/>
  <c r="R72" i="1"/>
  <c r="AS72" i="1" s="1"/>
  <c r="CI62" i="1"/>
  <c r="CA62" i="1"/>
  <c r="CE62" i="1"/>
  <c r="CF62" i="1"/>
  <c r="R36" i="1"/>
  <c r="AW36" i="1"/>
  <c r="AV36" i="1" s="1"/>
  <c r="BV36" i="1" s="1"/>
  <c r="AW38" i="1"/>
  <c r="AV38" i="1" s="1"/>
  <c r="BV38" i="1" s="1"/>
  <c r="R38" i="1"/>
  <c r="R21" i="1"/>
  <c r="AV33" i="1"/>
  <c r="BV33" i="1" s="1"/>
  <c r="X269" i="1"/>
  <c r="R113" i="1"/>
  <c r="AW113" i="1"/>
  <c r="AV113" i="1" s="1"/>
  <c r="BV113" i="1" s="1"/>
  <c r="R88" i="1"/>
  <c r="AS88" i="1" s="1"/>
  <c r="AV66" i="1"/>
  <c r="BV66" i="1" s="1"/>
  <c r="AW58" i="1"/>
  <c r="AV58" i="1" s="1"/>
  <c r="BV58" i="1" s="1"/>
  <c r="R58" i="1"/>
  <c r="AS58" i="1" s="1"/>
  <c r="CA58" i="1"/>
  <c r="BX58" i="1"/>
  <c r="AV25" i="1"/>
  <c r="BV25" i="1" s="1"/>
  <c r="AW14" i="1"/>
  <c r="AV14" i="1" s="1"/>
  <c r="BV14" i="1" s="1"/>
  <c r="R14" i="1"/>
  <c r="Y269" i="1"/>
  <c r="BC8" i="1"/>
  <c r="BC269" i="1" s="1"/>
  <c r="BP275" i="1" s="1"/>
  <c r="BP279" i="1" s="1"/>
  <c r="BY37" i="1"/>
  <c r="CG108" i="1"/>
  <c r="CA108" i="1"/>
  <c r="CD108" i="1"/>
  <c r="CC108" i="1"/>
  <c r="CI108" i="1"/>
  <c r="CB108" i="1"/>
  <c r="CH108" i="1"/>
  <c r="BZ108" i="1"/>
  <c r="BY108" i="1"/>
  <c r="BX108" i="1"/>
  <c r="CF108" i="1"/>
  <c r="CE108" i="1"/>
  <c r="R97" i="1"/>
  <c r="AW97" i="1"/>
  <c r="AV97" i="1" s="1"/>
  <c r="BV97" i="1" s="1"/>
  <c r="R91" i="1"/>
  <c r="AW91" i="1"/>
  <c r="AV91" i="1" s="1"/>
  <c r="BV91" i="1" s="1"/>
  <c r="R85" i="1"/>
  <c r="AW85" i="1"/>
  <c r="AV85" i="1" s="1"/>
  <c r="BV85" i="1" s="1"/>
  <c r="R79" i="1"/>
  <c r="AW79" i="1"/>
  <c r="AV79" i="1" s="1"/>
  <c r="BV79" i="1" s="1"/>
  <c r="AY60" i="1"/>
  <c r="R60" i="1"/>
  <c r="AS60" i="1" s="1"/>
  <c r="AX44" i="1"/>
  <c r="AV44" i="1" s="1"/>
  <c r="BV44" i="1" s="1"/>
  <c r="R44" i="1"/>
  <c r="CC164" i="1"/>
  <c r="AW102" i="1"/>
  <c r="AV102" i="1" s="1"/>
  <c r="BV102" i="1" s="1"/>
  <c r="R102" i="1"/>
  <c r="R82" i="1"/>
  <c r="AS82" i="1" s="1"/>
  <c r="AW43" i="1"/>
  <c r="AV43" i="1" s="1"/>
  <c r="BV43" i="1" s="1"/>
  <c r="R43" i="1"/>
  <c r="R92" i="1"/>
  <c r="AS92" i="1" s="1"/>
  <c r="R96" i="1"/>
  <c r="AS96" i="1" s="1"/>
  <c r="AB269" i="1"/>
  <c r="AW10" i="1"/>
  <c r="AV10" i="1" s="1"/>
  <c r="BV10" i="1" s="1"/>
  <c r="R10" i="1"/>
  <c r="N38" i="2"/>
  <c r="F39" i="2"/>
  <c r="R247" i="1"/>
  <c r="AW247" i="1"/>
  <c r="AV247" i="1" s="1"/>
  <c r="BV247" i="1" s="1"/>
  <c r="R243" i="1"/>
  <c r="AW243" i="1"/>
  <c r="AV243" i="1" s="1"/>
  <c r="BV243" i="1" s="1"/>
  <c r="R190" i="1"/>
  <c r="AW187" i="1"/>
  <c r="AV187" i="1" s="1"/>
  <c r="BV187" i="1" s="1"/>
  <c r="R187" i="1"/>
  <c r="BZ157" i="1"/>
  <c r="BX137" i="1"/>
  <c r="AW128" i="1"/>
  <c r="AV128" i="1" s="1"/>
  <c r="BV128" i="1" s="1"/>
  <c r="R128" i="1"/>
  <c r="AS128" i="1" s="1"/>
  <c r="CA74" i="1"/>
  <c r="BZ74" i="1"/>
  <c r="CE95" i="1"/>
  <c r="CC95" i="1"/>
  <c r="CH95" i="1"/>
  <c r="CG95" i="1"/>
  <c r="R95" i="1"/>
  <c r="AS95" i="1" s="1"/>
  <c r="AW95" i="1"/>
  <c r="AV95" i="1" s="1"/>
  <c r="BV95" i="1" s="1"/>
  <c r="AW124" i="1"/>
  <c r="AV124" i="1" s="1"/>
  <c r="BV124" i="1" s="1"/>
  <c r="R124" i="1"/>
  <c r="AS124" i="1" s="1"/>
  <c r="AW110" i="1"/>
  <c r="AV110" i="1" s="1"/>
  <c r="BV110" i="1" s="1"/>
  <c r="R110" i="1"/>
  <c r="AW28" i="1"/>
  <c r="AV28" i="1" s="1"/>
  <c r="BV28" i="1" s="1"/>
  <c r="R28" i="1"/>
  <c r="CI37" i="1"/>
  <c r="AW32" i="1"/>
  <c r="AV32" i="1" s="1"/>
  <c r="BV32" i="1" s="1"/>
  <c r="R32" i="1"/>
  <c r="AV88" i="1"/>
  <c r="BV88" i="1" s="1"/>
  <c r="AA269" i="1"/>
  <c r="BE8" i="1"/>
  <c r="BE269" i="1" s="1"/>
  <c r="BR275" i="1" s="1"/>
  <c r="BR279" i="1" s="1"/>
  <c r="CJ263" i="1"/>
  <c r="CL263" i="1" s="1"/>
  <c r="AX220" i="1"/>
  <c r="AV220" i="1" s="1"/>
  <c r="BV220" i="1" s="1"/>
  <c r="R220" i="1"/>
  <c r="AV237" i="1"/>
  <c r="BV237" i="1" s="1"/>
  <c r="R208" i="1"/>
  <c r="AV260" i="1"/>
  <c r="BV260" i="1" s="1"/>
  <c r="R250" i="1"/>
  <c r="AW241" i="1"/>
  <c r="AV241" i="1" s="1"/>
  <c r="BV241" i="1" s="1"/>
  <c r="R241" i="1"/>
  <c r="R234" i="1"/>
  <c r="AW234" i="1"/>
  <c r="AV234" i="1" s="1"/>
  <c r="BV234" i="1" s="1"/>
  <c r="R249" i="1"/>
  <c r="AX230" i="1"/>
  <c r="AV230" i="1" s="1"/>
  <c r="BV230" i="1" s="1"/>
  <c r="R230" i="1"/>
  <c r="R235" i="1"/>
  <c r="AW229" i="1"/>
  <c r="AV229" i="1" s="1"/>
  <c r="BV229" i="1" s="1"/>
  <c r="R229" i="1"/>
  <c r="AS229" i="1" s="1"/>
  <c r="AW197" i="1"/>
  <c r="AV197" i="1" s="1"/>
  <c r="BV197" i="1" s="1"/>
  <c r="R197" i="1"/>
  <c r="AW189" i="1"/>
  <c r="AV189" i="1" s="1"/>
  <c r="BV189" i="1" s="1"/>
  <c r="R189" i="1"/>
  <c r="AV206" i="1"/>
  <c r="BV206" i="1" s="1"/>
  <c r="AW184" i="1"/>
  <c r="AV184" i="1" s="1"/>
  <c r="BV184" i="1" s="1"/>
  <c r="R184" i="1"/>
  <c r="AW203" i="1"/>
  <c r="AV203" i="1" s="1"/>
  <c r="BV203" i="1" s="1"/>
  <c r="R203" i="1"/>
  <c r="AW177" i="1"/>
  <c r="AV177" i="1" s="1"/>
  <c r="BV177" i="1" s="1"/>
  <c r="R177" i="1"/>
  <c r="R161" i="1"/>
  <c r="CC154" i="1"/>
  <c r="R173" i="1"/>
  <c r="AW173" i="1"/>
  <c r="AV173" i="1" s="1"/>
  <c r="BV173" i="1" s="1"/>
  <c r="R165" i="1"/>
  <c r="R150" i="1"/>
  <c r="R167" i="1"/>
  <c r="AW167" i="1"/>
  <c r="AV167" i="1" s="1"/>
  <c r="BV167" i="1" s="1"/>
  <c r="R127" i="1"/>
  <c r="AW127" i="1"/>
  <c r="AV127" i="1" s="1"/>
  <c r="BV127" i="1" s="1"/>
  <c r="R131" i="1"/>
  <c r="AW131" i="1"/>
  <c r="AV131" i="1" s="1"/>
  <c r="BV131" i="1" s="1"/>
  <c r="BY137" i="1"/>
  <c r="CD166" i="1"/>
  <c r="AX126" i="1"/>
  <c r="AV126" i="1" s="1"/>
  <c r="BV126" i="1" s="1"/>
  <c r="R126" i="1"/>
  <c r="AX122" i="1"/>
  <c r="AV122" i="1" s="1"/>
  <c r="BV122" i="1" s="1"/>
  <c r="R122" i="1"/>
  <c r="CG128" i="1"/>
  <c r="BY128" i="1"/>
  <c r="AW98" i="1"/>
  <c r="AV98" i="1" s="1"/>
  <c r="BV98" i="1" s="1"/>
  <c r="R98" i="1"/>
  <c r="AW45" i="1"/>
  <c r="AV45" i="1" s="1"/>
  <c r="BV45" i="1" s="1"/>
  <c r="R45" i="1"/>
  <c r="J17" i="2"/>
  <c r="L17" i="2" s="1"/>
  <c r="I17" i="2"/>
  <c r="I63" i="2"/>
  <c r="J63" i="2" s="1"/>
  <c r="L63" i="2" s="1"/>
  <c r="I31" i="2"/>
  <c r="J31" i="2" s="1"/>
  <c r="L31" i="2" s="1"/>
  <c r="R136" i="1"/>
  <c r="R133" i="1"/>
  <c r="AS133" i="1" s="1"/>
  <c r="AW133" i="1"/>
  <c r="AV133" i="1" s="1"/>
  <c r="BV133" i="1" s="1"/>
  <c r="R109" i="1"/>
  <c r="AW109" i="1"/>
  <c r="AV109" i="1" s="1"/>
  <c r="BV109" i="1" s="1"/>
  <c r="CG96" i="1"/>
  <c r="CA96" i="1"/>
  <c r="CD96" i="1"/>
  <c r="CC96" i="1"/>
  <c r="CI96" i="1"/>
  <c r="CH96" i="1"/>
  <c r="BZ96" i="1"/>
  <c r="BY96" i="1"/>
  <c r="BX96" i="1"/>
  <c r="CF96" i="1"/>
  <c r="CH164" i="1"/>
  <c r="CD164" i="1"/>
  <c r="R153" i="1"/>
  <c r="CB56" i="1"/>
  <c r="CG56" i="1"/>
  <c r="BX56" i="1"/>
  <c r="CD56" i="1"/>
  <c r="AW116" i="1"/>
  <c r="AV116" i="1" s="1"/>
  <c r="BV116" i="1" s="1"/>
  <c r="R116" i="1"/>
  <c r="CH132" i="1"/>
  <c r="R61" i="1"/>
  <c r="AW61" i="1"/>
  <c r="AV61" i="1" s="1"/>
  <c r="BV61" i="1" s="1"/>
  <c r="BI269" i="1"/>
  <c r="CC104" i="1"/>
  <c r="CI104" i="1"/>
  <c r="CE104" i="1"/>
  <c r="BY104" i="1"/>
  <c r="AV84" i="1"/>
  <c r="BV84" i="1" s="1"/>
  <c r="CI76" i="1"/>
  <c r="CC76" i="1"/>
  <c r="CH76" i="1"/>
  <c r="CB76" i="1"/>
  <c r="CG76" i="1"/>
  <c r="CA76" i="1"/>
  <c r="CE76" i="1"/>
  <c r="CD76" i="1"/>
  <c r="BY76" i="1"/>
  <c r="BZ76" i="1"/>
  <c r="BX76" i="1"/>
  <c r="CF76" i="1"/>
  <c r="R29" i="1"/>
  <c r="AS29" i="1" s="1"/>
  <c r="AW29" i="1"/>
  <c r="AV29" i="1" s="1"/>
  <c r="BV29" i="1" s="1"/>
  <c r="CI132" i="1"/>
  <c r="BY132" i="1"/>
  <c r="R65" i="1"/>
  <c r="AW65" i="1"/>
  <c r="AV65" i="1" s="1"/>
  <c r="BV65" i="1" s="1"/>
  <c r="CD37" i="1"/>
  <c r="R119" i="1"/>
  <c r="AW119" i="1"/>
  <c r="AV119" i="1" s="1"/>
  <c r="BV119" i="1" s="1"/>
  <c r="AW112" i="1"/>
  <c r="AV112" i="1" s="1"/>
  <c r="BV112" i="1" s="1"/>
  <c r="R112" i="1"/>
  <c r="CD17" i="1"/>
  <c r="BX17" i="1"/>
  <c r="CC17" i="1"/>
  <c r="CH17" i="1"/>
  <c r="CB17" i="1"/>
  <c r="CA17" i="1"/>
  <c r="CF17" i="1"/>
  <c r="CE17" i="1"/>
  <c r="BY17" i="1"/>
  <c r="CG17" i="1"/>
  <c r="R33" i="1"/>
  <c r="CI35" i="1"/>
  <c r="CC35" i="1"/>
  <c r="CH35" i="1"/>
  <c r="CB35" i="1"/>
  <c r="CA35" i="1"/>
  <c r="BZ35" i="1"/>
  <c r="CG35" i="1"/>
  <c r="BY35" i="1"/>
  <c r="R25" i="1"/>
  <c r="AV9" i="1"/>
  <c r="BV9" i="1" s="1"/>
  <c r="CE37" i="1"/>
  <c r="AW213" i="1"/>
  <c r="AV213" i="1" s="1"/>
  <c r="BV213" i="1" s="1"/>
  <c r="R213" i="1"/>
  <c r="AS166" i="1"/>
  <c r="CH166" i="1"/>
  <c r="AS157" i="1"/>
  <c r="CG157" i="1"/>
  <c r="BX157" i="1"/>
  <c r="CJ157" i="1" s="1"/>
  <c r="CL157" i="1" s="1"/>
  <c r="R104" i="1"/>
  <c r="AS104" i="1" s="1"/>
  <c r="AW104" i="1"/>
  <c r="AV104" i="1" s="1"/>
  <c r="BV104" i="1" s="1"/>
  <c r="CH120" i="1"/>
  <c r="CB120" i="1"/>
  <c r="CG120" i="1"/>
  <c r="CD120" i="1"/>
  <c r="BZ120" i="1"/>
  <c r="BY120" i="1"/>
  <c r="R35" i="1"/>
  <c r="AS35" i="1" s="1"/>
  <c r="AW35" i="1"/>
  <c r="AV35" i="1" s="1"/>
  <c r="BV35" i="1" s="1"/>
  <c r="AW20" i="1"/>
  <c r="AV20" i="1" s="1"/>
  <c r="BV20" i="1" s="1"/>
  <c r="R20" i="1"/>
  <c r="U269" i="1"/>
  <c r="AY8" i="1"/>
  <c r="R210" i="1"/>
  <c r="AS210" i="1" s="1"/>
  <c r="AW210" i="1"/>
  <c r="AV210" i="1" s="1"/>
  <c r="BV210" i="1" s="1"/>
  <c r="CD210" i="1"/>
  <c r="BX210" i="1"/>
  <c r="CI210" i="1"/>
  <c r="CC210" i="1"/>
  <c r="CH210" i="1"/>
  <c r="CE210" i="1"/>
  <c r="CA210" i="1"/>
  <c r="BZ210" i="1"/>
  <c r="BY210" i="1"/>
  <c r="CG210" i="1"/>
  <c r="R237" i="1"/>
  <c r="AX195" i="1"/>
  <c r="AV195" i="1" s="1"/>
  <c r="BV195" i="1" s="1"/>
  <c r="R195" i="1"/>
  <c r="R206" i="1"/>
  <c r="AW191" i="1"/>
  <c r="AV191" i="1" s="1"/>
  <c r="BV191" i="1" s="1"/>
  <c r="R191" i="1"/>
  <c r="R123" i="1"/>
  <c r="AW123" i="1"/>
  <c r="AV123" i="1" s="1"/>
  <c r="BV123" i="1" s="1"/>
  <c r="CB157" i="1"/>
  <c r="R144" i="1"/>
  <c r="BZ166" i="1"/>
  <c r="CD154" i="1"/>
  <c r="AS154" i="1"/>
  <c r="CG154" i="1"/>
  <c r="CE154" i="1"/>
  <c r="R125" i="1"/>
  <c r="AW125" i="1"/>
  <c r="AV125" i="1" s="1"/>
  <c r="BV125" i="1" s="1"/>
  <c r="I11" i="2"/>
  <c r="J11" i="2" s="1"/>
  <c r="L11" i="2" s="1"/>
  <c r="CI70" i="1"/>
  <c r="BZ70" i="1"/>
  <c r="AV39" i="1"/>
  <c r="BV39" i="1" s="1"/>
  <c r="AV105" i="1"/>
  <c r="BV105" i="1" s="1"/>
  <c r="AV21" i="1"/>
  <c r="BV21" i="1" s="1"/>
  <c r="BV139" i="1"/>
  <c r="BB269" i="1"/>
  <c r="BO275" i="1" s="1"/>
  <c r="BO279" i="1" s="1"/>
  <c r="CF41" i="1"/>
  <c r="BZ41" i="1"/>
  <c r="CG41" i="1"/>
  <c r="CB41" i="1"/>
  <c r="R31" i="1"/>
  <c r="AW244" i="1"/>
  <c r="AV244" i="1" s="1"/>
  <c r="BV244" i="1" s="1"/>
  <c r="R244" i="1"/>
  <c r="AX224" i="1"/>
  <c r="AV224" i="1" s="1"/>
  <c r="BV224" i="1" s="1"/>
  <c r="R224" i="1"/>
  <c r="CE259" i="1"/>
  <c r="CI259" i="1"/>
  <c r="CC259" i="1"/>
  <c r="CA259" i="1"/>
  <c r="CH259" i="1"/>
  <c r="CG259" i="1"/>
  <c r="CF259" i="1"/>
  <c r="CB259" i="1"/>
  <c r="CD259" i="1"/>
  <c r="AX221" i="1"/>
  <c r="AV221" i="1" s="1"/>
  <c r="BV221" i="1" s="1"/>
  <c r="R221" i="1"/>
  <c r="AV233" i="1"/>
  <c r="BV233" i="1" s="1"/>
  <c r="AX216" i="1"/>
  <c r="AV216" i="1" s="1"/>
  <c r="BV216" i="1" s="1"/>
  <c r="R216" i="1"/>
  <c r="R218" i="1"/>
  <c r="AS218" i="1" s="1"/>
  <c r="AW218" i="1"/>
  <c r="AV218" i="1" s="1"/>
  <c r="BV218" i="1" s="1"/>
  <c r="R260" i="1"/>
  <c r="AS260" i="1" s="1"/>
  <c r="CI264" i="1"/>
  <c r="CC264" i="1"/>
  <c r="CG264" i="1"/>
  <c r="CA264" i="1"/>
  <c r="CH264" i="1"/>
  <c r="CF264" i="1"/>
  <c r="CE264" i="1"/>
  <c r="CB264" i="1"/>
  <c r="CD264" i="1"/>
  <c r="CJ257" i="1"/>
  <c r="CL257" i="1" s="1"/>
  <c r="R246" i="1"/>
  <c r="AW246" i="1"/>
  <c r="AV246" i="1" s="1"/>
  <c r="BV246" i="1" s="1"/>
  <c r="R263" i="1"/>
  <c r="AS263" i="1" s="1"/>
  <c r="AW263" i="1"/>
  <c r="AV263" i="1" s="1"/>
  <c r="BV263" i="1" s="1"/>
  <c r="AX242" i="1"/>
  <c r="AV242" i="1" s="1"/>
  <c r="BV242" i="1" s="1"/>
  <c r="R242" i="1"/>
  <c r="AV261" i="1"/>
  <c r="BV261" i="1" s="1"/>
  <c r="AW259" i="1"/>
  <c r="AV259" i="1" s="1"/>
  <c r="BV259" i="1" s="1"/>
  <c r="R259" i="1"/>
  <c r="AS259" i="1" s="1"/>
  <c r="AW239" i="1"/>
  <c r="AV239" i="1" s="1"/>
  <c r="BV239" i="1" s="1"/>
  <c r="R239" i="1"/>
  <c r="R240" i="1"/>
  <c r="AW240" i="1"/>
  <c r="AV240" i="1" s="1"/>
  <c r="BV240" i="1" s="1"/>
  <c r="R236" i="1"/>
  <c r="AW236" i="1"/>
  <c r="AV236" i="1" s="1"/>
  <c r="BV236" i="1" s="1"/>
  <c r="AV235" i="1"/>
  <c r="BV235" i="1" s="1"/>
  <c r="CI229" i="1"/>
  <c r="CC229" i="1"/>
  <c r="CH229" i="1"/>
  <c r="CA229" i="1"/>
  <c r="CG229" i="1"/>
  <c r="BZ229" i="1"/>
  <c r="CE229" i="1"/>
  <c r="BX229" i="1"/>
  <c r="BY229" i="1"/>
  <c r="CF229" i="1"/>
  <c r="CD229" i="1"/>
  <c r="CB229" i="1"/>
  <c r="R231" i="1"/>
  <c r="AS231" i="1" s="1"/>
  <c r="AW231" i="1"/>
  <c r="AV231" i="1" s="1"/>
  <c r="BV231" i="1" s="1"/>
  <c r="CH218" i="1"/>
  <c r="BY218" i="1"/>
  <c r="AW200" i="1"/>
  <c r="AV200" i="1" s="1"/>
  <c r="BV200" i="1" s="1"/>
  <c r="R200" i="1"/>
  <c r="AV212" i="1"/>
  <c r="BV212" i="1" s="1"/>
  <c r="AW207" i="1"/>
  <c r="AV207" i="1" s="1"/>
  <c r="BV207" i="1" s="1"/>
  <c r="R207" i="1"/>
  <c r="R192" i="1"/>
  <c r="AW192" i="1"/>
  <c r="AV192" i="1" s="1"/>
  <c r="BV192" i="1" s="1"/>
  <c r="AW196" i="1"/>
  <c r="AV196" i="1" s="1"/>
  <c r="BV196" i="1" s="1"/>
  <c r="R196" i="1"/>
  <c r="R172" i="1"/>
  <c r="AW172" i="1"/>
  <c r="AV172" i="1" s="1"/>
  <c r="BV172" i="1" s="1"/>
  <c r="R185" i="1"/>
  <c r="AV138" i="1"/>
  <c r="BV138" i="1" s="1"/>
  <c r="R174" i="1"/>
  <c r="AW174" i="1"/>
  <c r="AV174" i="1" s="1"/>
  <c r="BV174" i="1" s="1"/>
  <c r="AX134" i="1"/>
  <c r="AV134" i="1" s="1"/>
  <c r="BV134" i="1" s="1"/>
  <c r="R134" i="1"/>
  <c r="CI154" i="1"/>
  <c r="R158" i="1"/>
  <c r="R182" i="1"/>
  <c r="AW182" i="1"/>
  <c r="AV182" i="1" s="1"/>
  <c r="BV182" i="1" s="1"/>
  <c r="R152" i="1"/>
  <c r="R146" i="1"/>
  <c r="AV140" i="1"/>
  <c r="BV140" i="1" s="1"/>
  <c r="CA157" i="1"/>
  <c r="R151" i="1"/>
  <c r="AW151" i="1"/>
  <c r="AV151" i="1" s="1"/>
  <c r="BV151" i="1" s="1"/>
  <c r="R140" i="1"/>
  <c r="CD130" i="1"/>
  <c r="CB130" i="1"/>
  <c r="CG130" i="1"/>
  <c r="CE130" i="1"/>
  <c r="CE166" i="1"/>
  <c r="CC166" i="1"/>
  <c r="R156" i="1"/>
  <c r="AV147" i="1"/>
  <c r="BV147" i="1" s="1"/>
  <c r="CC133" i="1"/>
  <c r="CE133" i="1"/>
  <c r="BX133" i="1"/>
  <c r="CD133" i="1"/>
  <c r="CB133" i="1"/>
  <c r="CH133" i="1"/>
  <c r="CA133" i="1"/>
  <c r="CG133" i="1"/>
  <c r="CF133" i="1"/>
  <c r="BZ133" i="1"/>
  <c r="BY133" i="1"/>
  <c r="CC68" i="1"/>
  <c r="CH68" i="1"/>
  <c r="CE68" i="1"/>
  <c r="CD68" i="1"/>
  <c r="R53" i="1"/>
  <c r="AW53" i="1"/>
  <c r="AV53" i="1" s="1"/>
  <c r="BV53" i="1" s="1"/>
  <c r="I32" i="2"/>
  <c r="J32" i="2" s="1"/>
  <c r="L32" i="2" s="1"/>
  <c r="J33" i="2"/>
  <c r="L33" i="2" s="1"/>
  <c r="I33" i="2"/>
  <c r="R115" i="1"/>
  <c r="AW115" i="1"/>
  <c r="AV115" i="1" s="1"/>
  <c r="BV115" i="1" s="1"/>
  <c r="R107" i="1"/>
  <c r="AS107" i="1" s="1"/>
  <c r="AW107" i="1"/>
  <c r="AV107" i="1" s="1"/>
  <c r="BV107" i="1" s="1"/>
  <c r="CD88" i="1"/>
  <c r="BX88" i="1"/>
  <c r="CI88" i="1"/>
  <c r="CC88" i="1"/>
  <c r="CH88" i="1"/>
  <c r="CB88" i="1"/>
  <c r="CG88" i="1"/>
  <c r="CA88" i="1"/>
  <c r="BY88" i="1"/>
  <c r="CF88" i="1"/>
  <c r="CE88" i="1"/>
  <c r="BZ88" i="1"/>
  <c r="R87" i="1"/>
  <c r="AW87" i="1"/>
  <c r="AV87" i="1" s="1"/>
  <c r="BV87" i="1" s="1"/>
  <c r="CD82" i="1"/>
  <c r="BX82" i="1"/>
  <c r="CI82" i="1"/>
  <c r="CC82" i="1"/>
  <c r="CH82" i="1"/>
  <c r="CB82" i="1"/>
  <c r="CG82" i="1"/>
  <c r="CA82" i="1"/>
  <c r="BY82" i="1"/>
  <c r="CF82" i="1"/>
  <c r="BZ82" i="1"/>
  <c r="CE82" i="1"/>
  <c r="R81" i="1"/>
  <c r="AW81" i="1"/>
  <c r="AV81" i="1" s="1"/>
  <c r="BV81" i="1" s="1"/>
  <c r="R67" i="1"/>
  <c r="AW67" i="1"/>
  <c r="AV67" i="1" s="1"/>
  <c r="BV67" i="1" s="1"/>
  <c r="BZ164" i="1"/>
  <c r="BY164" i="1"/>
  <c r="R77" i="1"/>
  <c r="AW77" i="1"/>
  <c r="AV77" i="1" s="1"/>
  <c r="BV77" i="1" s="1"/>
  <c r="R111" i="1"/>
  <c r="AW111" i="1"/>
  <c r="AV111" i="1" s="1"/>
  <c r="BV111" i="1" s="1"/>
  <c r="R69" i="1"/>
  <c r="AW69" i="1"/>
  <c r="AV69" i="1" s="1"/>
  <c r="BV69" i="1" s="1"/>
  <c r="AW34" i="1"/>
  <c r="AV34" i="1" s="1"/>
  <c r="BV34" i="1" s="1"/>
  <c r="R34" i="1"/>
  <c r="BA269" i="1"/>
  <c r="BN275" i="1" s="1"/>
  <c r="BN279" i="1" s="1"/>
  <c r="AV80" i="1"/>
  <c r="BV80" i="1" s="1"/>
  <c r="CI157" i="1"/>
  <c r="AW120" i="1"/>
  <c r="AV120" i="1" s="1"/>
  <c r="BV120" i="1" s="1"/>
  <c r="R120" i="1"/>
  <c r="AS120" i="1" s="1"/>
  <c r="R84" i="1"/>
  <c r="AS84" i="1" s="1"/>
  <c r="CA132" i="1"/>
  <c r="CG132" i="1"/>
  <c r="CB37" i="1"/>
  <c r="AV27" i="1"/>
  <c r="BV27" i="1" s="1"/>
  <c r="R101" i="1"/>
  <c r="AW101" i="1"/>
  <c r="AV101" i="1" s="1"/>
  <c r="BV101" i="1" s="1"/>
  <c r="R13" i="1"/>
  <c r="AS13" i="1" s="1"/>
  <c r="AW13" i="1"/>
  <c r="AV13" i="1" s="1"/>
  <c r="BV13" i="1" s="1"/>
  <c r="R46" i="1"/>
  <c r="AW46" i="1"/>
  <c r="AV46" i="1" s="1"/>
  <c r="BV46" i="1" s="1"/>
  <c r="CA37" i="1"/>
  <c r="CD29" i="1"/>
  <c r="BX29" i="1"/>
  <c r="CI29" i="1"/>
  <c r="CC29" i="1"/>
  <c r="CH29" i="1"/>
  <c r="CB29" i="1"/>
  <c r="CE29" i="1"/>
  <c r="CA29" i="1"/>
  <c r="CG29" i="1"/>
  <c r="BZ29" i="1"/>
  <c r="CF29" i="1"/>
  <c r="BY29" i="1"/>
  <c r="T269" i="1"/>
  <c r="AX8" i="1"/>
  <c r="AX269" i="1" s="1"/>
  <c r="BK275" i="1" s="1"/>
  <c r="BK279" i="1" s="1"/>
  <c r="AV90" i="1"/>
  <c r="BV90" i="1" s="1"/>
  <c r="R9" i="1"/>
  <c r="AW262" i="1"/>
  <c r="AV262" i="1" s="1"/>
  <c r="BV262" i="1" s="1"/>
  <c r="R262" i="1"/>
  <c r="AS262" i="1" s="1"/>
  <c r="AW256" i="1"/>
  <c r="AV256" i="1" s="1"/>
  <c r="BV256" i="1" s="1"/>
  <c r="R256" i="1"/>
  <c r="AS256" i="1" s="1"/>
  <c r="AW193" i="1"/>
  <c r="AV193" i="1" s="1"/>
  <c r="BV193" i="1" s="1"/>
  <c r="R193" i="1"/>
  <c r="AY186" i="1"/>
  <c r="AV186" i="1" s="1"/>
  <c r="BV186" i="1" s="1"/>
  <c r="R186" i="1"/>
  <c r="CF166" i="1"/>
  <c r="R117" i="1"/>
  <c r="AW117" i="1"/>
  <c r="AV117" i="1" s="1"/>
  <c r="BV117" i="1" s="1"/>
  <c r="R78" i="1"/>
  <c r="AS78" i="1" s="1"/>
  <c r="CI13" i="1"/>
  <c r="BY13" i="1"/>
  <c r="V269" i="1"/>
  <c r="AZ8" i="1"/>
  <c r="AZ269" i="1" s="1"/>
  <c r="BM275" i="1" s="1"/>
  <c r="BM279" i="1" s="1"/>
  <c r="CF132" i="1"/>
  <c r="R19" i="1"/>
  <c r="AS19" i="1" s="1"/>
  <c r="AW19" i="1"/>
  <c r="AV19" i="1" s="1"/>
  <c r="BV19" i="1" s="1"/>
  <c r="CC23" i="1"/>
  <c r="BY23" i="1"/>
  <c r="R238" i="1"/>
  <c r="AW238" i="1"/>
  <c r="AV238" i="1" s="1"/>
  <c r="BV238" i="1" s="1"/>
  <c r="R233" i="1"/>
  <c r="R143" i="1"/>
  <c r="AW163" i="1"/>
  <c r="AV163" i="1" s="1"/>
  <c r="BV163" i="1" s="1"/>
  <c r="R163" i="1"/>
  <c r="AS137" i="1"/>
  <c r="CB137" i="1"/>
  <c r="CA137" i="1"/>
  <c r="R148" i="1"/>
  <c r="BZ137" i="1"/>
  <c r="R178" i="1"/>
  <c r="AS178" i="1" s="1"/>
  <c r="AW178" i="1"/>
  <c r="AV178" i="1" s="1"/>
  <c r="BV178" i="1" s="1"/>
  <c r="R121" i="1"/>
  <c r="AW121" i="1"/>
  <c r="AV121" i="1" s="1"/>
  <c r="BV121" i="1" s="1"/>
  <c r="I34" i="2"/>
  <c r="J34" i="2" s="1"/>
  <c r="L34" i="2" s="1"/>
  <c r="AW114" i="1"/>
  <c r="AV114" i="1" s="1"/>
  <c r="BV114" i="1" s="1"/>
  <c r="R114" i="1"/>
  <c r="CG164" i="1"/>
  <c r="R73" i="1"/>
  <c r="AW73" i="1"/>
  <c r="AV73" i="1" s="1"/>
  <c r="BV73" i="1" s="1"/>
  <c r="CA54" i="1"/>
  <c r="BX54" i="1"/>
  <c r="R16" i="1"/>
  <c r="AW16" i="1"/>
  <c r="AV16" i="1" s="1"/>
  <c r="BV16" i="1" s="1"/>
  <c r="R41" i="1"/>
  <c r="AS41" i="1" s="1"/>
  <c r="AW41" i="1"/>
  <c r="AV41" i="1" s="1"/>
  <c r="BV41" i="1" s="1"/>
  <c r="CF37" i="1"/>
  <c r="AW24" i="1"/>
  <c r="AV24" i="1" s="1"/>
  <c r="BV24" i="1" s="1"/>
  <c r="R24" i="1"/>
  <c r="S269" i="1"/>
  <c r="AW8" i="1"/>
  <c r="R8" i="1"/>
  <c r="F6" i="2"/>
  <c r="N5" i="2"/>
  <c r="AW225" i="1"/>
  <c r="AV225" i="1" s="1"/>
  <c r="BV225" i="1" s="1"/>
  <c r="R225" i="1"/>
  <c r="CJ261" i="1"/>
  <c r="CL261" i="1" s="1"/>
  <c r="R264" i="1"/>
  <c r="AS264" i="1" s="1"/>
  <c r="AW264" i="1"/>
  <c r="AV264" i="1" s="1"/>
  <c r="BV264" i="1" s="1"/>
  <c r="R258" i="1"/>
  <c r="AS258" i="1" s="1"/>
  <c r="AW258" i="1"/>
  <c r="AV258" i="1" s="1"/>
  <c r="BV258" i="1" s="1"/>
  <c r="AW248" i="1"/>
  <c r="AV248" i="1" s="1"/>
  <c r="BV248" i="1" s="1"/>
  <c r="R248" i="1"/>
  <c r="AS248" i="1" s="1"/>
  <c r="CJ258" i="1"/>
  <c r="CL258" i="1" s="1"/>
  <c r="CH248" i="1"/>
  <c r="CB248" i="1"/>
  <c r="CF248" i="1"/>
  <c r="BZ248" i="1"/>
  <c r="CE248" i="1"/>
  <c r="BY248" i="1"/>
  <c r="CG248" i="1"/>
  <c r="CD248" i="1"/>
  <c r="CC248" i="1"/>
  <c r="CA248" i="1"/>
  <c r="BX248" i="1"/>
  <c r="CI248" i="1"/>
  <c r="AW245" i="1"/>
  <c r="AV245" i="1" s="1"/>
  <c r="BV245" i="1" s="1"/>
  <c r="R245" i="1"/>
  <c r="R261" i="1"/>
  <c r="AS261" i="1" s="1"/>
  <c r="AW232" i="1"/>
  <c r="AV232" i="1" s="1"/>
  <c r="BV232" i="1" s="1"/>
  <c r="R232" i="1"/>
  <c r="AX228" i="1"/>
  <c r="AV228" i="1" s="1"/>
  <c r="BV228" i="1" s="1"/>
  <c r="R228" i="1"/>
  <c r="AX222" i="1"/>
  <c r="AV222" i="1" s="1"/>
  <c r="BV222" i="1" s="1"/>
  <c r="R222" i="1"/>
  <c r="AX223" i="1"/>
  <c r="AV223" i="1" s="1"/>
  <c r="BV223" i="1" s="1"/>
  <c r="R223" i="1"/>
  <c r="AW217" i="1"/>
  <c r="AV217" i="1" s="1"/>
  <c r="BV217" i="1" s="1"/>
  <c r="R217" i="1"/>
  <c r="R227" i="1"/>
  <c r="AW227" i="1"/>
  <c r="AV227" i="1" s="1"/>
  <c r="BV227" i="1" s="1"/>
  <c r="R214" i="1"/>
  <c r="AS214" i="1" s="1"/>
  <c r="AW214" i="1"/>
  <c r="AV214" i="1" s="1"/>
  <c r="BV214" i="1" s="1"/>
  <c r="AW201" i="1"/>
  <c r="AV201" i="1" s="1"/>
  <c r="BV201" i="1" s="1"/>
  <c r="R201" i="1"/>
  <c r="R211" i="1"/>
  <c r="AW215" i="1"/>
  <c r="AV215" i="1" s="1"/>
  <c r="BV215" i="1" s="1"/>
  <c r="R215" i="1"/>
  <c r="R212" i="1"/>
  <c r="AW205" i="1"/>
  <c r="AV205" i="1" s="1"/>
  <c r="BV205" i="1" s="1"/>
  <c r="R205" i="1"/>
  <c r="CI194" i="1"/>
  <c r="CC194" i="1"/>
  <c r="CD194" i="1"/>
  <c r="CH194" i="1"/>
  <c r="CA194" i="1"/>
  <c r="BZ194" i="1"/>
  <c r="P58" i="2" s="1"/>
  <c r="H58" i="2" s="1"/>
  <c r="BY194" i="1"/>
  <c r="CG194" i="1"/>
  <c r="BX194" i="1"/>
  <c r="CF194" i="1"/>
  <c r="CE194" i="1"/>
  <c r="CB194" i="1"/>
  <c r="R181" i="1"/>
  <c r="CB170" i="1"/>
  <c r="BZ170" i="1"/>
  <c r="CA170" i="1"/>
  <c r="R198" i="1"/>
  <c r="AW198" i="1"/>
  <c r="AV198" i="1" s="1"/>
  <c r="BV198" i="1" s="1"/>
  <c r="R202" i="1"/>
  <c r="AV180" i="1"/>
  <c r="BV180" i="1" s="1"/>
  <c r="AW175" i="1"/>
  <c r="AV175" i="1" s="1"/>
  <c r="BV175" i="1" s="1"/>
  <c r="R175" i="1"/>
  <c r="AX162" i="1"/>
  <c r="AV162" i="1" s="1"/>
  <c r="BV162" i="1" s="1"/>
  <c r="R162" i="1"/>
  <c r="AX142" i="1"/>
  <c r="AV142" i="1" s="1"/>
  <c r="BV142" i="1" s="1"/>
  <c r="R142" i="1"/>
  <c r="AW199" i="1"/>
  <c r="AV199" i="1" s="1"/>
  <c r="BV199" i="1" s="1"/>
  <c r="R199" i="1"/>
  <c r="R171" i="1"/>
  <c r="AW171" i="1"/>
  <c r="AV171" i="1" s="1"/>
  <c r="BV171" i="1" s="1"/>
  <c r="AW170" i="1"/>
  <c r="AV170" i="1" s="1"/>
  <c r="BV170" i="1" s="1"/>
  <c r="R170" i="1"/>
  <c r="AS170" i="1" s="1"/>
  <c r="CA154" i="1"/>
  <c r="CJ154" i="1" s="1"/>
  <c r="CL154" i="1" s="1"/>
  <c r="R169" i="1"/>
  <c r="AW169" i="1"/>
  <c r="AV169" i="1" s="1"/>
  <c r="BV169" i="1" s="1"/>
  <c r="AW168" i="1"/>
  <c r="AV168" i="1" s="1"/>
  <c r="BV168" i="1" s="1"/>
  <c r="R168" i="1"/>
  <c r="AS168" i="1" s="1"/>
  <c r="R149" i="1"/>
  <c r="R139" i="1"/>
  <c r="R145" i="1"/>
  <c r="AW145" i="1"/>
  <c r="AV145" i="1" s="1"/>
  <c r="BV145" i="1" s="1"/>
  <c r="CH157" i="1"/>
  <c r="CD137" i="1"/>
  <c r="CC137" i="1"/>
  <c r="BY166" i="1"/>
  <c r="CI166" i="1"/>
  <c r="AV156" i="1"/>
  <c r="BV156" i="1" s="1"/>
  <c r="R147" i="1"/>
  <c r="AY74" i="1"/>
  <c r="AV74" i="1" s="1"/>
  <c r="BV74" i="1" s="1"/>
  <c r="R74" i="1"/>
  <c r="AS74" i="1" s="1"/>
  <c r="R176" i="1"/>
  <c r="AS176" i="1" s="1"/>
  <c r="AW176" i="1"/>
  <c r="AV176" i="1" s="1"/>
  <c r="BV176" i="1" s="1"/>
  <c r="R100" i="1"/>
  <c r="AS100" i="1" s="1"/>
  <c r="R57" i="1"/>
  <c r="AW57" i="1"/>
  <c r="AV57" i="1" s="1"/>
  <c r="BV57" i="1" s="1"/>
  <c r="I64" i="2"/>
  <c r="J64" i="2" s="1"/>
  <c r="L64" i="2" s="1"/>
  <c r="AW211" i="1"/>
  <c r="AV211" i="1" s="1"/>
  <c r="BV211" i="1" s="1"/>
  <c r="CA164" i="1"/>
  <c r="CF164" i="1"/>
  <c r="R63" i="1"/>
  <c r="AW63" i="1"/>
  <c r="AV63" i="1" s="1"/>
  <c r="BV63" i="1" s="1"/>
  <c r="R99" i="1"/>
  <c r="AS99" i="1" s="1"/>
  <c r="AW99" i="1"/>
  <c r="AV99" i="1" s="1"/>
  <c r="BV99" i="1" s="1"/>
  <c r="CI66" i="1"/>
  <c r="CC66" i="1"/>
  <c r="CH66" i="1"/>
  <c r="CB66" i="1"/>
  <c r="CG66" i="1"/>
  <c r="CA66" i="1"/>
  <c r="CD66" i="1"/>
  <c r="BZ66" i="1"/>
  <c r="BY66" i="1"/>
  <c r="BX66" i="1"/>
  <c r="CF66" i="1"/>
  <c r="CE66" i="1"/>
  <c r="AV108" i="1"/>
  <c r="BV108" i="1" s="1"/>
  <c r="AW106" i="1"/>
  <c r="AV106" i="1" s="1"/>
  <c r="BV106" i="1" s="1"/>
  <c r="R106" i="1"/>
  <c r="AV82" i="1"/>
  <c r="BV82" i="1" s="1"/>
  <c r="W269" i="1"/>
  <c r="AV78" i="1"/>
  <c r="BV78" i="1" s="1"/>
  <c r="BZ37" i="1"/>
  <c r="R80" i="1"/>
  <c r="AS80" i="1" s="1"/>
  <c r="R141" i="1"/>
  <c r="AW141" i="1"/>
  <c r="AV141" i="1" s="1"/>
  <c r="BV141" i="1" s="1"/>
  <c r="AW118" i="1"/>
  <c r="AV118" i="1" s="1"/>
  <c r="BV118" i="1" s="1"/>
  <c r="R118" i="1"/>
  <c r="R103" i="1"/>
  <c r="AW103" i="1"/>
  <c r="AV103" i="1" s="1"/>
  <c r="BV103" i="1" s="1"/>
  <c r="R18" i="1"/>
  <c r="AW18" i="1"/>
  <c r="AV18" i="1" s="1"/>
  <c r="BV18" i="1" s="1"/>
  <c r="CC132" i="1"/>
  <c r="BZ132" i="1"/>
  <c r="AW26" i="1"/>
  <c r="AV26" i="1" s="1"/>
  <c r="BV26" i="1" s="1"/>
  <c r="R26" i="1"/>
  <c r="AV92" i="1"/>
  <c r="BV92" i="1" s="1"/>
  <c r="CH37" i="1"/>
  <c r="R27" i="1"/>
  <c r="CG72" i="1"/>
  <c r="CA72" i="1"/>
  <c r="CF72" i="1"/>
  <c r="BX72" i="1"/>
  <c r="AW62" i="1"/>
  <c r="AV62" i="1" s="1"/>
  <c r="BV62" i="1" s="1"/>
  <c r="R62" i="1"/>
  <c r="AS62" i="1" s="1"/>
  <c r="R56" i="1"/>
  <c r="AS56" i="1" s="1"/>
  <c r="R50" i="1"/>
  <c r="AS50" i="1" s="1"/>
  <c r="AW50" i="1"/>
  <c r="AV50" i="1" s="1"/>
  <c r="BV50" i="1" s="1"/>
  <c r="AV42" i="1"/>
  <c r="BV42" i="1" s="1"/>
  <c r="R42" i="1"/>
  <c r="BF269" i="1"/>
  <c r="BS275" i="1" s="1"/>
  <c r="BS279" i="1" s="1"/>
  <c r="AW94" i="1"/>
  <c r="AV94" i="1" s="1"/>
  <c r="BV94" i="1" s="1"/>
  <c r="R94" i="1"/>
  <c r="AV37" i="1"/>
  <c r="BV37" i="1" s="1"/>
  <c r="Z269" i="1"/>
  <c r="BD8" i="1"/>
  <c r="BD269" i="1" s="1"/>
  <c r="BQ275" i="1" s="1"/>
  <c r="BQ279" i="1" s="1"/>
  <c r="R90" i="1"/>
  <c r="AS90" i="1" s="1"/>
  <c r="R75" i="1"/>
  <c r="AW75" i="1"/>
  <c r="AV75" i="1" s="1"/>
  <c r="BV75" i="1" s="1"/>
  <c r="R51" i="1"/>
  <c r="CH176" i="1" l="1"/>
  <c r="AS228" i="1"/>
  <c r="CH228" i="1"/>
  <c r="CE228" i="1"/>
  <c r="CA228" i="1"/>
  <c r="CD228" i="1"/>
  <c r="BZ228" i="1"/>
  <c r="BX228" i="1"/>
  <c r="BY228" i="1"/>
  <c r="CC228" i="1"/>
  <c r="CI228" i="1"/>
  <c r="CB228" i="1"/>
  <c r="CG228" i="1"/>
  <c r="CF228" i="1"/>
  <c r="AS117" i="1"/>
  <c r="CH117" i="1"/>
  <c r="CA117" i="1"/>
  <c r="BZ117" i="1"/>
  <c r="CC117" i="1"/>
  <c r="BX117" i="1"/>
  <c r="CB117" i="1"/>
  <c r="CE117" i="1"/>
  <c r="CG117" i="1"/>
  <c r="CD117" i="1"/>
  <c r="CI117" i="1"/>
  <c r="BY117" i="1"/>
  <c r="CF117" i="1"/>
  <c r="AS134" i="1"/>
  <c r="CC134" i="1"/>
  <c r="BX134" i="1"/>
  <c r="CE134" i="1"/>
  <c r="CD134" i="1"/>
  <c r="CG134" i="1"/>
  <c r="BZ134" i="1"/>
  <c r="CB134" i="1"/>
  <c r="CI134" i="1"/>
  <c r="CH134" i="1"/>
  <c r="BY134" i="1"/>
  <c r="CA134" i="1"/>
  <c r="CF134" i="1"/>
  <c r="AS207" i="1"/>
  <c r="CI207" i="1"/>
  <c r="BY207" i="1"/>
  <c r="CH207" i="1"/>
  <c r="BX207" i="1"/>
  <c r="CE207" i="1"/>
  <c r="CD207" i="1"/>
  <c r="CC207" i="1"/>
  <c r="BZ207" i="1"/>
  <c r="CB207" i="1"/>
  <c r="CG207" i="1"/>
  <c r="CA207" i="1"/>
  <c r="CF207" i="1"/>
  <c r="CG19" i="1"/>
  <c r="AS20" i="1"/>
  <c r="CI20" i="1"/>
  <c r="CG20" i="1"/>
  <c r="CF20" i="1"/>
  <c r="CB20" i="1"/>
  <c r="CA20" i="1"/>
  <c r="CC20" i="1"/>
  <c r="BZ20" i="1"/>
  <c r="CE20" i="1"/>
  <c r="BX20" i="1"/>
  <c r="CD20" i="1"/>
  <c r="BY20" i="1"/>
  <c r="CH20" i="1"/>
  <c r="AS131" i="1"/>
  <c r="CD131" i="1"/>
  <c r="CB131" i="1"/>
  <c r="CG131" i="1"/>
  <c r="BZ131" i="1"/>
  <c r="CE131" i="1"/>
  <c r="CI131" i="1"/>
  <c r="CF131" i="1"/>
  <c r="CC131" i="1"/>
  <c r="BY131" i="1"/>
  <c r="CH131" i="1"/>
  <c r="CA131" i="1"/>
  <c r="BX131" i="1"/>
  <c r="AS189" i="1"/>
  <c r="CB189" i="1"/>
  <c r="CA189" i="1"/>
  <c r="CC189" i="1"/>
  <c r="CH189" i="1"/>
  <c r="BY189" i="1"/>
  <c r="CE189" i="1"/>
  <c r="BX189" i="1"/>
  <c r="CF189" i="1"/>
  <c r="CG189" i="1"/>
  <c r="BZ189" i="1"/>
  <c r="CD189" i="1"/>
  <c r="CI189" i="1"/>
  <c r="AS241" i="1"/>
  <c r="CC241" i="1"/>
  <c r="CE241" i="1"/>
  <c r="BX241" i="1"/>
  <c r="CD241" i="1"/>
  <c r="CI241" i="1"/>
  <c r="BY241" i="1"/>
  <c r="CG241" i="1"/>
  <c r="CB241" i="1"/>
  <c r="CF241" i="1"/>
  <c r="BZ241" i="1"/>
  <c r="CA241" i="1"/>
  <c r="CH241" i="1"/>
  <c r="BZ110" i="1"/>
  <c r="AS110" i="1"/>
  <c r="CC110" i="1"/>
  <c r="CD110" i="1"/>
  <c r="BX110" i="1"/>
  <c r="CG110" i="1"/>
  <c r="CH110" i="1"/>
  <c r="CB110" i="1"/>
  <c r="CF110" i="1"/>
  <c r="CA110" i="1"/>
  <c r="CE110" i="1"/>
  <c r="BY110" i="1"/>
  <c r="CI110" i="1"/>
  <c r="AS190" i="1"/>
  <c r="CB190" i="1"/>
  <c r="BZ190" i="1"/>
  <c r="BY190" i="1"/>
  <c r="CH190" i="1"/>
  <c r="CF190" i="1"/>
  <c r="CA190" i="1"/>
  <c r="CI190" i="1"/>
  <c r="CC190" i="1"/>
  <c r="CE190" i="1"/>
  <c r="BX190" i="1"/>
  <c r="CG190" i="1"/>
  <c r="CD190" i="1"/>
  <c r="AS44" i="1"/>
  <c r="CG44" i="1"/>
  <c r="CA44" i="1"/>
  <c r="CH44" i="1"/>
  <c r="CI44" i="1"/>
  <c r="BX44" i="1"/>
  <c r="CJ44" i="1" s="1"/>
  <c r="CL44" i="1" s="1"/>
  <c r="BZ44" i="1"/>
  <c r="CE44" i="1"/>
  <c r="CF44" i="1"/>
  <c r="CD44" i="1"/>
  <c r="CC44" i="1"/>
  <c r="BY44" i="1"/>
  <c r="CB44" i="1"/>
  <c r="AS36" i="1"/>
  <c r="CI36" i="1"/>
  <c r="CH36" i="1"/>
  <c r="CF36" i="1"/>
  <c r="CG36" i="1"/>
  <c r="BZ36" i="1"/>
  <c r="CD36" i="1"/>
  <c r="CE36" i="1"/>
  <c r="CC36" i="1"/>
  <c r="BX36" i="1"/>
  <c r="BY36" i="1"/>
  <c r="CA36" i="1"/>
  <c r="CB36" i="1"/>
  <c r="CI99" i="1"/>
  <c r="CJ166" i="1"/>
  <c r="CL166" i="1" s="1"/>
  <c r="CE107" i="1"/>
  <c r="L4" i="2"/>
  <c r="BY176" i="1"/>
  <c r="CG54" i="1"/>
  <c r="CI23" i="1"/>
  <c r="AS216" i="1"/>
  <c r="CH216" i="1"/>
  <c r="CB216" i="1"/>
  <c r="BY216" i="1"/>
  <c r="CD216" i="1"/>
  <c r="CI216" i="1"/>
  <c r="CE216" i="1"/>
  <c r="CF216" i="1"/>
  <c r="CC216" i="1"/>
  <c r="BX216" i="1"/>
  <c r="CA216" i="1"/>
  <c r="CG216" i="1"/>
  <c r="BZ216" i="1"/>
  <c r="AS31" i="1"/>
  <c r="CA31" i="1"/>
  <c r="CH31" i="1"/>
  <c r="BZ31" i="1"/>
  <c r="CD31" i="1"/>
  <c r="BY31" i="1"/>
  <c r="CE31" i="1"/>
  <c r="BX31" i="1"/>
  <c r="CF31" i="1"/>
  <c r="CB31" i="1"/>
  <c r="CI31" i="1"/>
  <c r="CG31" i="1"/>
  <c r="CC31" i="1"/>
  <c r="CA19" i="1"/>
  <c r="BY126" i="1"/>
  <c r="AS126" i="1"/>
  <c r="CE126" i="1"/>
  <c r="CD126" i="1"/>
  <c r="CG126" i="1"/>
  <c r="CH126" i="1"/>
  <c r="CB126" i="1"/>
  <c r="CA126" i="1"/>
  <c r="CI126" i="1"/>
  <c r="BX126" i="1"/>
  <c r="CF126" i="1"/>
  <c r="CC126" i="1"/>
  <c r="BZ126" i="1"/>
  <c r="AS203" i="1"/>
  <c r="CI203" i="1"/>
  <c r="BY203" i="1"/>
  <c r="CH203" i="1"/>
  <c r="BX203" i="1"/>
  <c r="CE203" i="1"/>
  <c r="CC203" i="1"/>
  <c r="CD203" i="1"/>
  <c r="BZ203" i="1"/>
  <c r="CG203" i="1"/>
  <c r="CB203" i="1"/>
  <c r="CF203" i="1"/>
  <c r="CA203" i="1"/>
  <c r="AS230" i="1"/>
  <c r="BZ230" i="1"/>
  <c r="CA230" i="1"/>
  <c r="CG230" i="1"/>
  <c r="CI230" i="1"/>
  <c r="CD230" i="1"/>
  <c r="BY230" i="1"/>
  <c r="CH230" i="1"/>
  <c r="BX230" i="1"/>
  <c r="CJ230" i="1" s="1"/>
  <c r="CL230" i="1" s="1"/>
  <c r="CE230" i="1"/>
  <c r="CB230" i="1"/>
  <c r="CF230" i="1"/>
  <c r="CC230" i="1"/>
  <c r="CJ60" i="1"/>
  <c r="CL60" i="1" s="1"/>
  <c r="CE84" i="1"/>
  <c r="AS155" i="1"/>
  <c r="CB155" i="1"/>
  <c r="BY155" i="1"/>
  <c r="CC155" i="1"/>
  <c r="CE155" i="1"/>
  <c r="CH155" i="1"/>
  <c r="CI155" i="1"/>
  <c r="CA155" i="1"/>
  <c r="CD155" i="1"/>
  <c r="CF155" i="1"/>
  <c r="BX155" i="1"/>
  <c r="CG155" i="1"/>
  <c r="BZ155" i="1"/>
  <c r="AS183" i="1"/>
  <c r="CB183" i="1"/>
  <c r="CH183" i="1"/>
  <c r="CI183" i="1"/>
  <c r="CE183" i="1"/>
  <c r="CA183" i="1"/>
  <c r="CD183" i="1"/>
  <c r="CF183" i="1"/>
  <c r="CG183" i="1"/>
  <c r="CC183" i="1"/>
  <c r="BY183" i="1"/>
  <c r="BX183" i="1"/>
  <c r="BZ183" i="1"/>
  <c r="AS226" i="1"/>
  <c r="CG226" i="1"/>
  <c r="CD226" i="1"/>
  <c r="BY226" i="1"/>
  <c r="CB226" i="1"/>
  <c r="BX226" i="1"/>
  <c r="CF226" i="1"/>
  <c r="BZ226" i="1"/>
  <c r="CE226" i="1"/>
  <c r="CA226" i="1"/>
  <c r="CI226" i="1"/>
  <c r="CC226" i="1"/>
  <c r="CH226" i="1"/>
  <c r="BZ107" i="1"/>
  <c r="BY107" i="1"/>
  <c r="CG148" i="1"/>
  <c r="AS148" i="1"/>
  <c r="BX148" i="1"/>
  <c r="CH148" i="1"/>
  <c r="BZ148" i="1"/>
  <c r="CI148" i="1"/>
  <c r="CA148" i="1"/>
  <c r="CB148" i="1"/>
  <c r="CC148" i="1"/>
  <c r="CE148" i="1"/>
  <c r="CD148" i="1"/>
  <c r="CF148" i="1"/>
  <c r="BY148" i="1"/>
  <c r="CJ29" i="1"/>
  <c r="CL29" i="1" s="1"/>
  <c r="AS111" i="1"/>
  <c r="CI111" i="1"/>
  <c r="CD111" i="1"/>
  <c r="CC111" i="1"/>
  <c r="CF111" i="1"/>
  <c r="BX111" i="1"/>
  <c r="CB111" i="1"/>
  <c r="CG111" i="1"/>
  <c r="CH111" i="1"/>
  <c r="CA111" i="1"/>
  <c r="CE111" i="1"/>
  <c r="BY111" i="1"/>
  <c r="BZ111" i="1"/>
  <c r="AS146" i="1"/>
  <c r="BY146" i="1"/>
  <c r="CD146" i="1"/>
  <c r="CG146" i="1"/>
  <c r="CA146" i="1"/>
  <c r="CE146" i="1"/>
  <c r="BX146" i="1"/>
  <c r="CF146" i="1"/>
  <c r="CI146" i="1"/>
  <c r="BZ146" i="1"/>
  <c r="CB146" i="1"/>
  <c r="CC146" i="1"/>
  <c r="CH146" i="1"/>
  <c r="AS239" i="1"/>
  <c r="BY239" i="1"/>
  <c r="CH239" i="1"/>
  <c r="CI239" i="1"/>
  <c r="CE239" i="1"/>
  <c r="CB239" i="1"/>
  <c r="CC239" i="1"/>
  <c r="BX239" i="1"/>
  <c r="CA239" i="1"/>
  <c r="CF239" i="1"/>
  <c r="CD239" i="1"/>
  <c r="BZ239" i="1"/>
  <c r="CG239" i="1"/>
  <c r="AS136" i="1"/>
  <c r="CA136" i="1"/>
  <c r="CC136" i="1"/>
  <c r="BX136" i="1"/>
  <c r="BY136" i="1"/>
  <c r="CI136" i="1"/>
  <c r="CG136" i="1"/>
  <c r="CF136" i="1"/>
  <c r="CE136" i="1"/>
  <c r="BZ136" i="1"/>
  <c r="P37" i="2" s="1"/>
  <c r="H37" i="2" s="1"/>
  <c r="CD136" i="1"/>
  <c r="CB136" i="1"/>
  <c r="CH136" i="1"/>
  <c r="CB231" i="1"/>
  <c r="AS43" i="1"/>
  <c r="CD43" i="1"/>
  <c r="CA43" i="1"/>
  <c r="BX43" i="1"/>
  <c r="CB43" i="1"/>
  <c r="CH43" i="1"/>
  <c r="CF43" i="1"/>
  <c r="CG43" i="1"/>
  <c r="BZ43" i="1"/>
  <c r="BY43" i="1"/>
  <c r="CC43" i="1"/>
  <c r="CI43" i="1"/>
  <c r="CE43" i="1"/>
  <c r="CA15" i="1"/>
  <c r="AS15" i="1"/>
  <c r="BZ15" i="1"/>
  <c r="BX15" i="1"/>
  <c r="BY15" i="1"/>
  <c r="CD15" i="1"/>
  <c r="CB15" i="1"/>
  <c r="CI15" i="1"/>
  <c r="CF15" i="1"/>
  <c r="CG15" i="1"/>
  <c r="CE15" i="1"/>
  <c r="CC15" i="1"/>
  <c r="CH15" i="1"/>
  <c r="CJ66" i="1"/>
  <c r="CL66" i="1" s="1"/>
  <c r="AS142" i="1"/>
  <c r="CG142" i="1"/>
  <c r="CE142" i="1"/>
  <c r="CB142" i="1"/>
  <c r="CA142" i="1"/>
  <c r="CF142" i="1"/>
  <c r="CH142" i="1"/>
  <c r="CI142" i="1"/>
  <c r="CC142" i="1"/>
  <c r="BY142" i="1"/>
  <c r="BX142" i="1"/>
  <c r="BZ142" i="1"/>
  <c r="P57" i="2" s="1"/>
  <c r="H57" i="2" s="1"/>
  <c r="CD142" i="1"/>
  <c r="CC176" i="1"/>
  <c r="AS73" i="1"/>
  <c r="CH73" i="1"/>
  <c r="BZ73" i="1"/>
  <c r="CA73" i="1"/>
  <c r="CE73" i="1"/>
  <c r="CC73" i="1"/>
  <c r="CI73" i="1"/>
  <c r="BY73" i="1"/>
  <c r="CB73" i="1"/>
  <c r="BX73" i="1"/>
  <c r="CJ73" i="1" s="1"/>
  <c r="CL73" i="1" s="1"/>
  <c r="CF73" i="1"/>
  <c r="CD73" i="1"/>
  <c r="CG73" i="1"/>
  <c r="AS140" i="1"/>
  <c r="CI140" i="1"/>
  <c r="CH140" i="1"/>
  <c r="CB140" i="1"/>
  <c r="BZ140" i="1"/>
  <c r="CA140" i="1"/>
  <c r="CC140" i="1"/>
  <c r="BX140" i="1"/>
  <c r="CF140" i="1"/>
  <c r="CG140" i="1"/>
  <c r="BY140" i="1"/>
  <c r="CE140" i="1"/>
  <c r="CD140" i="1"/>
  <c r="AS45" i="1"/>
  <c r="CE45" i="1"/>
  <c r="CG45" i="1"/>
  <c r="BX45" i="1"/>
  <c r="CF45" i="1"/>
  <c r="CI45" i="1"/>
  <c r="CD45" i="1"/>
  <c r="CB45" i="1"/>
  <c r="CC45" i="1"/>
  <c r="CH45" i="1"/>
  <c r="CA45" i="1"/>
  <c r="BY45" i="1"/>
  <c r="BZ45" i="1"/>
  <c r="CD231" i="1"/>
  <c r="CG74" i="1"/>
  <c r="AS85" i="1"/>
  <c r="CI85" i="1"/>
  <c r="CH85" i="1"/>
  <c r="CA85" i="1"/>
  <c r="BX85" i="1"/>
  <c r="CC85" i="1"/>
  <c r="CG85" i="1"/>
  <c r="CF85" i="1"/>
  <c r="BY85" i="1"/>
  <c r="CD85" i="1"/>
  <c r="BZ85" i="1"/>
  <c r="CB85" i="1"/>
  <c r="CE85" i="1"/>
  <c r="CF58" i="1"/>
  <c r="BZ99" i="1"/>
  <c r="AS138" i="1"/>
  <c r="CA138" i="1"/>
  <c r="CB138" i="1"/>
  <c r="CC138" i="1"/>
  <c r="BX138" i="1"/>
  <c r="CF138" i="1"/>
  <c r="CE138" i="1"/>
  <c r="BZ138" i="1"/>
  <c r="CD138" i="1"/>
  <c r="BY138" i="1"/>
  <c r="CH138" i="1"/>
  <c r="CI138" i="1"/>
  <c r="CG138" i="1"/>
  <c r="I29" i="2"/>
  <c r="J29" i="2"/>
  <c r="L29" i="2" s="1"/>
  <c r="AS94" i="1"/>
  <c r="CC94" i="1"/>
  <c r="CB94" i="1"/>
  <c r="BY94" i="1"/>
  <c r="CF94" i="1"/>
  <c r="CG94" i="1"/>
  <c r="CE94" i="1"/>
  <c r="CI94" i="1"/>
  <c r="CA94" i="1"/>
  <c r="BX94" i="1"/>
  <c r="CJ94" i="1" s="1"/>
  <c r="CL94" i="1" s="1"/>
  <c r="BZ94" i="1"/>
  <c r="CH94" i="1"/>
  <c r="CD94" i="1"/>
  <c r="BY72" i="1"/>
  <c r="CB72" i="1"/>
  <c r="AS18" i="1"/>
  <c r="CD18" i="1"/>
  <c r="CH18" i="1"/>
  <c r="CI18" i="1"/>
  <c r="CE18" i="1"/>
  <c r="CC18" i="1"/>
  <c r="BX18" i="1"/>
  <c r="BY18" i="1"/>
  <c r="CA18" i="1"/>
  <c r="CF18" i="1"/>
  <c r="CB18" i="1"/>
  <c r="CG18" i="1"/>
  <c r="BZ18" i="1"/>
  <c r="AS141" i="1"/>
  <c r="CB141" i="1"/>
  <c r="BY141" i="1"/>
  <c r="CH141" i="1"/>
  <c r="CD141" i="1"/>
  <c r="CG141" i="1"/>
  <c r="CA141" i="1"/>
  <c r="CC141" i="1"/>
  <c r="CE141" i="1"/>
  <c r="BX141" i="1"/>
  <c r="BZ141" i="1"/>
  <c r="CF141" i="1"/>
  <c r="CI141" i="1"/>
  <c r="AS106" i="1"/>
  <c r="CH106" i="1"/>
  <c r="CD106" i="1"/>
  <c r="BX106" i="1"/>
  <c r="BZ106" i="1"/>
  <c r="CC106" i="1"/>
  <c r="CF106" i="1"/>
  <c r="CB106" i="1"/>
  <c r="CG106" i="1"/>
  <c r="CA106" i="1"/>
  <c r="BY106" i="1"/>
  <c r="CI106" i="1"/>
  <c r="CE106" i="1"/>
  <c r="AS63" i="1"/>
  <c r="CI63" i="1"/>
  <c r="CE63" i="1"/>
  <c r="CA63" i="1"/>
  <c r="CF63" i="1"/>
  <c r="CG63" i="1"/>
  <c r="BY63" i="1"/>
  <c r="CB63" i="1"/>
  <c r="CD63" i="1"/>
  <c r="CC63" i="1"/>
  <c r="BX63" i="1"/>
  <c r="CH63" i="1"/>
  <c r="BZ63" i="1"/>
  <c r="AS202" i="1"/>
  <c r="CF202" i="1"/>
  <c r="CE202" i="1"/>
  <c r="CI202" i="1"/>
  <c r="CG202" i="1"/>
  <c r="CC202" i="1"/>
  <c r="BZ202" i="1"/>
  <c r="CA202" i="1"/>
  <c r="BX202" i="1"/>
  <c r="CJ202" i="1" s="1"/>
  <c r="CL202" i="1" s="1"/>
  <c r="CD202" i="1"/>
  <c r="BY202" i="1"/>
  <c r="CB202" i="1"/>
  <c r="CH202" i="1"/>
  <c r="BY170" i="1"/>
  <c r="CH170" i="1"/>
  <c r="CF176" i="1"/>
  <c r="CI176" i="1"/>
  <c r="AS212" i="1"/>
  <c r="CB212" i="1"/>
  <c r="CD212" i="1"/>
  <c r="BY212" i="1"/>
  <c r="CH212" i="1"/>
  <c r="CI212" i="1"/>
  <c r="CE212" i="1"/>
  <c r="BZ212" i="1"/>
  <c r="CF212" i="1"/>
  <c r="CC212" i="1"/>
  <c r="BX212" i="1"/>
  <c r="CG212" i="1"/>
  <c r="CA212" i="1"/>
  <c r="AS223" i="1"/>
  <c r="CI223" i="1"/>
  <c r="BZ223" i="1"/>
  <c r="CH223" i="1"/>
  <c r="CB223" i="1"/>
  <c r="CC223" i="1"/>
  <c r="BY223" i="1"/>
  <c r="CA223" i="1"/>
  <c r="CE223" i="1"/>
  <c r="CG223" i="1"/>
  <c r="BX223" i="1"/>
  <c r="CF223" i="1"/>
  <c r="CD223" i="1"/>
  <c r="AS232" i="1"/>
  <c r="CD232" i="1"/>
  <c r="CC232" i="1"/>
  <c r="CH232" i="1"/>
  <c r="CG232" i="1"/>
  <c r="CE232" i="1"/>
  <c r="BY232" i="1"/>
  <c r="CI232" i="1"/>
  <c r="CA232" i="1"/>
  <c r="CB232" i="1"/>
  <c r="CF232" i="1"/>
  <c r="BX232" i="1"/>
  <c r="BZ232" i="1"/>
  <c r="CJ248" i="1"/>
  <c r="CL248" i="1" s="1"/>
  <c r="R269" i="1"/>
  <c r="AS8" i="1"/>
  <c r="CI8" i="1"/>
  <c r="CB8" i="1"/>
  <c r="CC8" i="1"/>
  <c r="CE8" i="1"/>
  <c r="CH8" i="1"/>
  <c r="CD8" i="1"/>
  <c r="CF8" i="1"/>
  <c r="BX8" i="1"/>
  <c r="BZ8" i="1"/>
  <c r="BY8" i="1"/>
  <c r="CG8" i="1"/>
  <c r="CA8" i="1"/>
  <c r="CD54" i="1"/>
  <c r="CB54" i="1"/>
  <c r="AS121" i="1"/>
  <c r="BX121" i="1"/>
  <c r="CJ121" i="1" s="1"/>
  <c r="CL121" i="1" s="1"/>
  <c r="CA121" i="1"/>
  <c r="CB121" i="1"/>
  <c r="CI121" i="1"/>
  <c r="CF121" i="1"/>
  <c r="CH121" i="1"/>
  <c r="BY121" i="1"/>
  <c r="BZ121" i="1"/>
  <c r="CG121" i="1"/>
  <c r="CD121" i="1"/>
  <c r="CE121" i="1"/>
  <c r="CC121" i="1"/>
  <c r="CD233" i="1"/>
  <c r="BZ233" i="1"/>
  <c r="AS233" i="1"/>
  <c r="CF233" i="1"/>
  <c r="CE233" i="1"/>
  <c r="CC233" i="1"/>
  <c r="BY233" i="1"/>
  <c r="CG233" i="1"/>
  <c r="BX233" i="1"/>
  <c r="CH233" i="1"/>
  <c r="CA233" i="1"/>
  <c r="CI233" i="1"/>
  <c r="CB233" i="1"/>
  <c r="CF23" i="1"/>
  <c r="CB23" i="1"/>
  <c r="CE13" i="1"/>
  <c r="BX13" i="1"/>
  <c r="AS186" i="1"/>
  <c r="CF186" i="1"/>
  <c r="CC186" i="1"/>
  <c r="CD186" i="1"/>
  <c r="CI186" i="1"/>
  <c r="CB186" i="1"/>
  <c r="BY186" i="1"/>
  <c r="CG186" i="1"/>
  <c r="BX186" i="1"/>
  <c r="CH186" i="1"/>
  <c r="CA186" i="1"/>
  <c r="BZ186" i="1"/>
  <c r="CE186" i="1"/>
  <c r="AS101" i="1"/>
  <c r="CC101" i="1"/>
  <c r="CE101" i="1"/>
  <c r="CH101" i="1"/>
  <c r="CF101" i="1"/>
  <c r="CG101" i="1"/>
  <c r="CA101" i="1"/>
  <c r="CD101" i="1"/>
  <c r="BY101" i="1"/>
  <c r="CB101" i="1"/>
  <c r="BZ101" i="1"/>
  <c r="BX101" i="1"/>
  <c r="CI101" i="1"/>
  <c r="AS77" i="1"/>
  <c r="CI77" i="1"/>
  <c r="CH77" i="1"/>
  <c r="BZ77" i="1"/>
  <c r="CC77" i="1"/>
  <c r="CE77" i="1"/>
  <c r="CB77" i="1"/>
  <c r="CF77" i="1"/>
  <c r="BY77" i="1"/>
  <c r="CA77" i="1"/>
  <c r="CD77" i="1"/>
  <c r="BX77" i="1"/>
  <c r="CJ77" i="1" s="1"/>
  <c r="CL77" i="1" s="1"/>
  <c r="CG77" i="1"/>
  <c r="AS81" i="1"/>
  <c r="CI81" i="1"/>
  <c r="CH81" i="1"/>
  <c r="BY81" i="1"/>
  <c r="CC81" i="1"/>
  <c r="BZ81" i="1"/>
  <c r="CB81" i="1"/>
  <c r="CG81" i="1"/>
  <c r="CD81" i="1"/>
  <c r="CA81" i="1"/>
  <c r="BX81" i="1"/>
  <c r="CJ81" i="1" s="1"/>
  <c r="CL81" i="1" s="1"/>
  <c r="CE81" i="1"/>
  <c r="CF81" i="1"/>
  <c r="AS115" i="1"/>
  <c r="CI115" i="1"/>
  <c r="CB115" i="1"/>
  <c r="CA115" i="1"/>
  <c r="BZ115" i="1"/>
  <c r="BX115" i="1"/>
  <c r="CE115" i="1"/>
  <c r="CG115" i="1"/>
  <c r="BY115" i="1"/>
  <c r="CF115" i="1"/>
  <c r="CH115" i="1"/>
  <c r="CD115" i="1"/>
  <c r="CC115" i="1"/>
  <c r="AS53" i="1"/>
  <c r="BY53" i="1"/>
  <c r="CI53" i="1"/>
  <c r="CD53" i="1"/>
  <c r="CG53" i="1"/>
  <c r="BZ53" i="1"/>
  <c r="CH53" i="1"/>
  <c r="BX53" i="1"/>
  <c r="CA53" i="1"/>
  <c r="CE53" i="1"/>
  <c r="CF53" i="1"/>
  <c r="CB53" i="1"/>
  <c r="CC53" i="1"/>
  <c r="CF68" i="1"/>
  <c r="CI68" i="1"/>
  <c r="CI133" i="1"/>
  <c r="BZ130" i="1"/>
  <c r="CH130" i="1"/>
  <c r="AS196" i="1"/>
  <c r="CA196" i="1"/>
  <c r="CG196" i="1"/>
  <c r="CH196" i="1"/>
  <c r="BY196" i="1"/>
  <c r="CE196" i="1"/>
  <c r="BZ196" i="1"/>
  <c r="CC196" i="1"/>
  <c r="CF196" i="1"/>
  <c r="CB196" i="1"/>
  <c r="CI196" i="1"/>
  <c r="CD196" i="1"/>
  <c r="BX196" i="1"/>
  <c r="CF218" i="1"/>
  <c r="CD218" i="1"/>
  <c r="BY41" i="1"/>
  <c r="CC41" i="1"/>
  <c r="CD70" i="1"/>
  <c r="CG70" i="1"/>
  <c r="AS191" i="1"/>
  <c r="BX191" i="1"/>
  <c r="CJ191" i="1" s="1"/>
  <c r="CL191" i="1" s="1"/>
  <c r="CH191" i="1"/>
  <c r="CG191" i="1"/>
  <c r="CI191" i="1"/>
  <c r="BY191" i="1"/>
  <c r="CC191" i="1"/>
  <c r="CB191" i="1"/>
  <c r="CF191" i="1"/>
  <c r="CE191" i="1"/>
  <c r="BZ191" i="1"/>
  <c r="CD191" i="1"/>
  <c r="CA191" i="1"/>
  <c r="CF210" i="1"/>
  <c r="CJ210" i="1" s="1"/>
  <c r="CL210" i="1" s="1"/>
  <c r="CB210" i="1"/>
  <c r="CE19" i="1"/>
  <c r="BX19" i="1"/>
  <c r="CE120" i="1"/>
  <c r="CC120" i="1"/>
  <c r="CF35" i="1"/>
  <c r="BX35" i="1"/>
  <c r="BZ17" i="1"/>
  <c r="CI17" i="1"/>
  <c r="AS119" i="1"/>
  <c r="CG119" i="1"/>
  <c r="CC119" i="1"/>
  <c r="BX119" i="1"/>
  <c r="BY119" i="1"/>
  <c r="CF119" i="1"/>
  <c r="CB119" i="1"/>
  <c r="BZ119" i="1"/>
  <c r="CA119" i="1"/>
  <c r="CE119" i="1"/>
  <c r="CI119" i="1"/>
  <c r="CH119" i="1"/>
  <c r="CD119" i="1"/>
  <c r="CF104" i="1"/>
  <c r="CD104" i="1"/>
  <c r="BY56" i="1"/>
  <c r="CH56" i="1"/>
  <c r="CE96" i="1"/>
  <c r="CB96" i="1"/>
  <c r="CD128" i="1"/>
  <c r="CH128" i="1"/>
  <c r="AS127" i="1"/>
  <c r="CG127" i="1"/>
  <c r="CC127" i="1"/>
  <c r="BX127" i="1"/>
  <c r="CB127" i="1"/>
  <c r="CD127" i="1"/>
  <c r="CF127" i="1"/>
  <c r="CA127" i="1"/>
  <c r="BZ127" i="1"/>
  <c r="CH127" i="1"/>
  <c r="BY127" i="1"/>
  <c r="CE127" i="1"/>
  <c r="CI127" i="1"/>
  <c r="AS173" i="1"/>
  <c r="CH173" i="1"/>
  <c r="CD173" i="1"/>
  <c r="CB173" i="1"/>
  <c r="CE173" i="1"/>
  <c r="CF173" i="1"/>
  <c r="BZ173" i="1"/>
  <c r="BY173" i="1"/>
  <c r="CG173" i="1"/>
  <c r="BX173" i="1"/>
  <c r="CI173" i="1"/>
  <c r="CC173" i="1"/>
  <c r="CA173" i="1"/>
  <c r="AS197" i="1"/>
  <c r="CG197" i="1"/>
  <c r="CB197" i="1"/>
  <c r="BZ197" i="1"/>
  <c r="BY197" i="1"/>
  <c r="CE197" i="1"/>
  <c r="CI197" i="1"/>
  <c r="CH197" i="1"/>
  <c r="CC197" i="1"/>
  <c r="CF197" i="1"/>
  <c r="BX197" i="1"/>
  <c r="CD197" i="1"/>
  <c r="CA197" i="1"/>
  <c r="CF231" i="1"/>
  <c r="BX231" i="1"/>
  <c r="CA250" i="1"/>
  <c r="CH250" i="1"/>
  <c r="CG250" i="1"/>
  <c r="CB250" i="1"/>
  <c r="AS250" i="1"/>
  <c r="CF250" i="1"/>
  <c r="CE250" i="1"/>
  <c r="CI250" i="1"/>
  <c r="BZ250" i="1"/>
  <c r="CC250" i="1"/>
  <c r="CD250" i="1"/>
  <c r="BY250" i="1"/>
  <c r="BZ95" i="1"/>
  <c r="BY95" i="1"/>
  <c r="CF74" i="1"/>
  <c r="CB74" i="1"/>
  <c r="CJ137" i="1"/>
  <c r="CL137" i="1" s="1"/>
  <c r="AS243" i="1"/>
  <c r="CF243" i="1"/>
  <c r="CG243" i="1"/>
  <c r="CI243" i="1"/>
  <c r="BZ243" i="1"/>
  <c r="CD243" i="1"/>
  <c r="BY243" i="1"/>
  <c r="CH243" i="1"/>
  <c r="CA243" i="1"/>
  <c r="CE243" i="1"/>
  <c r="CC243" i="1"/>
  <c r="CB243" i="1"/>
  <c r="BX243" i="1"/>
  <c r="CJ108" i="1"/>
  <c r="CL108" i="1" s="1"/>
  <c r="BZ58" i="1"/>
  <c r="CB58" i="1"/>
  <c r="CA21" i="1"/>
  <c r="CE21" i="1"/>
  <c r="CF21" i="1"/>
  <c r="AS21" i="1"/>
  <c r="CI21" i="1"/>
  <c r="CC21" i="1"/>
  <c r="BY21" i="1"/>
  <c r="CG21" i="1"/>
  <c r="CH21" i="1"/>
  <c r="BZ21" i="1"/>
  <c r="CB21" i="1"/>
  <c r="CD21" i="1"/>
  <c r="BX21" i="1"/>
  <c r="BX62" i="1"/>
  <c r="CG62" i="1"/>
  <c r="BZ50" i="1"/>
  <c r="CH50" i="1"/>
  <c r="AS40" i="1"/>
  <c r="CD40" i="1"/>
  <c r="CC40" i="1"/>
  <c r="CH40" i="1"/>
  <c r="BZ40" i="1"/>
  <c r="CI40" i="1"/>
  <c r="CE40" i="1"/>
  <c r="CA40" i="1"/>
  <c r="BY40" i="1"/>
  <c r="CF40" i="1"/>
  <c r="CG40" i="1"/>
  <c r="BX40" i="1"/>
  <c r="CB40" i="1"/>
  <c r="CF100" i="1"/>
  <c r="CD100" i="1"/>
  <c r="CD124" i="1"/>
  <c r="CJ124" i="1" s="1"/>
  <c r="CL124" i="1" s="1"/>
  <c r="CH124" i="1"/>
  <c r="CA99" i="1"/>
  <c r="CE99" i="1"/>
  <c r="CE60" i="1"/>
  <c r="CC60" i="1"/>
  <c r="CD64" i="1"/>
  <c r="CC64" i="1"/>
  <c r="CJ64" i="1" s="1"/>
  <c r="CL64" i="1" s="1"/>
  <c r="CA78" i="1"/>
  <c r="BX78" i="1"/>
  <c r="CF84" i="1"/>
  <c r="CC84" i="1"/>
  <c r="CE90" i="1"/>
  <c r="CB90" i="1"/>
  <c r="AS219" i="1"/>
  <c r="CG219" i="1"/>
  <c r="BY219" i="1"/>
  <c r="CE219" i="1"/>
  <c r="BX219" i="1"/>
  <c r="CC219" i="1"/>
  <c r="CD219" i="1"/>
  <c r="CI219" i="1"/>
  <c r="CH219" i="1"/>
  <c r="CA219" i="1"/>
  <c r="CF219" i="1"/>
  <c r="BZ219" i="1"/>
  <c r="CB219" i="1"/>
  <c r="BY178" i="1"/>
  <c r="CI178" i="1"/>
  <c r="BX214" i="1"/>
  <c r="CH214" i="1"/>
  <c r="CE80" i="1"/>
  <c r="CH80" i="1"/>
  <c r="CE86" i="1"/>
  <c r="CH86" i="1"/>
  <c r="CE92" i="1"/>
  <c r="CI92" i="1"/>
  <c r="AS71" i="1"/>
  <c r="CF71" i="1"/>
  <c r="CB71" i="1"/>
  <c r="CC71" i="1"/>
  <c r="CG71" i="1"/>
  <c r="BZ71" i="1"/>
  <c r="CA71" i="1"/>
  <c r="BX71" i="1"/>
  <c r="CE71" i="1"/>
  <c r="CH71" i="1"/>
  <c r="BY71" i="1"/>
  <c r="CI71" i="1"/>
  <c r="CD71" i="1"/>
  <c r="CA107" i="1"/>
  <c r="CF107" i="1"/>
  <c r="CA168" i="1"/>
  <c r="CH168" i="1"/>
  <c r="AS188" i="1"/>
  <c r="BX188" i="1"/>
  <c r="CB188" i="1"/>
  <c r="CE188" i="1"/>
  <c r="CI188" i="1"/>
  <c r="CA188" i="1"/>
  <c r="CD188" i="1"/>
  <c r="CC188" i="1"/>
  <c r="BY188" i="1"/>
  <c r="BZ188" i="1"/>
  <c r="CF188" i="1"/>
  <c r="CG188" i="1"/>
  <c r="CH188" i="1"/>
  <c r="CF27" i="1"/>
  <c r="AS27" i="1"/>
  <c r="CE27" i="1"/>
  <c r="CA27" i="1"/>
  <c r="BX27" i="1"/>
  <c r="BY27" i="1"/>
  <c r="CB27" i="1"/>
  <c r="CI27" i="1"/>
  <c r="CG27" i="1"/>
  <c r="CC27" i="1"/>
  <c r="CH27" i="1"/>
  <c r="BZ27" i="1"/>
  <c r="CD27" i="1"/>
  <c r="AS139" i="1"/>
  <c r="CH139" i="1"/>
  <c r="CI139" i="1"/>
  <c r="CB139" i="1"/>
  <c r="CE139" i="1"/>
  <c r="BZ139" i="1"/>
  <c r="CD139" i="1"/>
  <c r="CC139" i="1"/>
  <c r="CA139" i="1"/>
  <c r="CF139" i="1"/>
  <c r="CG139" i="1"/>
  <c r="BY139" i="1"/>
  <c r="BX139" i="1"/>
  <c r="CE176" i="1"/>
  <c r="AS205" i="1"/>
  <c r="CI205" i="1"/>
  <c r="BY205" i="1"/>
  <c r="CH205" i="1"/>
  <c r="BX205" i="1"/>
  <c r="CE205" i="1"/>
  <c r="CC205" i="1"/>
  <c r="CD205" i="1"/>
  <c r="BZ205" i="1"/>
  <c r="CA205" i="1"/>
  <c r="CB205" i="1"/>
  <c r="CF205" i="1"/>
  <c r="CG205" i="1"/>
  <c r="AS67" i="1"/>
  <c r="CG67" i="1"/>
  <c r="BZ67" i="1"/>
  <c r="CB67" i="1"/>
  <c r="CE67" i="1"/>
  <c r="CI67" i="1"/>
  <c r="CF67" i="1"/>
  <c r="BY67" i="1"/>
  <c r="CA67" i="1"/>
  <c r="BX67" i="1"/>
  <c r="CC67" i="1"/>
  <c r="CD67" i="1"/>
  <c r="CH67" i="1"/>
  <c r="CC19" i="1"/>
  <c r="BY231" i="1"/>
  <c r="CD99" i="1"/>
  <c r="P25" i="2"/>
  <c r="H25" i="2" s="1"/>
  <c r="AV64" i="1"/>
  <c r="BV64" i="1" s="1"/>
  <c r="CH107" i="1"/>
  <c r="AS159" i="1"/>
  <c r="CB159" i="1"/>
  <c r="BY159" i="1"/>
  <c r="CF159" i="1"/>
  <c r="CI159" i="1"/>
  <c r="CD159" i="1"/>
  <c r="BZ159" i="1"/>
  <c r="BX159" i="1"/>
  <c r="CJ159" i="1" s="1"/>
  <c r="CL159" i="1" s="1"/>
  <c r="CC159" i="1"/>
  <c r="CE159" i="1"/>
  <c r="CH159" i="1"/>
  <c r="CG159" i="1"/>
  <c r="CA159" i="1"/>
  <c r="AS55" i="1"/>
  <c r="CE55" i="1"/>
  <c r="CG55" i="1"/>
  <c r="CF55" i="1"/>
  <c r="BY55" i="1"/>
  <c r="CC55" i="1"/>
  <c r="CA55" i="1"/>
  <c r="CB55" i="1"/>
  <c r="CD55" i="1"/>
  <c r="CH55" i="1"/>
  <c r="BZ55" i="1"/>
  <c r="BX55" i="1"/>
  <c r="CI55" i="1"/>
  <c r="N6" i="2"/>
  <c r="F7" i="2"/>
  <c r="CJ82" i="1"/>
  <c r="CL82" i="1" s="1"/>
  <c r="CB218" i="1"/>
  <c r="BZ128" i="1"/>
  <c r="BZ231" i="1"/>
  <c r="AS220" i="1"/>
  <c r="CC220" i="1"/>
  <c r="CD220" i="1"/>
  <c r="CG220" i="1"/>
  <c r="CI220" i="1"/>
  <c r="CH220" i="1"/>
  <c r="CB220" i="1"/>
  <c r="CF220" i="1"/>
  <c r="BZ220" i="1"/>
  <c r="CE220" i="1"/>
  <c r="BY220" i="1"/>
  <c r="CA220" i="1"/>
  <c r="BX220" i="1"/>
  <c r="CC99" i="1"/>
  <c r="CH84" i="1"/>
  <c r="AS89" i="1"/>
  <c r="CI89" i="1"/>
  <c r="CH89" i="1"/>
  <c r="BZ89" i="1"/>
  <c r="CB89" i="1"/>
  <c r="CC89" i="1"/>
  <c r="CA89" i="1"/>
  <c r="CF89" i="1"/>
  <c r="CE89" i="1"/>
  <c r="BX89" i="1"/>
  <c r="BY89" i="1"/>
  <c r="CG89" i="1"/>
  <c r="CD89" i="1"/>
  <c r="AS75" i="1"/>
  <c r="CC75" i="1"/>
  <c r="CB75" i="1"/>
  <c r="BX75" i="1"/>
  <c r="CF75" i="1"/>
  <c r="CA75" i="1"/>
  <c r="BZ75" i="1"/>
  <c r="CI75" i="1"/>
  <c r="BY75" i="1"/>
  <c r="CE75" i="1"/>
  <c r="CG75" i="1"/>
  <c r="CH75" i="1"/>
  <c r="CD75" i="1"/>
  <c r="BZ72" i="1"/>
  <c r="P61" i="2" s="1"/>
  <c r="H61" i="2" s="1"/>
  <c r="CH72" i="1"/>
  <c r="AS26" i="1"/>
  <c r="BZ26" i="1"/>
  <c r="CC26" i="1"/>
  <c r="BX26" i="1"/>
  <c r="CE26" i="1"/>
  <c r="CB26" i="1"/>
  <c r="CI26" i="1"/>
  <c r="BY26" i="1"/>
  <c r="CA26" i="1"/>
  <c r="CF26" i="1"/>
  <c r="CG26" i="1"/>
  <c r="CH26" i="1"/>
  <c r="CD26" i="1"/>
  <c r="AS57" i="1"/>
  <c r="BZ57" i="1"/>
  <c r="CA57" i="1"/>
  <c r="BX57" i="1"/>
  <c r="CE57" i="1"/>
  <c r="CI57" i="1"/>
  <c r="CF57" i="1"/>
  <c r="CC57" i="1"/>
  <c r="BY57" i="1"/>
  <c r="CH57" i="1"/>
  <c r="CD57" i="1"/>
  <c r="CG57" i="1"/>
  <c r="CB57" i="1"/>
  <c r="AS147" i="1"/>
  <c r="BY147" i="1"/>
  <c r="CC147" i="1"/>
  <c r="CB147" i="1"/>
  <c r="BZ147" i="1"/>
  <c r="CI147" i="1"/>
  <c r="CH147" i="1"/>
  <c r="CF147" i="1"/>
  <c r="CA147" i="1"/>
  <c r="CG147" i="1"/>
  <c r="CE147" i="1"/>
  <c r="CD147" i="1"/>
  <c r="BX147" i="1"/>
  <c r="CD162" i="1"/>
  <c r="CA162" i="1"/>
  <c r="BX162" i="1"/>
  <c r="AS162" i="1"/>
  <c r="CH162" i="1"/>
  <c r="CE162" i="1"/>
  <c r="CC162" i="1"/>
  <c r="CI162" i="1"/>
  <c r="CB162" i="1"/>
  <c r="CG162" i="1"/>
  <c r="BZ162" i="1"/>
  <c r="CF162" i="1"/>
  <c r="BY162" i="1"/>
  <c r="CE170" i="1"/>
  <c r="CC170" i="1"/>
  <c r="CG176" i="1"/>
  <c r="BX176" i="1"/>
  <c r="CJ194" i="1"/>
  <c r="CL194" i="1" s="1"/>
  <c r="AS215" i="1"/>
  <c r="CG215" i="1"/>
  <c r="BY215" i="1"/>
  <c r="CE215" i="1"/>
  <c r="BX215" i="1"/>
  <c r="CD215" i="1"/>
  <c r="CC215" i="1"/>
  <c r="CH215" i="1"/>
  <c r="CA215" i="1"/>
  <c r="CF215" i="1"/>
  <c r="CB215" i="1"/>
  <c r="BZ215" i="1"/>
  <c r="CI215" i="1"/>
  <c r="AW269" i="1"/>
  <c r="AV8" i="1"/>
  <c r="CE54" i="1"/>
  <c r="CH54" i="1"/>
  <c r="BZ114" i="1"/>
  <c r="AS114" i="1"/>
  <c r="CD114" i="1"/>
  <c r="CC114" i="1"/>
  <c r="CE114" i="1"/>
  <c r="CG114" i="1"/>
  <c r="CF114" i="1"/>
  <c r="CH114" i="1"/>
  <c r="CB114" i="1"/>
  <c r="CA114" i="1"/>
  <c r="BX114" i="1"/>
  <c r="BY114" i="1"/>
  <c r="CI114" i="1"/>
  <c r="CA23" i="1"/>
  <c r="BX23" i="1"/>
  <c r="CF13" i="1"/>
  <c r="CD13" i="1"/>
  <c r="CJ88" i="1"/>
  <c r="CL88" i="1" s="1"/>
  <c r="BY68" i="1"/>
  <c r="CA68" i="1"/>
  <c r="CF130" i="1"/>
  <c r="CC130" i="1"/>
  <c r="AS151" i="1"/>
  <c r="BY151" i="1"/>
  <c r="BX151" i="1"/>
  <c r="CI151" i="1"/>
  <c r="CF151" i="1"/>
  <c r="CE151" i="1"/>
  <c r="CD151" i="1"/>
  <c r="CG151" i="1"/>
  <c r="BZ151" i="1"/>
  <c r="CC151" i="1"/>
  <c r="CH151" i="1"/>
  <c r="CB151" i="1"/>
  <c r="CA151" i="1"/>
  <c r="AS182" i="1"/>
  <c r="CI182" i="1"/>
  <c r="BZ182" i="1"/>
  <c r="CC182" i="1"/>
  <c r="BX182" i="1"/>
  <c r="CG182" i="1"/>
  <c r="CB182" i="1"/>
  <c r="CF182" i="1"/>
  <c r="CA182" i="1"/>
  <c r="CH182" i="1"/>
  <c r="CE182" i="1"/>
  <c r="CD182" i="1"/>
  <c r="BY182" i="1"/>
  <c r="AS174" i="1"/>
  <c r="CD174" i="1"/>
  <c r="CF174" i="1"/>
  <c r="CH174" i="1"/>
  <c r="CE174" i="1"/>
  <c r="BX174" i="1"/>
  <c r="CA174" i="1"/>
  <c r="CG174" i="1"/>
  <c r="CB174" i="1"/>
  <c r="CI174" i="1"/>
  <c r="BZ174" i="1"/>
  <c r="CC174" i="1"/>
  <c r="BY174" i="1"/>
  <c r="AS200" i="1"/>
  <c r="CB200" i="1"/>
  <c r="CH200" i="1"/>
  <c r="CF200" i="1"/>
  <c r="CG200" i="1"/>
  <c r="BZ200" i="1"/>
  <c r="BY200" i="1"/>
  <c r="CD200" i="1"/>
  <c r="CA200" i="1"/>
  <c r="CI200" i="1"/>
  <c r="CE200" i="1"/>
  <c r="CC200" i="1"/>
  <c r="BX200" i="1"/>
  <c r="BZ218" i="1"/>
  <c r="CC218" i="1"/>
  <c r="AS236" i="1"/>
  <c r="CB236" i="1"/>
  <c r="BX236" i="1"/>
  <c r="CG236" i="1"/>
  <c r="CF236" i="1"/>
  <c r="CI236" i="1"/>
  <c r="CC236" i="1"/>
  <c r="CA236" i="1"/>
  <c r="BZ236" i="1"/>
  <c r="CH236" i="1"/>
  <c r="CE236" i="1"/>
  <c r="BY236" i="1"/>
  <c r="CD236" i="1"/>
  <c r="AS224" i="1"/>
  <c r="BY224" i="1"/>
  <c r="CA224" i="1"/>
  <c r="CC224" i="1"/>
  <c r="CH224" i="1"/>
  <c r="BX224" i="1"/>
  <c r="CF224" i="1"/>
  <c r="CE224" i="1"/>
  <c r="BZ224" i="1"/>
  <c r="CD224" i="1"/>
  <c r="CB224" i="1"/>
  <c r="CG224" i="1"/>
  <c r="CI224" i="1"/>
  <c r="CH41" i="1"/>
  <c r="CD41" i="1"/>
  <c r="CF70" i="1"/>
  <c r="CB70" i="1"/>
  <c r="CF19" i="1"/>
  <c r="CD19" i="1"/>
  <c r="CF120" i="1"/>
  <c r="CI120" i="1"/>
  <c r="AS25" i="1"/>
  <c r="CC25" i="1"/>
  <c r="BX25" i="1"/>
  <c r="CA25" i="1"/>
  <c r="CI25" i="1"/>
  <c r="CH25" i="1"/>
  <c r="BY25" i="1"/>
  <c r="CB25" i="1"/>
  <c r="CF25" i="1"/>
  <c r="BZ25" i="1"/>
  <c r="CG25" i="1"/>
  <c r="CD25" i="1"/>
  <c r="CE25" i="1"/>
  <c r="CE35" i="1"/>
  <c r="CD35" i="1"/>
  <c r="CJ17" i="1"/>
  <c r="CL17" i="1" s="1"/>
  <c r="BZ104" i="1"/>
  <c r="CA104" i="1"/>
  <c r="BZ116" i="1"/>
  <c r="AS116" i="1"/>
  <c r="CC116" i="1"/>
  <c r="CD116" i="1"/>
  <c r="CG116" i="1"/>
  <c r="CA116" i="1"/>
  <c r="CE116" i="1"/>
  <c r="BY116" i="1"/>
  <c r="CH116" i="1"/>
  <c r="CF116" i="1"/>
  <c r="BX116" i="1"/>
  <c r="CI116" i="1"/>
  <c r="CB116" i="1"/>
  <c r="CF56" i="1"/>
  <c r="CC56" i="1"/>
  <c r="AS109" i="1"/>
  <c r="CI109" i="1"/>
  <c r="CA109" i="1"/>
  <c r="CB109" i="1"/>
  <c r="CG109" i="1"/>
  <c r="CC109" i="1"/>
  <c r="CD109" i="1"/>
  <c r="CE109" i="1"/>
  <c r="CF109" i="1"/>
  <c r="BX109" i="1"/>
  <c r="CJ109" i="1" s="1"/>
  <c r="CL109" i="1" s="1"/>
  <c r="BZ109" i="1"/>
  <c r="CH109" i="1"/>
  <c r="BY109" i="1"/>
  <c r="AS98" i="1"/>
  <c r="CC98" i="1"/>
  <c r="CB98" i="1"/>
  <c r="BY98" i="1"/>
  <c r="BZ98" i="1"/>
  <c r="CG98" i="1"/>
  <c r="CE98" i="1"/>
  <c r="CF98" i="1"/>
  <c r="CA98" i="1"/>
  <c r="BX98" i="1"/>
  <c r="CI98" i="1"/>
  <c r="CH98" i="1"/>
  <c r="CD98" i="1"/>
  <c r="CE128" i="1"/>
  <c r="CC128" i="1"/>
  <c r="AS184" i="1"/>
  <c r="CC184" i="1"/>
  <c r="CG184" i="1"/>
  <c r="BX184" i="1"/>
  <c r="CF184" i="1"/>
  <c r="CB184" i="1"/>
  <c r="CI184" i="1"/>
  <c r="BY184" i="1"/>
  <c r="CA184" i="1"/>
  <c r="CH184" i="1"/>
  <c r="CE184" i="1"/>
  <c r="BZ184" i="1"/>
  <c r="CD184" i="1"/>
  <c r="CG231" i="1"/>
  <c r="CE231" i="1"/>
  <c r="AS249" i="1"/>
  <c r="CD249" i="1"/>
  <c r="BY249" i="1"/>
  <c r="CJ249" i="1" s="1"/>
  <c r="CE249" i="1"/>
  <c r="CC249" i="1"/>
  <c r="BZ249" i="1"/>
  <c r="CG249" i="1"/>
  <c r="CH249" i="1"/>
  <c r="CF249" i="1"/>
  <c r="CA249" i="1"/>
  <c r="CI249" i="1"/>
  <c r="CB249" i="1"/>
  <c r="CA95" i="1"/>
  <c r="CF95" i="1"/>
  <c r="CE74" i="1"/>
  <c r="CH74" i="1"/>
  <c r="AS102" i="1"/>
  <c r="CC102" i="1"/>
  <c r="CB102" i="1"/>
  <c r="CA102" i="1"/>
  <c r="BX102" i="1"/>
  <c r="CG102" i="1"/>
  <c r="CH102" i="1"/>
  <c r="CD102" i="1"/>
  <c r="BZ102" i="1"/>
  <c r="CI102" i="1"/>
  <c r="BY102" i="1"/>
  <c r="CF102" i="1"/>
  <c r="CE102" i="1"/>
  <c r="AV60" i="1"/>
  <c r="BV60" i="1" s="1"/>
  <c r="P21" i="2"/>
  <c r="H21" i="2" s="1"/>
  <c r="AS91" i="1"/>
  <c r="CH91" i="1"/>
  <c r="CI91" i="1"/>
  <c r="CA91" i="1"/>
  <c r="BX91" i="1"/>
  <c r="BY91" i="1"/>
  <c r="CF91" i="1"/>
  <c r="CG91" i="1"/>
  <c r="BZ91" i="1"/>
  <c r="CB91" i="1"/>
  <c r="CD91" i="1"/>
  <c r="CE91" i="1"/>
  <c r="CC91" i="1"/>
  <c r="AS14" i="1"/>
  <c r="CI14" i="1"/>
  <c r="BZ14" i="1"/>
  <c r="BX14" i="1"/>
  <c r="CA14" i="1"/>
  <c r="CE14" i="1"/>
  <c r="BY14" i="1"/>
  <c r="CD14" i="1"/>
  <c r="CH14" i="1"/>
  <c r="CG14" i="1"/>
  <c r="CC14" i="1"/>
  <c r="CB14" i="1"/>
  <c r="CF14" i="1"/>
  <c r="CD58" i="1"/>
  <c r="CH58" i="1"/>
  <c r="AS38" i="1"/>
  <c r="CF38" i="1"/>
  <c r="CH38" i="1"/>
  <c r="BZ38" i="1"/>
  <c r="P38" i="2" s="1"/>
  <c r="H38" i="2" s="1"/>
  <c r="CG38" i="1"/>
  <c r="CA38" i="1"/>
  <c r="CE38" i="1"/>
  <c r="CC38" i="1"/>
  <c r="CD38" i="1"/>
  <c r="BX38" i="1"/>
  <c r="CJ38" i="1" s="1"/>
  <c r="CL38" i="1" s="1"/>
  <c r="CB38" i="1"/>
  <c r="CI38" i="1"/>
  <c r="BY38" i="1"/>
  <c r="BZ62" i="1"/>
  <c r="CB62" i="1"/>
  <c r="CG50" i="1"/>
  <c r="CB50" i="1"/>
  <c r="CF11" i="1"/>
  <c r="AS11" i="1"/>
  <c r="CE11" i="1"/>
  <c r="CG11" i="1"/>
  <c r="CI11" i="1"/>
  <c r="CC11" i="1"/>
  <c r="BY11" i="1"/>
  <c r="CH11" i="1"/>
  <c r="BZ11" i="1"/>
  <c r="CD11" i="1"/>
  <c r="BX11" i="1"/>
  <c r="CJ11" i="1" s="1"/>
  <c r="CL11" i="1" s="1"/>
  <c r="CB11" i="1"/>
  <c r="CA11" i="1"/>
  <c r="AS47" i="1"/>
  <c r="CC47" i="1"/>
  <c r="CD47" i="1"/>
  <c r="CB47" i="1"/>
  <c r="BY47" i="1"/>
  <c r="BX47" i="1"/>
  <c r="CE47" i="1"/>
  <c r="CH47" i="1"/>
  <c r="CA47" i="1"/>
  <c r="BZ47" i="1"/>
  <c r="CI47" i="1"/>
  <c r="CF47" i="1"/>
  <c r="CG47" i="1"/>
  <c r="BZ100" i="1"/>
  <c r="CA100" i="1"/>
  <c r="CG99" i="1"/>
  <c r="BY99" i="1"/>
  <c r="CJ164" i="1"/>
  <c r="CL164" i="1" s="1"/>
  <c r="CG78" i="1"/>
  <c r="CD78" i="1"/>
  <c r="BY84" i="1"/>
  <c r="CI84" i="1"/>
  <c r="BZ90" i="1"/>
  <c r="CH90" i="1"/>
  <c r="BZ178" i="1"/>
  <c r="BX178" i="1"/>
  <c r="BY214" i="1"/>
  <c r="CB214" i="1"/>
  <c r="CD52" i="1"/>
  <c r="AS52" i="1"/>
  <c r="CH52" i="1"/>
  <c r="BX52" i="1"/>
  <c r="CF52" i="1"/>
  <c r="CB52" i="1"/>
  <c r="CI52" i="1"/>
  <c r="BZ52" i="1"/>
  <c r="CC52" i="1"/>
  <c r="CE52" i="1"/>
  <c r="CG52" i="1"/>
  <c r="CA52" i="1"/>
  <c r="BY52" i="1"/>
  <c r="CF80" i="1"/>
  <c r="CC80" i="1"/>
  <c r="CF86" i="1"/>
  <c r="CC86" i="1"/>
  <c r="CF92" i="1"/>
  <c r="CC92" i="1"/>
  <c r="CB107" i="1"/>
  <c r="BX107" i="1"/>
  <c r="AS179" i="1"/>
  <c r="CB179" i="1"/>
  <c r="CC179" i="1"/>
  <c r="CI179" i="1"/>
  <c r="CH179" i="1"/>
  <c r="CF179" i="1"/>
  <c r="CD179" i="1"/>
  <c r="BZ179" i="1"/>
  <c r="BX179" i="1"/>
  <c r="CE179" i="1"/>
  <c r="CG179" i="1"/>
  <c r="BY179" i="1"/>
  <c r="CA179" i="1"/>
  <c r="CE168" i="1"/>
  <c r="CC168" i="1"/>
  <c r="AS135" i="1"/>
  <c r="CB135" i="1"/>
  <c r="CA135" i="1"/>
  <c r="CE135" i="1"/>
  <c r="CC135" i="1"/>
  <c r="BZ135" i="1"/>
  <c r="CD135" i="1"/>
  <c r="BY135" i="1"/>
  <c r="CG135" i="1"/>
  <c r="CH135" i="1"/>
  <c r="BX135" i="1"/>
  <c r="CJ135" i="1" s="1"/>
  <c r="CL135" i="1" s="1"/>
  <c r="CF135" i="1"/>
  <c r="CI135" i="1"/>
  <c r="P10" i="2"/>
  <c r="H10" i="2" s="1"/>
  <c r="AS201" i="1"/>
  <c r="CF201" i="1"/>
  <c r="CI201" i="1"/>
  <c r="BZ201" i="1"/>
  <c r="CB201" i="1"/>
  <c r="CE201" i="1"/>
  <c r="CG201" i="1"/>
  <c r="CD201" i="1"/>
  <c r="BX201" i="1"/>
  <c r="CA201" i="1"/>
  <c r="BY201" i="1"/>
  <c r="CC201" i="1"/>
  <c r="CH201" i="1"/>
  <c r="I18" i="2"/>
  <c r="J18" i="2"/>
  <c r="L18" i="2" s="1"/>
  <c r="AS51" i="1"/>
  <c r="CC51" i="1"/>
  <c r="BX51" i="1"/>
  <c r="CA51" i="1"/>
  <c r="CB51" i="1"/>
  <c r="CF51" i="1"/>
  <c r="CG51" i="1"/>
  <c r="CD51" i="1"/>
  <c r="BZ51" i="1"/>
  <c r="BY51" i="1"/>
  <c r="CH51" i="1"/>
  <c r="CI51" i="1"/>
  <c r="CE51" i="1"/>
  <c r="CG170" i="1"/>
  <c r="AS143" i="1"/>
  <c r="CB143" i="1"/>
  <c r="BY143" i="1"/>
  <c r="CE143" i="1"/>
  <c r="CC143" i="1"/>
  <c r="CH143" i="1"/>
  <c r="BZ143" i="1"/>
  <c r="CA143" i="1"/>
  <c r="CF143" i="1"/>
  <c r="CI143" i="1"/>
  <c r="CG143" i="1"/>
  <c r="CD143" i="1"/>
  <c r="BX143" i="1"/>
  <c r="CH13" i="1"/>
  <c r="AS152" i="1"/>
  <c r="CF152" i="1"/>
  <c r="BX152" i="1"/>
  <c r="BZ152" i="1"/>
  <c r="CC152" i="1"/>
  <c r="BY152" i="1"/>
  <c r="CG152" i="1"/>
  <c r="CB152" i="1"/>
  <c r="CE152" i="1"/>
  <c r="CA152" i="1"/>
  <c r="CD152" i="1"/>
  <c r="CI152" i="1"/>
  <c r="CH152" i="1"/>
  <c r="CE218" i="1"/>
  <c r="CA70" i="1"/>
  <c r="AS123" i="1"/>
  <c r="CG123" i="1"/>
  <c r="CC123" i="1"/>
  <c r="BZ123" i="1"/>
  <c r="BX123" i="1"/>
  <c r="CF123" i="1"/>
  <c r="CI123" i="1"/>
  <c r="CE123" i="1"/>
  <c r="BY123" i="1"/>
  <c r="CB123" i="1"/>
  <c r="CH123" i="1"/>
  <c r="CD123" i="1"/>
  <c r="CA123" i="1"/>
  <c r="CI19" i="1"/>
  <c r="AS61" i="1"/>
  <c r="CB61" i="1"/>
  <c r="CC61" i="1"/>
  <c r="CE61" i="1"/>
  <c r="CH61" i="1"/>
  <c r="CF61" i="1"/>
  <c r="BY61" i="1"/>
  <c r="CG61" i="1"/>
  <c r="BZ61" i="1"/>
  <c r="CD61" i="1"/>
  <c r="CA61" i="1"/>
  <c r="CI61" i="1"/>
  <c r="BX61" i="1"/>
  <c r="CJ61" i="1" s="1"/>
  <c r="CL61" i="1" s="1"/>
  <c r="CB128" i="1"/>
  <c r="AS32" i="1"/>
  <c r="CF32" i="1"/>
  <c r="CI32" i="1"/>
  <c r="CD32" i="1"/>
  <c r="CC32" i="1"/>
  <c r="BZ32" i="1"/>
  <c r="P46" i="2" s="1"/>
  <c r="H46" i="2" s="1"/>
  <c r="CE32" i="1"/>
  <c r="CB32" i="1"/>
  <c r="CG32" i="1"/>
  <c r="BX32" i="1"/>
  <c r="BY32" i="1"/>
  <c r="CH32" i="1"/>
  <c r="CA32" i="1"/>
  <c r="CD74" i="1"/>
  <c r="AS10" i="1"/>
  <c r="CC10" i="1"/>
  <c r="CB10" i="1"/>
  <c r="BY10" i="1"/>
  <c r="CG10" i="1"/>
  <c r="CE10" i="1"/>
  <c r="CI10" i="1"/>
  <c r="CD10" i="1"/>
  <c r="CA10" i="1"/>
  <c r="BX10" i="1"/>
  <c r="BZ10" i="1"/>
  <c r="CH10" i="1"/>
  <c r="CF10" i="1"/>
  <c r="CG58" i="1"/>
  <c r="CD72" i="1"/>
  <c r="CC72" i="1"/>
  <c r="AS103" i="1"/>
  <c r="CC103" i="1"/>
  <c r="CD103" i="1"/>
  <c r="CI103" i="1"/>
  <c r="CG103" i="1"/>
  <c r="BZ103" i="1"/>
  <c r="BX103" i="1"/>
  <c r="CB103" i="1"/>
  <c r="BY103" i="1"/>
  <c r="CA103" i="1"/>
  <c r="CE103" i="1"/>
  <c r="CF103" i="1"/>
  <c r="CH103" i="1"/>
  <c r="AS171" i="1"/>
  <c r="CC171" i="1"/>
  <c r="CB171" i="1"/>
  <c r="CI171" i="1"/>
  <c r="CA171" i="1"/>
  <c r="CH171" i="1"/>
  <c r="BY171" i="1"/>
  <c r="BX171" i="1"/>
  <c r="CF171" i="1"/>
  <c r="CD171" i="1"/>
  <c r="BZ171" i="1"/>
  <c r="CE171" i="1"/>
  <c r="CG171" i="1"/>
  <c r="AS198" i="1"/>
  <c r="BX198" i="1"/>
  <c r="CH198" i="1"/>
  <c r="BY198" i="1"/>
  <c r="CF198" i="1"/>
  <c r="CA198" i="1"/>
  <c r="CB198" i="1"/>
  <c r="CI198" i="1"/>
  <c r="CG198" i="1"/>
  <c r="CD198" i="1"/>
  <c r="CC198" i="1"/>
  <c r="BZ198" i="1"/>
  <c r="CE198" i="1"/>
  <c r="BX170" i="1"/>
  <c r="CI170" i="1"/>
  <c r="BZ176" i="1"/>
  <c r="CD176" i="1"/>
  <c r="AS222" i="1"/>
  <c r="CB222" i="1"/>
  <c r="CI222" i="1"/>
  <c r="CE222" i="1"/>
  <c r="CG222" i="1"/>
  <c r="CC222" i="1"/>
  <c r="CD222" i="1"/>
  <c r="BX222" i="1"/>
  <c r="CH222" i="1"/>
  <c r="CA222" i="1"/>
  <c r="CF222" i="1"/>
  <c r="BY222" i="1"/>
  <c r="BZ222" i="1"/>
  <c r="AS225" i="1"/>
  <c r="CB225" i="1"/>
  <c r="BZ225" i="1"/>
  <c r="BY225" i="1"/>
  <c r="CE225" i="1"/>
  <c r="CH225" i="1"/>
  <c r="BX225" i="1"/>
  <c r="CI225" i="1"/>
  <c r="CG225" i="1"/>
  <c r="CD225" i="1"/>
  <c r="CC225" i="1"/>
  <c r="CA225" i="1"/>
  <c r="CF225" i="1"/>
  <c r="BZ54" i="1"/>
  <c r="CC54" i="1"/>
  <c r="CJ54" i="1" s="1"/>
  <c r="CL54" i="1" s="1"/>
  <c r="AS238" i="1"/>
  <c r="CC238" i="1"/>
  <c r="CB238" i="1"/>
  <c r="CH238" i="1"/>
  <c r="CG238" i="1"/>
  <c r="BZ238" i="1"/>
  <c r="CI238" i="1"/>
  <c r="CE238" i="1"/>
  <c r="CD238" i="1"/>
  <c r="BX238" i="1"/>
  <c r="BY238" i="1"/>
  <c r="CF238" i="1"/>
  <c r="CA238" i="1"/>
  <c r="CE23" i="1"/>
  <c r="CD23" i="1"/>
  <c r="BZ13" i="1"/>
  <c r="CB13" i="1"/>
  <c r="AS193" i="1"/>
  <c r="CD193" i="1"/>
  <c r="CB193" i="1"/>
  <c r="CG193" i="1"/>
  <c r="CC193" i="1"/>
  <c r="CA193" i="1"/>
  <c r="CH193" i="1"/>
  <c r="BX193" i="1"/>
  <c r="CF193" i="1"/>
  <c r="CI193" i="1"/>
  <c r="CE193" i="1"/>
  <c r="BZ193" i="1"/>
  <c r="BY193" i="1"/>
  <c r="BZ9" i="1"/>
  <c r="AS9" i="1"/>
  <c r="CA9" i="1"/>
  <c r="CG9" i="1"/>
  <c r="CD9" i="1"/>
  <c r="BY9" i="1"/>
  <c r="CE9" i="1"/>
  <c r="CF9" i="1"/>
  <c r="BX9" i="1"/>
  <c r="CI9" i="1"/>
  <c r="CB9" i="1"/>
  <c r="CC9" i="1"/>
  <c r="CH9" i="1"/>
  <c r="AS46" i="1"/>
  <c r="CD46" i="1"/>
  <c r="BX46" i="1"/>
  <c r="CC46" i="1"/>
  <c r="CB46" i="1"/>
  <c r="BY46" i="1"/>
  <c r="CH46" i="1"/>
  <c r="CG46" i="1"/>
  <c r="CF46" i="1"/>
  <c r="BZ46" i="1"/>
  <c r="CE46" i="1"/>
  <c r="CA46" i="1"/>
  <c r="CI46" i="1"/>
  <c r="AS69" i="1"/>
  <c r="BY69" i="1"/>
  <c r="CB69" i="1"/>
  <c r="CD69" i="1"/>
  <c r="CI69" i="1"/>
  <c r="CC69" i="1"/>
  <c r="BX69" i="1"/>
  <c r="CA69" i="1"/>
  <c r="BZ69" i="1"/>
  <c r="CE69" i="1"/>
  <c r="CF69" i="1"/>
  <c r="CH69" i="1"/>
  <c r="CG69" i="1"/>
  <c r="AS87" i="1"/>
  <c r="CH87" i="1"/>
  <c r="CI87" i="1"/>
  <c r="BY87" i="1"/>
  <c r="CG87" i="1"/>
  <c r="CD87" i="1"/>
  <c r="CA87" i="1"/>
  <c r="BX87" i="1"/>
  <c r="CJ87" i="1" s="1"/>
  <c r="CL87" i="1" s="1"/>
  <c r="BZ87" i="1"/>
  <c r="CB87" i="1"/>
  <c r="CE87" i="1"/>
  <c r="CF87" i="1"/>
  <c r="CC87" i="1"/>
  <c r="BX68" i="1"/>
  <c r="CJ68" i="1" s="1"/>
  <c r="CL68" i="1" s="1"/>
  <c r="CG68" i="1"/>
  <c r="CG156" i="1"/>
  <c r="CE156" i="1"/>
  <c r="AS156" i="1"/>
  <c r="CH156" i="1"/>
  <c r="BZ156" i="1"/>
  <c r="BX156" i="1"/>
  <c r="CC156" i="1"/>
  <c r="CI156" i="1"/>
  <c r="CF156" i="1"/>
  <c r="BY156" i="1"/>
  <c r="CB156" i="1"/>
  <c r="CA156" i="1"/>
  <c r="CD156" i="1"/>
  <c r="BY130" i="1"/>
  <c r="CI130" i="1"/>
  <c r="AS158" i="1"/>
  <c r="BY158" i="1"/>
  <c r="CA158" i="1"/>
  <c r="BZ158" i="1"/>
  <c r="CD158" i="1"/>
  <c r="CG158" i="1"/>
  <c r="CF158" i="1"/>
  <c r="CI158" i="1"/>
  <c r="CH158" i="1"/>
  <c r="CE158" i="1"/>
  <c r="CC158" i="1"/>
  <c r="BX158" i="1"/>
  <c r="CB158" i="1"/>
  <c r="CG218" i="1"/>
  <c r="CI218" i="1"/>
  <c r="AS246" i="1"/>
  <c r="CI246" i="1"/>
  <c r="CE246" i="1"/>
  <c r="CB246" i="1"/>
  <c r="BZ246" i="1"/>
  <c r="BY246" i="1"/>
  <c r="CG246" i="1"/>
  <c r="CH246" i="1"/>
  <c r="BX246" i="1"/>
  <c r="CF246" i="1"/>
  <c r="CA246" i="1"/>
  <c r="CC246" i="1"/>
  <c r="CD246" i="1"/>
  <c r="AS221" i="1"/>
  <c r="CA221" i="1"/>
  <c r="CF221" i="1"/>
  <c r="CE221" i="1"/>
  <c r="BY221" i="1"/>
  <c r="BZ221" i="1"/>
  <c r="CD221" i="1"/>
  <c r="BX221" i="1"/>
  <c r="CH221" i="1"/>
  <c r="CB221" i="1"/>
  <c r="CI221" i="1"/>
  <c r="CG221" i="1"/>
  <c r="CC221" i="1"/>
  <c r="CA41" i="1"/>
  <c r="BX41" i="1"/>
  <c r="BX70" i="1"/>
  <c r="CH70" i="1"/>
  <c r="AS125" i="1"/>
  <c r="CF125" i="1"/>
  <c r="CH125" i="1"/>
  <c r="BX125" i="1"/>
  <c r="BZ125" i="1"/>
  <c r="CG125" i="1"/>
  <c r="CI125" i="1"/>
  <c r="CE125" i="1"/>
  <c r="CC125" i="1"/>
  <c r="CD125" i="1"/>
  <c r="CA125" i="1"/>
  <c r="BY125" i="1"/>
  <c r="CB125" i="1"/>
  <c r="CH144" i="1"/>
  <c r="BX144" i="1"/>
  <c r="CG144" i="1"/>
  <c r="AS144" i="1"/>
  <c r="CA144" i="1"/>
  <c r="BZ144" i="1"/>
  <c r="CC144" i="1"/>
  <c r="CI144" i="1"/>
  <c r="CF144" i="1"/>
  <c r="CD144" i="1"/>
  <c r="CE144" i="1"/>
  <c r="BY144" i="1"/>
  <c r="CB144" i="1"/>
  <c r="AS206" i="1"/>
  <c r="CH206" i="1"/>
  <c r="CB206" i="1"/>
  <c r="CD206" i="1"/>
  <c r="BZ206" i="1"/>
  <c r="CC206" i="1"/>
  <c r="BX206" i="1"/>
  <c r="CG206" i="1"/>
  <c r="CF206" i="1"/>
  <c r="CI206" i="1"/>
  <c r="BY206" i="1"/>
  <c r="CA206" i="1"/>
  <c r="CE206" i="1"/>
  <c r="BY19" i="1"/>
  <c r="CH19" i="1"/>
  <c r="AY269" i="1"/>
  <c r="BL275" i="1" s="1"/>
  <c r="BL279" i="1" s="1"/>
  <c r="P20" i="2"/>
  <c r="H20" i="2" s="1"/>
  <c r="BX120" i="1"/>
  <c r="CA120" i="1"/>
  <c r="CE33" i="1"/>
  <c r="CF33" i="1"/>
  <c r="AS33" i="1"/>
  <c r="CA33" i="1"/>
  <c r="CC33" i="1"/>
  <c r="CH33" i="1"/>
  <c r="CG33" i="1"/>
  <c r="CB33" i="1"/>
  <c r="CI33" i="1"/>
  <c r="CD33" i="1"/>
  <c r="BZ33" i="1"/>
  <c r="BX33" i="1"/>
  <c r="BY33" i="1"/>
  <c r="CH104" i="1"/>
  <c r="CG104" i="1"/>
  <c r="BZ56" i="1"/>
  <c r="P51" i="2" s="1"/>
  <c r="H51" i="2" s="1"/>
  <c r="CI56" i="1"/>
  <c r="CJ96" i="1"/>
  <c r="CL96" i="1" s="1"/>
  <c r="CF128" i="1"/>
  <c r="CI128" i="1"/>
  <c r="AS167" i="1"/>
  <c r="CE167" i="1"/>
  <c r="CI167" i="1"/>
  <c r="CD167" i="1"/>
  <c r="BY167" i="1"/>
  <c r="CG167" i="1"/>
  <c r="CF167" i="1"/>
  <c r="CH167" i="1"/>
  <c r="CB167" i="1"/>
  <c r="BZ167" i="1"/>
  <c r="BX167" i="1"/>
  <c r="CA167" i="1"/>
  <c r="CC167" i="1"/>
  <c r="AS161" i="1"/>
  <c r="CC161" i="1"/>
  <c r="CB161" i="1"/>
  <c r="BY161" i="1"/>
  <c r="CG161" i="1"/>
  <c r="CE161" i="1"/>
  <c r="CD161" i="1"/>
  <c r="CI161" i="1"/>
  <c r="CH161" i="1"/>
  <c r="CA161" i="1"/>
  <c r="BX161" i="1"/>
  <c r="CJ161" i="1" s="1"/>
  <c r="CL161" i="1" s="1"/>
  <c r="CF161" i="1"/>
  <c r="BZ161" i="1"/>
  <c r="CA231" i="1"/>
  <c r="CC231" i="1"/>
  <c r="AS28" i="1"/>
  <c r="CD28" i="1"/>
  <c r="CH28" i="1"/>
  <c r="CC28" i="1"/>
  <c r="CE28" i="1"/>
  <c r="CB28" i="1"/>
  <c r="CG28" i="1"/>
  <c r="BX28" i="1"/>
  <c r="CJ28" i="1" s="1"/>
  <c r="CL28" i="1" s="1"/>
  <c r="CI28" i="1"/>
  <c r="BZ28" i="1"/>
  <c r="CA28" i="1"/>
  <c r="CF28" i="1"/>
  <c r="BY28" i="1"/>
  <c r="CB95" i="1"/>
  <c r="BX95" i="1"/>
  <c r="BX74" i="1"/>
  <c r="CC74" i="1"/>
  <c r="AS187" i="1"/>
  <c r="CI187" i="1"/>
  <c r="CD187" i="1"/>
  <c r="CH187" i="1"/>
  <c r="CC187" i="1"/>
  <c r="CF187" i="1"/>
  <c r="CA187" i="1"/>
  <c r="CB187" i="1"/>
  <c r="CG187" i="1"/>
  <c r="CE187" i="1"/>
  <c r="BY187" i="1"/>
  <c r="BX187" i="1"/>
  <c r="BZ187" i="1"/>
  <c r="AS247" i="1"/>
  <c r="CC247" i="1"/>
  <c r="CF247" i="1"/>
  <c r="BX247" i="1"/>
  <c r="BY247" i="1"/>
  <c r="CE247" i="1"/>
  <c r="CA247" i="1"/>
  <c r="CI247" i="1"/>
  <c r="CD247" i="1"/>
  <c r="CH247" i="1"/>
  <c r="BZ247" i="1"/>
  <c r="CB247" i="1"/>
  <c r="CG247" i="1"/>
  <c r="P43" i="2"/>
  <c r="H43" i="2" s="1"/>
  <c r="BY58" i="1"/>
  <c r="CJ58" i="1" s="1"/>
  <c r="CL58" i="1" s="1"/>
  <c r="CC58" i="1"/>
  <c r="CD62" i="1"/>
  <c r="CH62" i="1"/>
  <c r="CE105" i="1"/>
  <c r="CC105" i="1"/>
  <c r="AS105" i="1"/>
  <c r="CA105" i="1"/>
  <c r="CD105" i="1"/>
  <c r="BZ105" i="1"/>
  <c r="CG105" i="1"/>
  <c r="BX105" i="1"/>
  <c r="CJ105" i="1" s="1"/>
  <c r="CL105" i="1" s="1"/>
  <c r="BY105" i="1"/>
  <c r="CB105" i="1"/>
  <c r="CH105" i="1"/>
  <c r="CF105" i="1"/>
  <c r="CI105" i="1"/>
  <c r="BX50" i="1"/>
  <c r="CJ50" i="1" s="1"/>
  <c r="CL50" i="1" s="1"/>
  <c r="CD50" i="1"/>
  <c r="AS12" i="1"/>
  <c r="CD12" i="1"/>
  <c r="CH12" i="1"/>
  <c r="CG12" i="1"/>
  <c r="BX12" i="1"/>
  <c r="BZ12" i="1"/>
  <c r="CE12" i="1"/>
  <c r="CA12" i="1"/>
  <c r="CC12" i="1"/>
  <c r="BY12" i="1"/>
  <c r="CB12" i="1"/>
  <c r="CI12" i="1"/>
  <c r="CF12" i="1"/>
  <c r="CH100" i="1"/>
  <c r="CG100" i="1"/>
  <c r="CI124" i="1"/>
  <c r="CH99" i="1"/>
  <c r="CF99" i="1"/>
  <c r="CE78" i="1"/>
  <c r="CB78" i="1"/>
  <c r="CA84" i="1"/>
  <c r="BX84" i="1"/>
  <c r="CF90" i="1"/>
  <c r="CC90" i="1"/>
  <c r="AS204" i="1"/>
  <c r="CB204" i="1"/>
  <c r="CA204" i="1"/>
  <c r="CE204" i="1"/>
  <c r="BY204" i="1"/>
  <c r="CH204" i="1"/>
  <c r="CC204" i="1"/>
  <c r="CD204" i="1"/>
  <c r="BZ204" i="1"/>
  <c r="CI204" i="1"/>
  <c r="BX204" i="1"/>
  <c r="CJ204" i="1" s="1"/>
  <c r="CL204" i="1" s="1"/>
  <c r="CG204" i="1"/>
  <c r="CF204" i="1"/>
  <c r="CE178" i="1"/>
  <c r="CD178" i="1"/>
  <c r="CJ132" i="1"/>
  <c r="CL132" i="1" s="1"/>
  <c r="CE214" i="1"/>
  <c r="CD214" i="1"/>
  <c r="BY80" i="1"/>
  <c r="CI80" i="1"/>
  <c r="BY86" i="1"/>
  <c r="CI86" i="1"/>
  <c r="BY92" i="1"/>
  <c r="BX92" i="1"/>
  <c r="CE93" i="1"/>
  <c r="CC93" i="1"/>
  <c r="AS93" i="1"/>
  <c r="CA93" i="1"/>
  <c r="CD93" i="1"/>
  <c r="CH93" i="1"/>
  <c r="BZ93" i="1"/>
  <c r="BX93" i="1"/>
  <c r="BY93" i="1"/>
  <c r="CG93" i="1"/>
  <c r="CB93" i="1"/>
  <c r="CF93" i="1"/>
  <c r="CI93" i="1"/>
  <c r="CI107" i="1"/>
  <c r="CD107" i="1"/>
  <c r="BX168" i="1"/>
  <c r="CI168" i="1"/>
  <c r="J58" i="2"/>
  <c r="L58" i="2" s="1"/>
  <c r="I58" i="2"/>
  <c r="AS217" i="1"/>
  <c r="BZ217" i="1"/>
  <c r="CB217" i="1"/>
  <c r="CF217" i="1"/>
  <c r="CE217" i="1"/>
  <c r="CH217" i="1"/>
  <c r="BY217" i="1"/>
  <c r="BX217" i="1"/>
  <c r="CG217" i="1"/>
  <c r="CD217" i="1"/>
  <c r="CA217" i="1"/>
  <c r="CC217" i="1"/>
  <c r="CI217" i="1"/>
  <c r="AS165" i="1"/>
  <c r="CC165" i="1"/>
  <c r="BY165" i="1"/>
  <c r="BX165" i="1"/>
  <c r="CG165" i="1"/>
  <c r="CE165" i="1"/>
  <c r="CI165" i="1"/>
  <c r="BZ165" i="1"/>
  <c r="CD165" i="1"/>
  <c r="CH165" i="1"/>
  <c r="CA165" i="1"/>
  <c r="CF165" i="1"/>
  <c r="CB165" i="1"/>
  <c r="AS235" i="1"/>
  <c r="BZ235" i="1"/>
  <c r="BY235" i="1"/>
  <c r="CC235" i="1"/>
  <c r="CF235" i="1"/>
  <c r="CA235" i="1"/>
  <c r="CH235" i="1"/>
  <c r="CE235" i="1"/>
  <c r="BX235" i="1"/>
  <c r="CB235" i="1"/>
  <c r="CD235" i="1"/>
  <c r="CG235" i="1"/>
  <c r="CI235" i="1"/>
  <c r="AS59" i="1"/>
  <c r="CI59" i="1"/>
  <c r="CH59" i="1"/>
  <c r="CE59" i="1"/>
  <c r="CA59" i="1"/>
  <c r="BY59" i="1"/>
  <c r="CB59" i="1"/>
  <c r="CG59" i="1"/>
  <c r="CD59" i="1"/>
  <c r="CF59" i="1"/>
  <c r="BZ59" i="1"/>
  <c r="P53" i="2" s="1"/>
  <c r="H53" i="2" s="1"/>
  <c r="BX59" i="1"/>
  <c r="CC59" i="1"/>
  <c r="AS48" i="1"/>
  <c r="CH48" i="1"/>
  <c r="BZ48" i="1"/>
  <c r="CB48" i="1"/>
  <c r="CD48" i="1"/>
  <c r="CF48" i="1"/>
  <c r="BX48" i="1"/>
  <c r="CA48" i="1"/>
  <c r="BY48" i="1"/>
  <c r="CG48" i="1"/>
  <c r="CI48" i="1"/>
  <c r="CE48" i="1"/>
  <c r="CC48" i="1"/>
  <c r="AS149" i="1"/>
  <c r="CE149" i="1"/>
  <c r="BX149" i="1"/>
  <c r="CI149" i="1"/>
  <c r="CF149" i="1"/>
  <c r="CC149" i="1"/>
  <c r="CA149" i="1"/>
  <c r="CG149" i="1"/>
  <c r="BZ149" i="1"/>
  <c r="CB149" i="1"/>
  <c r="CH149" i="1"/>
  <c r="CD149" i="1"/>
  <c r="BY149" i="1"/>
  <c r="BY54" i="1"/>
  <c r="BZ23" i="1"/>
  <c r="CA13" i="1"/>
  <c r="AS34" i="1"/>
  <c r="CD34" i="1"/>
  <c r="CC34" i="1"/>
  <c r="CH34" i="1"/>
  <c r="CI34" i="1"/>
  <c r="CE34" i="1"/>
  <c r="BY34" i="1"/>
  <c r="CG34" i="1"/>
  <c r="CF34" i="1"/>
  <c r="BX34" i="1"/>
  <c r="CA34" i="1"/>
  <c r="BZ34" i="1"/>
  <c r="CB34" i="1"/>
  <c r="BZ172" i="1"/>
  <c r="CE172" i="1"/>
  <c r="CF172" i="1"/>
  <c r="AS172" i="1"/>
  <c r="CB172" i="1"/>
  <c r="CD172" i="1"/>
  <c r="BY172" i="1"/>
  <c r="CG172" i="1"/>
  <c r="CH172" i="1"/>
  <c r="BX172" i="1"/>
  <c r="CJ172" i="1" s="1"/>
  <c r="CL172" i="1" s="1"/>
  <c r="CC172" i="1"/>
  <c r="CI172" i="1"/>
  <c r="CA172" i="1"/>
  <c r="CE70" i="1"/>
  <c r="CD237" i="1"/>
  <c r="BZ237" i="1"/>
  <c r="CF237" i="1"/>
  <c r="CE237" i="1"/>
  <c r="AS237" i="1"/>
  <c r="CB237" i="1"/>
  <c r="CI237" i="1"/>
  <c r="CG237" i="1"/>
  <c r="CH237" i="1"/>
  <c r="BX237" i="1"/>
  <c r="CA237" i="1"/>
  <c r="BY237" i="1"/>
  <c r="CC237" i="1"/>
  <c r="AS42" i="1"/>
  <c r="CF42" i="1"/>
  <c r="CG42" i="1"/>
  <c r="CA42" i="1"/>
  <c r="BZ42" i="1"/>
  <c r="CB42" i="1"/>
  <c r="BX42" i="1"/>
  <c r="BY42" i="1"/>
  <c r="CI42" i="1"/>
  <c r="CH42" i="1"/>
  <c r="CC42" i="1"/>
  <c r="CE42" i="1"/>
  <c r="CD42" i="1"/>
  <c r="CE72" i="1"/>
  <c r="CI72" i="1"/>
  <c r="AS118" i="1"/>
  <c r="CD118" i="1"/>
  <c r="CC118" i="1"/>
  <c r="CG118" i="1"/>
  <c r="BX118" i="1"/>
  <c r="CF118" i="1"/>
  <c r="CA118" i="1"/>
  <c r="CE118" i="1"/>
  <c r="CH118" i="1"/>
  <c r="BY118" i="1"/>
  <c r="CI118" i="1"/>
  <c r="BZ118" i="1"/>
  <c r="CB118" i="1"/>
  <c r="AS145" i="1"/>
  <c r="BX145" i="1"/>
  <c r="CI145" i="1"/>
  <c r="BY145" i="1"/>
  <c r="CF145" i="1"/>
  <c r="CE145" i="1"/>
  <c r="CG145" i="1"/>
  <c r="BZ145" i="1"/>
  <c r="CC145" i="1"/>
  <c r="CD145" i="1"/>
  <c r="CB145" i="1"/>
  <c r="CA145" i="1"/>
  <c r="CH145" i="1"/>
  <c r="AS169" i="1"/>
  <c r="CG169" i="1"/>
  <c r="CB169" i="1"/>
  <c r="CA169" i="1"/>
  <c r="CI169" i="1"/>
  <c r="BX169" i="1"/>
  <c r="BY169" i="1"/>
  <c r="CH169" i="1"/>
  <c r="CF169" i="1"/>
  <c r="CD169" i="1"/>
  <c r="BZ169" i="1"/>
  <c r="CC169" i="1"/>
  <c r="CE169" i="1"/>
  <c r="AS199" i="1"/>
  <c r="CA199" i="1"/>
  <c r="CE199" i="1"/>
  <c r="CF199" i="1"/>
  <c r="CG199" i="1"/>
  <c r="BX199" i="1"/>
  <c r="CH199" i="1"/>
  <c r="CC199" i="1"/>
  <c r="BZ199" i="1"/>
  <c r="BY199" i="1"/>
  <c r="CI199" i="1"/>
  <c r="CB199" i="1"/>
  <c r="CD199" i="1"/>
  <c r="AS175" i="1"/>
  <c r="CD175" i="1"/>
  <c r="CG175" i="1"/>
  <c r="CH175" i="1"/>
  <c r="BX175" i="1"/>
  <c r="CA175" i="1"/>
  <c r="CC175" i="1"/>
  <c r="CE175" i="1"/>
  <c r="CF175" i="1"/>
  <c r="CB175" i="1"/>
  <c r="BZ175" i="1"/>
  <c r="CI175" i="1"/>
  <c r="BY175" i="1"/>
  <c r="CD170" i="1"/>
  <c r="CF170" i="1"/>
  <c r="CA176" i="1"/>
  <c r="CB176" i="1"/>
  <c r="AS181" i="1"/>
  <c r="BY181" i="1"/>
  <c r="CG181" i="1"/>
  <c r="CE181" i="1"/>
  <c r="CI181" i="1"/>
  <c r="CH181" i="1"/>
  <c r="CB181" i="1"/>
  <c r="CA181" i="1"/>
  <c r="CD181" i="1"/>
  <c r="CC181" i="1"/>
  <c r="CF181" i="1"/>
  <c r="BX181" i="1"/>
  <c r="BZ181" i="1"/>
  <c r="AS211" i="1"/>
  <c r="CC211" i="1"/>
  <c r="CI211" i="1"/>
  <c r="CH211" i="1"/>
  <c r="CA211" i="1"/>
  <c r="CD211" i="1"/>
  <c r="CG211" i="1"/>
  <c r="CF211" i="1"/>
  <c r="CE211" i="1"/>
  <c r="BY211" i="1"/>
  <c r="BX211" i="1"/>
  <c r="BZ211" i="1"/>
  <c r="CB211" i="1"/>
  <c r="AS227" i="1"/>
  <c r="CB227" i="1"/>
  <c r="BZ227" i="1"/>
  <c r="BY227" i="1"/>
  <c r="CF227" i="1"/>
  <c r="BX227" i="1"/>
  <c r="CA227" i="1"/>
  <c r="CD227" i="1"/>
  <c r="CC227" i="1"/>
  <c r="CE227" i="1"/>
  <c r="CH227" i="1"/>
  <c r="CI227" i="1"/>
  <c r="CG227" i="1"/>
  <c r="AS245" i="1"/>
  <c r="CI245" i="1"/>
  <c r="CA245" i="1"/>
  <c r="CD245" i="1"/>
  <c r="CF245" i="1"/>
  <c r="CC245" i="1"/>
  <c r="CE245" i="1"/>
  <c r="BX245" i="1"/>
  <c r="CH245" i="1"/>
  <c r="BY245" i="1"/>
  <c r="CB245" i="1"/>
  <c r="BZ245" i="1"/>
  <c r="CG245" i="1"/>
  <c r="AS24" i="1"/>
  <c r="CH24" i="1"/>
  <c r="CI24" i="1"/>
  <c r="BY24" i="1"/>
  <c r="CC24" i="1"/>
  <c r="CG24" i="1"/>
  <c r="BX24" i="1"/>
  <c r="BZ24" i="1"/>
  <c r="CA24" i="1"/>
  <c r="CB24" i="1"/>
  <c r="CE24" i="1"/>
  <c r="CF24" i="1"/>
  <c r="CD24" i="1"/>
  <c r="AS16" i="1"/>
  <c r="CC16" i="1"/>
  <c r="CD16" i="1"/>
  <c r="CB16" i="1"/>
  <c r="BY16" i="1"/>
  <c r="CI16" i="1"/>
  <c r="CH16" i="1"/>
  <c r="CG16" i="1"/>
  <c r="CE16" i="1"/>
  <c r="CA16" i="1"/>
  <c r="BX16" i="1"/>
  <c r="BZ16" i="1"/>
  <c r="P47" i="2" s="1"/>
  <c r="H47" i="2" s="1"/>
  <c r="CF16" i="1"/>
  <c r="CF54" i="1"/>
  <c r="CI54" i="1"/>
  <c r="AS163" i="1"/>
  <c r="CB163" i="1"/>
  <c r="BY163" i="1"/>
  <c r="CG163" i="1"/>
  <c r="CC163" i="1"/>
  <c r="CF163" i="1"/>
  <c r="CD163" i="1"/>
  <c r="CE163" i="1"/>
  <c r="BX163" i="1"/>
  <c r="BZ163" i="1"/>
  <c r="CI163" i="1"/>
  <c r="CH163" i="1"/>
  <c r="CA163" i="1"/>
  <c r="CG23" i="1"/>
  <c r="CH23" i="1"/>
  <c r="CG13" i="1"/>
  <c r="CC13" i="1"/>
  <c r="BZ68" i="1"/>
  <c r="CB68" i="1"/>
  <c r="CJ133" i="1"/>
  <c r="CL133" i="1" s="1"/>
  <c r="CA130" i="1"/>
  <c r="BX130" i="1"/>
  <c r="AS185" i="1"/>
  <c r="BX185" i="1"/>
  <c r="BY185" i="1"/>
  <c r="BZ185" i="1"/>
  <c r="CG185" i="1"/>
  <c r="CB185" i="1"/>
  <c r="CH185" i="1"/>
  <c r="CD185" i="1"/>
  <c r="CE185" i="1"/>
  <c r="CC185" i="1"/>
  <c r="CA185" i="1"/>
  <c r="CI185" i="1"/>
  <c r="CF185" i="1"/>
  <c r="AS192" i="1"/>
  <c r="CF192" i="1"/>
  <c r="BY192" i="1"/>
  <c r="CG192" i="1"/>
  <c r="CA192" i="1"/>
  <c r="BZ192" i="1"/>
  <c r="CH192" i="1"/>
  <c r="CD192" i="1"/>
  <c r="CB192" i="1"/>
  <c r="CE192" i="1"/>
  <c r="CI192" i="1"/>
  <c r="BX192" i="1"/>
  <c r="CJ192" i="1" s="1"/>
  <c r="CL192" i="1" s="1"/>
  <c r="CC192" i="1"/>
  <c r="BX218" i="1"/>
  <c r="CA218" i="1"/>
  <c r="CJ229" i="1"/>
  <c r="CL229" i="1" s="1"/>
  <c r="AS240" i="1"/>
  <c r="CF240" i="1"/>
  <c r="BY240" i="1"/>
  <c r="BX240" i="1"/>
  <c r="BZ240" i="1"/>
  <c r="CA240" i="1"/>
  <c r="CE240" i="1"/>
  <c r="CD240" i="1"/>
  <c r="CG240" i="1"/>
  <c r="CB240" i="1"/>
  <c r="CI240" i="1"/>
  <c r="CH240" i="1"/>
  <c r="CC240" i="1"/>
  <c r="AS242" i="1"/>
  <c r="CA242" i="1"/>
  <c r="CE242" i="1"/>
  <c r="CI242" i="1"/>
  <c r="CC242" i="1"/>
  <c r="BZ242" i="1"/>
  <c r="BY242" i="1"/>
  <c r="CH242" i="1"/>
  <c r="CB242" i="1"/>
  <c r="CF242" i="1"/>
  <c r="BX242" i="1"/>
  <c r="CG242" i="1"/>
  <c r="CD242" i="1"/>
  <c r="CJ264" i="1"/>
  <c r="CL264" i="1" s="1"/>
  <c r="CJ259" i="1"/>
  <c r="CL259" i="1" s="1"/>
  <c r="AS244" i="1"/>
  <c r="CA244" i="1"/>
  <c r="CG244" i="1"/>
  <c r="CD244" i="1"/>
  <c r="CI244" i="1"/>
  <c r="CF244" i="1"/>
  <c r="CC244" i="1"/>
  <c r="BX244" i="1"/>
  <c r="BZ244" i="1"/>
  <c r="CE244" i="1"/>
  <c r="CH244" i="1"/>
  <c r="CB244" i="1"/>
  <c r="BY244" i="1"/>
  <c r="CI41" i="1"/>
  <c r="CE41" i="1"/>
  <c r="BY70" i="1"/>
  <c r="CC70" i="1"/>
  <c r="AS195" i="1"/>
  <c r="BX195" i="1"/>
  <c r="CE195" i="1"/>
  <c r="CD195" i="1"/>
  <c r="CC195" i="1"/>
  <c r="CA195" i="1"/>
  <c r="CB195" i="1"/>
  <c r="BZ195" i="1"/>
  <c r="P56" i="2" s="1"/>
  <c r="H56" i="2" s="1"/>
  <c r="CG195" i="1"/>
  <c r="CI195" i="1"/>
  <c r="BY195" i="1"/>
  <c r="CF195" i="1"/>
  <c r="CH195" i="1"/>
  <c r="BZ19" i="1"/>
  <c r="CB19" i="1"/>
  <c r="AS213" i="1"/>
  <c r="CE213" i="1"/>
  <c r="CG213" i="1"/>
  <c r="BZ213" i="1"/>
  <c r="CH213" i="1"/>
  <c r="BX213" i="1"/>
  <c r="CB213" i="1"/>
  <c r="CF213" i="1"/>
  <c r="CD213" i="1"/>
  <c r="BY213" i="1"/>
  <c r="CI213" i="1"/>
  <c r="CC213" i="1"/>
  <c r="CA213" i="1"/>
  <c r="BZ112" i="1"/>
  <c r="AS112" i="1"/>
  <c r="CD112" i="1"/>
  <c r="CC112" i="1"/>
  <c r="CF112" i="1"/>
  <c r="CG112" i="1"/>
  <c r="CB112" i="1"/>
  <c r="BX112" i="1"/>
  <c r="CA112" i="1"/>
  <c r="BY112" i="1"/>
  <c r="CE112" i="1"/>
  <c r="CH112" i="1"/>
  <c r="CI112" i="1"/>
  <c r="AS65" i="1"/>
  <c r="CB65" i="1"/>
  <c r="CE65" i="1"/>
  <c r="CC65" i="1"/>
  <c r="BY65" i="1"/>
  <c r="CG65" i="1"/>
  <c r="CH65" i="1"/>
  <c r="CD65" i="1"/>
  <c r="CI65" i="1"/>
  <c r="BX65" i="1"/>
  <c r="CF65" i="1"/>
  <c r="CA65" i="1"/>
  <c r="BZ65" i="1"/>
  <c r="CJ76" i="1"/>
  <c r="CL76" i="1" s="1"/>
  <c r="BX104" i="1"/>
  <c r="CB104" i="1"/>
  <c r="CE56" i="1"/>
  <c r="CA56" i="1"/>
  <c r="AS153" i="1"/>
  <c r="BY153" i="1"/>
  <c r="CC153" i="1"/>
  <c r="CB153" i="1"/>
  <c r="CF153" i="1"/>
  <c r="CI153" i="1"/>
  <c r="BX153" i="1"/>
  <c r="BZ153" i="1"/>
  <c r="CG153" i="1"/>
  <c r="CD153" i="1"/>
  <c r="CE153" i="1"/>
  <c r="CH153" i="1"/>
  <c r="CA153" i="1"/>
  <c r="BX128" i="1"/>
  <c r="CA128" i="1"/>
  <c r="BY122" i="1"/>
  <c r="AS122" i="1"/>
  <c r="CE122" i="1"/>
  <c r="CD122" i="1"/>
  <c r="CC122" i="1"/>
  <c r="CI122" i="1"/>
  <c r="BZ122" i="1"/>
  <c r="CF122" i="1"/>
  <c r="CH122" i="1"/>
  <c r="BX122" i="1"/>
  <c r="CA122" i="1"/>
  <c r="CB122" i="1"/>
  <c r="CG122" i="1"/>
  <c r="AS150" i="1"/>
  <c r="BZ150" i="1"/>
  <c r="CC150" i="1"/>
  <c r="CG150" i="1"/>
  <c r="CH150" i="1"/>
  <c r="BX150" i="1"/>
  <c r="CB150" i="1"/>
  <c r="CE150" i="1"/>
  <c r="CA150" i="1"/>
  <c r="CF150" i="1"/>
  <c r="CD150" i="1"/>
  <c r="BY150" i="1"/>
  <c r="CI150" i="1"/>
  <c r="AS177" i="1"/>
  <c r="BX177" i="1"/>
  <c r="CF177" i="1"/>
  <c r="CH177" i="1"/>
  <c r="CA177" i="1"/>
  <c r="BZ177" i="1"/>
  <c r="CD177" i="1"/>
  <c r="CE177" i="1"/>
  <c r="CC177" i="1"/>
  <c r="CG177" i="1"/>
  <c r="BY177" i="1"/>
  <c r="CB177" i="1"/>
  <c r="CI177" i="1"/>
  <c r="CH231" i="1"/>
  <c r="CI231" i="1"/>
  <c r="AS234" i="1"/>
  <c r="CC234" i="1"/>
  <c r="CB234" i="1"/>
  <c r="CH234" i="1"/>
  <c r="CG234" i="1"/>
  <c r="CI234" i="1"/>
  <c r="BX234" i="1"/>
  <c r="CF234" i="1"/>
  <c r="CA234" i="1"/>
  <c r="CE234" i="1"/>
  <c r="BY234" i="1"/>
  <c r="BZ234" i="1"/>
  <c r="CD234" i="1"/>
  <c r="AS208" i="1"/>
  <c r="BZ208" i="1"/>
  <c r="CB208" i="1"/>
  <c r="CC208" i="1"/>
  <c r="CD208" i="1"/>
  <c r="BY208" i="1"/>
  <c r="CA208" i="1"/>
  <c r="CE208" i="1"/>
  <c r="CH208" i="1"/>
  <c r="BX208" i="1"/>
  <c r="CG208" i="1"/>
  <c r="CI208" i="1"/>
  <c r="CF208" i="1"/>
  <c r="CI95" i="1"/>
  <c r="CD95" i="1"/>
  <c r="BY74" i="1"/>
  <c r="CI74" i="1"/>
  <c r="F40" i="2"/>
  <c r="N39" i="2"/>
  <c r="AS79" i="1"/>
  <c r="CH79" i="1"/>
  <c r="CI79" i="1"/>
  <c r="CA79" i="1"/>
  <c r="BX79" i="1"/>
  <c r="CD79" i="1"/>
  <c r="CF79" i="1"/>
  <c r="BZ79" i="1"/>
  <c r="CB79" i="1"/>
  <c r="BY79" i="1"/>
  <c r="CE79" i="1"/>
  <c r="CC79" i="1"/>
  <c r="CG79" i="1"/>
  <c r="CE97" i="1"/>
  <c r="CC97" i="1"/>
  <c r="AS97" i="1"/>
  <c r="BY97" i="1"/>
  <c r="CB97" i="1"/>
  <c r="BX97" i="1"/>
  <c r="CF97" i="1"/>
  <c r="CI97" i="1"/>
  <c r="CD97" i="1"/>
  <c r="CH97" i="1"/>
  <c r="BZ97" i="1"/>
  <c r="CA97" i="1"/>
  <c r="CG97" i="1"/>
  <c r="CE58" i="1"/>
  <c r="CI58" i="1"/>
  <c r="AS113" i="1"/>
  <c r="CI113" i="1"/>
  <c r="CB113" i="1"/>
  <c r="CA113" i="1"/>
  <c r="CH113" i="1"/>
  <c r="CD113" i="1"/>
  <c r="BZ113" i="1"/>
  <c r="CE113" i="1"/>
  <c r="CG113" i="1"/>
  <c r="CC113" i="1"/>
  <c r="BY113" i="1"/>
  <c r="CF113" i="1"/>
  <c r="BX113" i="1"/>
  <c r="BY62" i="1"/>
  <c r="CC62" i="1"/>
  <c r="CJ37" i="1"/>
  <c r="CL37" i="1" s="1"/>
  <c r="CE50" i="1"/>
  <c r="CC50" i="1"/>
  <c r="CA39" i="1"/>
  <c r="CE39" i="1"/>
  <c r="AS39" i="1"/>
  <c r="CB39" i="1"/>
  <c r="CH39" i="1"/>
  <c r="CD39" i="1"/>
  <c r="CG39" i="1"/>
  <c r="BX39" i="1"/>
  <c r="BY39" i="1"/>
  <c r="BZ39" i="1"/>
  <c r="CC39" i="1"/>
  <c r="CF39" i="1"/>
  <c r="CI39" i="1"/>
  <c r="BX100" i="1"/>
  <c r="CB100" i="1"/>
  <c r="CB99" i="1"/>
  <c r="BX99" i="1"/>
  <c r="BZ78" i="1"/>
  <c r="CH78" i="1"/>
  <c r="AS83" i="1"/>
  <c r="CI83" i="1"/>
  <c r="CH83" i="1"/>
  <c r="BZ83" i="1"/>
  <c r="CB83" i="1"/>
  <c r="BX83" i="1"/>
  <c r="CE83" i="1"/>
  <c r="BY83" i="1"/>
  <c r="CA83" i="1"/>
  <c r="CG83" i="1"/>
  <c r="CD83" i="1"/>
  <c r="CC83" i="1"/>
  <c r="CF83" i="1"/>
  <c r="CG84" i="1"/>
  <c r="CD84" i="1"/>
  <c r="BY90" i="1"/>
  <c r="CJ90" i="1" s="1"/>
  <c r="CL90" i="1" s="1"/>
  <c r="CI90" i="1"/>
  <c r="CA178" i="1"/>
  <c r="CB178" i="1"/>
  <c r="AS160" i="1"/>
  <c r="CH160" i="1"/>
  <c r="CG160" i="1"/>
  <c r="BX160" i="1"/>
  <c r="CD160" i="1"/>
  <c r="CE160" i="1"/>
  <c r="CI160" i="1"/>
  <c r="CC160" i="1"/>
  <c r="BY160" i="1"/>
  <c r="BZ160" i="1"/>
  <c r="CA160" i="1"/>
  <c r="CF160" i="1"/>
  <c r="CB160" i="1"/>
  <c r="AS30" i="1"/>
  <c r="CH30" i="1"/>
  <c r="CI30" i="1"/>
  <c r="CF30" i="1"/>
  <c r="CB30" i="1"/>
  <c r="BZ30" i="1"/>
  <c r="BY30" i="1"/>
  <c r="CD30" i="1"/>
  <c r="CA30" i="1"/>
  <c r="CE30" i="1"/>
  <c r="CG30" i="1"/>
  <c r="BX30" i="1"/>
  <c r="CJ30" i="1" s="1"/>
  <c r="CL30" i="1" s="1"/>
  <c r="CC30" i="1"/>
  <c r="AS129" i="1"/>
  <c r="CD129" i="1"/>
  <c r="CI129" i="1"/>
  <c r="BX129" i="1"/>
  <c r="CA129" i="1"/>
  <c r="CC129" i="1"/>
  <c r="CB129" i="1"/>
  <c r="CF129" i="1"/>
  <c r="CH129" i="1"/>
  <c r="CE129" i="1"/>
  <c r="BZ129" i="1"/>
  <c r="CG129" i="1"/>
  <c r="BY129" i="1"/>
  <c r="BZ214" i="1"/>
  <c r="CC214" i="1"/>
  <c r="AS22" i="1"/>
  <c r="CC22" i="1"/>
  <c r="CH22" i="1"/>
  <c r="CD22" i="1"/>
  <c r="BY22" i="1"/>
  <c r="BZ22" i="1"/>
  <c r="CI22" i="1"/>
  <c r="CE22" i="1"/>
  <c r="CB22" i="1"/>
  <c r="CG22" i="1"/>
  <c r="BX22" i="1"/>
  <c r="CF22" i="1"/>
  <c r="CA22" i="1"/>
  <c r="CA80" i="1"/>
  <c r="BX80" i="1"/>
  <c r="CA86" i="1"/>
  <c r="BX86" i="1"/>
  <c r="CA92" i="1"/>
  <c r="CD92" i="1"/>
  <c r="AS49" i="1"/>
  <c r="BX49" i="1"/>
  <c r="CH49" i="1"/>
  <c r="CI49" i="1"/>
  <c r="CD49" i="1"/>
  <c r="CG49" i="1"/>
  <c r="BY49" i="1"/>
  <c r="CC49" i="1"/>
  <c r="CB49" i="1"/>
  <c r="CF49" i="1"/>
  <c r="CA49" i="1"/>
  <c r="BZ49" i="1"/>
  <c r="CE49" i="1"/>
  <c r="CG107" i="1"/>
  <c r="CC107" i="1"/>
  <c r="CD168" i="1"/>
  <c r="CF168" i="1"/>
  <c r="AS209" i="1"/>
  <c r="CI209" i="1"/>
  <c r="CH209" i="1"/>
  <c r="CD209" i="1"/>
  <c r="CC209" i="1"/>
  <c r="CB209" i="1"/>
  <c r="BZ209" i="1"/>
  <c r="CG209" i="1"/>
  <c r="CE209" i="1"/>
  <c r="CF209" i="1"/>
  <c r="BY209" i="1"/>
  <c r="BX209" i="1"/>
  <c r="CA209" i="1"/>
  <c r="AS180" i="1"/>
  <c r="CB180" i="1"/>
  <c r="CF180" i="1"/>
  <c r="CH180" i="1"/>
  <c r="CD180" i="1"/>
  <c r="BY180" i="1"/>
  <c r="CG180" i="1"/>
  <c r="CI180" i="1"/>
  <c r="CE180" i="1"/>
  <c r="CA180" i="1"/>
  <c r="BX180" i="1"/>
  <c r="BZ180" i="1"/>
  <c r="CC180" i="1"/>
  <c r="I56" i="2" l="1"/>
  <c r="J56" i="2"/>
  <c r="L56" i="2" s="1"/>
  <c r="J57" i="2"/>
  <c r="L57" i="2" s="1"/>
  <c r="I57" i="2"/>
  <c r="I38" i="2"/>
  <c r="J38" i="2"/>
  <c r="L38" i="2" s="1"/>
  <c r="CJ57" i="1"/>
  <c r="CL57" i="1" s="1"/>
  <c r="CJ97" i="1"/>
  <c r="CL97" i="1" s="1"/>
  <c r="CJ181" i="1"/>
  <c r="CL181" i="1" s="1"/>
  <c r="CJ168" i="1"/>
  <c r="CL168" i="1" s="1"/>
  <c r="CJ125" i="1"/>
  <c r="CL125" i="1" s="1"/>
  <c r="CJ143" i="1"/>
  <c r="CL143" i="1" s="1"/>
  <c r="CJ178" i="1"/>
  <c r="CL178" i="1" s="1"/>
  <c r="CJ55" i="1"/>
  <c r="CL55" i="1" s="1"/>
  <c r="P44" i="2"/>
  <c r="H44" i="2" s="1"/>
  <c r="CJ219" i="1"/>
  <c r="CL219" i="1" s="1"/>
  <c r="CJ243" i="1"/>
  <c r="CL243" i="1" s="1"/>
  <c r="CJ250" i="1"/>
  <c r="CJ231" i="1"/>
  <c r="CL231" i="1" s="1"/>
  <c r="CJ173" i="1"/>
  <c r="CL173" i="1" s="1"/>
  <c r="CJ53" i="1"/>
  <c r="CL53" i="1" s="1"/>
  <c r="CJ101" i="1"/>
  <c r="CL101" i="1" s="1"/>
  <c r="BZ269" i="1"/>
  <c r="P52" i="2"/>
  <c r="H52" i="2" s="1"/>
  <c r="CC269" i="1"/>
  <c r="CJ106" i="1"/>
  <c r="CL106" i="1" s="1"/>
  <c r="CJ56" i="1"/>
  <c r="CL56" i="1" s="1"/>
  <c r="CJ140" i="1"/>
  <c r="CL140" i="1" s="1"/>
  <c r="CJ142" i="1"/>
  <c r="CL142" i="1" s="1"/>
  <c r="CJ43" i="1"/>
  <c r="CL43" i="1" s="1"/>
  <c r="CJ239" i="1"/>
  <c r="CL239" i="1" s="1"/>
  <c r="CJ155" i="1"/>
  <c r="CL155" i="1" s="1"/>
  <c r="CJ126" i="1"/>
  <c r="CL126" i="1" s="1"/>
  <c r="CJ36" i="1"/>
  <c r="CL36" i="1" s="1"/>
  <c r="CJ42" i="1"/>
  <c r="CL42" i="1" s="1"/>
  <c r="CJ149" i="1"/>
  <c r="CL149" i="1" s="1"/>
  <c r="CJ188" i="1"/>
  <c r="CL188" i="1" s="1"/>
  <c r="CE269" i="1"/>
  <c r="CJ134" i="1"/>
  <c r="CL134" i="1" s="1"/>
  <c r="CJ129" i="1"/>
  <c r="CL129" i="1" s="1"/>
  <c r="CJ32" i="1"/>
  <c r="CL32" i="1" s="1"/>
  <c r="CJ51" i="1"/>
  <c r="CL51" i="1" s="1"/>
  <c r="CJ52" i="1"/>
  <c r="CL52" i="1" s="1"/>
  <c r="CJ209" i="1"/>
  <c r="CL209" i="1" s="1"/>
  <c r="CJ83" i="1"/>
  <c r="CL83" i="1" s="1"/>
  <c r="CJ100" i="1"/>
  <c r="CL100" i="1" s="1"/>
  <c r="CJ39" i="1"/>
  <c r="CL39" i="1" s="1"/>
  <c r="CJ150" i="1"/>
  <c r="CL150" i="1" s="1"/>
  <c r="CJ65" i="1"/>
  <c r="CL65" i="1" s="1"/>
  <c r="CJ213" i="1"/>
  <c r="CL213" i="1" s="1"/>
  <c r="CJ244" i="1"/>
  <c r="CL244" i="1" s="1"/>
  <c r="CJ242" i="1"/>
  <c r="CL242" i="1" s="1"/>
  <c r="CJ163" i="1"/>
  <c r="CL163" i="1" s="1"/>
  <c r="I47" i="2"/>
  <c r="J47" i="2"/>
  <c r="L47" i="2" s="1"/>
  <c r="CJ24" i="1"/>
  <c r="CL24" i="1" s="1"/>
  <c r="CJ245" i="1"/>
  <c r="CL245" i="1" s="1"/>
  <c r="CJ169" i="1"/>
  <c r="CL169" i="1" s="1"/>
  <c r="CJ217" i="1"/>
  <c r="CL217" i="1" s="1"/>
  <c r="CJ33" i="1"/>
  <c r="CL33" i="1" s="1"/>
  <c r="CJ206" i="1"/>
  <c r="CL206" i="1" s="1"/>
  <c r="CJ144" i="1"/>
  <c r="CL144" i="1" s="1"/>
  <c r="CJ221" i="1"/>
  <c r="CL221" i="1" s="1"/>
  <c r="CJ246" i="1"/>
  <c r="CL246" i="1" s="1"/>
  <c r="CJ158" i="1"/>
  <c r="CL158" i="1" s="1"/>
  <c r="CJ69" i="1"/>
  <c r="CL69" i="1" s="1"/>
  <c r="CJ238" i="1"/>
  <c r="CL238" i="1" s="1"/>
  <c r="CJ225" i="1"/>
  <c r="CL225" i="1" s="1"/>
  <c r="CJ222" i="1"/>
  <c r="CL222" i="1" s="1"/>
  <c r="CJ171" i="1"/>
  <c r="CL171" i="1" s="1"/>
  <c r="CJ72" i="1"/>
  <c r="CL72" i="1" s="1"/>
  <c r="CJ107" i="1"/>
  <c r="CL107" i="1" s="1"/>
  <c r="P36" i="2"/>
  <c r="H36" i="2" s="1"/>
  <c r="J21" i="2"/>
  <c r="L21" i="2" s="1"/>
  <c r="I21" i="2"/>
  <c r="CJ184" i="1"/>
  <c r="CL184" i="1" s="1"/>
  <c r="CJ116" i="1"/>
  <c r="CL116" i="1" s="1"/>
  <c r="CJ236" i="1"/>
  <c r="CL236" i="1" s="1"/>
  <c r="CJ151" i="1"/>
  <c r="CL151" i="1" s="1"/>
  <c r="P48" i="2"/>
  <c r="H48" i="2" s="1"/>
  <c r="CJ147" i="1"/>
  <c r="CL147" i="1" s="1"/>
  <c r="CJ27" i="1"/>
  <c r="CL27" i="1" s="1"/>
  <c r="CJ214" i="1"/>
  <c r="CL214" i="1" s="1"/>
  <c r="CJ62" i="1"/>
  <c r="CL62" i="1" s="1"/>
  <c r="CJ127" i="1"/>
  <c r="CL127" i="1" s="1"/>
  <c r="CJ196" i="1"/>
  <c r="CL196" i="1" s="1"/>
  <c r="CJ13" i="1"/>
  <c r="CL13" i="1" s="1"/>
  <c r="BX269" i="1"/>
  <c r="CJ8" i="1"/>
  <c r="CB269" i="1"/>
  <c r="CJ232" i="1"/>
  <c r="CL232" i="1" s="1"/>
  <c r="CJ141" i="1"/>
  <c r="CL141" i="1" s="1"/>
  <c r="CJ138" i="1"/>
  <c r="CL138" i="1" s="1"/>
  <c r="CJ190" i="1"/>
  <c r="CL190" i="1" s="1"/>
  <c r="CJ189" i="1"/>
  <c r="CL189" i="1" s="1"/>
  <c r="CJ20" i="1"/>
  <c r="CL20" i="1" s="1"/>
  <c r="I53" i="2"/>
  <c r="J53" i="2"/>
  <c r="L53" i="2" s="1"/>
  <c r="CJ12" i="1"/>
  <c r="CL12" i="1" s="1"/>
  <c r="CJ102" i="1"/>
  <c r="CL102" i="1" s="1"/>
  <c r="BJ275" i="1"/>
  <c r="AW271" i="1"/>
  <c r="AX271" i="1" s="1"/>
  <c r="AY271" i="1" s="1"/>
  <c r="AZ271" i="1" s="1"/>
  <c r="BA271" i="1" s="1"/>
  <c r="BB271" i="1" s="1"/>
  <c r="BC271" i="1" s="1"/>
  <c r="BD271" i="1" s="1"/>
  <c r="BE271" i="1" s="1"/>
  <c r="BF271" i="1" s="1"/>
  <c r="BG271" i="1" s="1"/>
  <c r="BH271" i="1" s="1"/>
  <c r="CJ130" i="1"/>
  <c r="CL130" i="1" s="1"/>
  <c r="CJ211" i="1"/>
  <c r="CL211" i="1" s="1"/>
  <c r="CJ175" i="1"/>
  <c r="CL175" i="1" s="1"/>
  <c r="CJ199" i="1"/>
  <c r="CL199" i="1" s="1"/>
  <c r="CJ145" i="1"/>
  <c r="CL145" i="1" s="1"/>
  <c r="CJ34" i="1"/>
  <c r="CL34" i="1" s="1"/>
  <c r="CJ84" i="1"/>
  <c r="CL84" i="1" s="1"/>
  <c r="CJ167" i="1"/>
  <c r="CL167" i="1" s="1"/>
  <c r="CJ41" i="1"/>
  <c r="CL41" i="1" s="1"/>
  <c r="CJ46" i="1"/>
  <c r="CL46" i="1" s="1"/>
  <c r="CJ170" i="1"/>
  <c r="CL170" i="1" s="1"/>
  <c r="CJ198" i="1"/>
  <c r="CL198" i="1" s="1"/>
  <c r="CJ200" i="1"/>
  <c r="CL200" i="1" s="1"/>
  <c r="CJ26" i="1"/>
  <c r="CL26" i="1" s="1"/>
  <c r="CJ180" i="1"/>
  <c r="CL180" i="1" s="1"/>
  <c r="CJ86" i="1"/>
  <c r="CL86" i="1" s="1"/>
  <c r="CJ22" i="1"/>
  <c r="CL22" i="1" s="1"/>
  <c r="CJ160" i="1"/>
  <c r="CL160" i="1" s="1"/>
  <c r="CJ113" i="1"/>
  <c r="CL113" i="1" s="1"/>
  <c r="CJ79" i="1"/>
  <c r="CL79" i="1" s="1"/>
  <c r="N40" i="2"/>
  <c r="F41" i="2"/>
  <c r="CJ234" i="1"/>
  <c r="CL234" i="1" s="1"/>
  <c r="CJ104" i="1"/>
  <c r="CL104" i="1" s="1"/>
  <c r="CJ195" i="1"/>
  <c r="CL195" i="1" s="1"/>
  <c r="CJ16" i="1"/>
  <c r="CL16" i="1" s="1"/>
  <c r="CJ48" i="1"/>
  <c r="CL48" i="1" s="1"/>
  <c r="CJ93" i="1"/>
  <c r="CL93" i="1" s="1"/>
  <c r="CJ187" i="1"/>
  <c r="CL187" i="1" s="1"/>
  <c r="CJ120" i="1"/>
  <c r="CL120" i="1" s="1"/>
  <c r="CJ9" i="1"/>
  <c r="CL9" i="1" s="1"/>
  <c r="CJ152" i="1"/>
  <c r="CL152" i="1" s="1"/>
  <c r="I10" i="2"/>
  <c r="J10" i="2" s="1"/>
  <c r="CJ14" i="1"/>
  <c r="CL14" i="1" s="1"/>
  <c r="CJ91" i="1"/>
  <c r="CL91" i="1" s="1"/>
  <c r="CJ174" i="1"/>
  <c r="CL174" i="1" s="1"/>
  <c r="CJ215" i="1"/>
  <c r="CL215" i="1" s="1"/>
  <c r="CJ176" i="1"/>
  <c r="CL176" i="1" s="1"/>
  <c r="CJ21" i="1"/>
  <c r="CL21" i="1" s="1"/>
  <c r="CJ19" i="1"/>
  <c r="CL19" i="1" s="1"/>
  <c r="CF269" i="1"/>
  <c r="CI269" i="1"/>
  <c r="P50" i="2"/>
  <c r="H50" i="2" s="1"/>
  <c r="CJ45" i="1"/>
  <c r="CL45" i="1" s="1"/>
  <c r="J37" i="2"/>
  <c r="L37" i="2" s="1"/>
  <c r="I37" i="2"/>
  <c r="CJ136" i="1"/>
  <c r="CL136" i="1" s="1"/>
  <c r="CJ146" i="1"/>
  <c r="CL146" i="1" s="1"/>
  <c r="CJ110" i="1"/>
  <c r="CL110" i="1" s="1"/>
  <c r="CJ207" i="1"/>
  <c r="CL207" i="1" s="1"/>
  <c r="J43" i="2"/>
  <c r="L43" i="2" s="1"/>
  <c r="I43" i="2"/>
  <c r="J61" i="2"/>
  <c r="L61" i="2" s="1"/>
  <c r="I61" i="2"/>
  <c r="CJ240" i="1"/>
  <c r="CL240" i="1" s="1"/>
  <c r="P60" i="2"/>
  <c r="H60" i="2" s="1"/>
  <c r="CJ165" i="1"/>
  <c r="CL165" i="1" s="1"/>
  <c r="CJ247" i="1"/>
  <c r="CL247" i="1" s="1"/>
  <c r="CJ74" i="1"/>
  <c r="CL74" i="1" s="1"/>
  <c r="I51" i="2"/>
  <c r="J51" i="2" s="1"/>
  <c r="L51" i="2" s="1"/>
  <c r="I20" i="2"/>
  <c r="J20" i="2" s="1"/>
  <c r="L20" i="2" s="1"/>
  <c r="P55" i="2"/>
  <c r="H55" i="2" s="1"/>
  <c r="CJ103" i="1"/>
  <c r="CL103" i="1" s="1"/>
  <c r="CJ123" i="1"/>
  <c r="CL123" i="1" s="1"/>
  <c r="CJ47" i="1"/>
  <c r="CL47" i="1" s="1"/>
  <c r="P45" i="2"/>
  <c r="H45" i="2" s="1"/>
  <c r="CJ25" i="1"/>
  <c r="CL25" i="1" s="1"/>
  <c r="CJ224" i="1"/>
  <c r="CL224" i="1" s="1"/>
  <c r="CJ114" i="1"/>
  <c r="CL114" i="1" s="1"/>
  <c r="CJ75" i="1"/>
  <c r="CL75" i="1" s="1"/>
  <c r="N7" i="2"/>
  <c r="F8" i="2"/>
  <c r="J25" i="2"/>
  <c r="L25" i="2" s="1"/>
  <c r="I25" i="2"/>
  <c r="CJ78" i="1"/>
  <c r="CL78" i="1" s="1"/>
  <c r="P49" i="2"/>
  <c r="H49" i="2" s="1"/>
  <c r="CJ115" i="1"/>
  <c r="CL115" i="1" s="1"/>
  <c r="CJ233" i="1"/>
  <c r="CL233" i="1" s="1"/>
  <c r="CA269" i="1"/>
  <c r="CD269" i="1"/>
  <c r="AS269" i="1"/>
  <c r="CJ223" i="1"/>
  <c r="CL223" i="1" s="1"/>
  <c r="P40" i="2"/>
  <c r="H40" i="2" s="1"/>
  <c r="CJ148" i="1"/>
  <c r="CL148" i="1" s="1"/>
  <c r="CJ226" i="1"/>
  <c r="CL226" i="1" s="1"/>
  <c r="CJ216" i="1"/>
  <c r="CL216" i="1" s="1"/>
  <c r="CJ131" i="1"/>
  <c r="CL131" i="1" s="1"/>
  <c r="P39" i="2"/>
  <c r="H39" i="2" s="1"/>
  <c r="CJ117" i="1"/>
  <c r="CL117" i="1" s="1"/>
  <c r="CJ228" i="1"/>
  <c r="CL228" i="1" s="1"/>
  <c r="P62" i="2"/>
  <c r="H62" i="2" s="1"/>
  <c r="CJ70" i="1"/>
  <c r="CL70" i="1" s="1"/>
  <c r="CJ23" i="1"/>
  <c r="CL23" i="1" s="1"/>
  <c r="P41" i="2"/>
  <c r="H41" i="2" s="1"/>
  <c r="BY269" i="1"/>
  <c r="CJ18" i="1"/>
  <c r="CL18" i="1" s="1"/>
  <c r="CJ128" i="1"/>
  <c r="CL128" i="1" s="1"/>
  <c r="CJ218" i="1"/>
  <c r="CL218" i="1" s="1"/>
  <c r="CJ237" i="1"/>
  <c r="CL237" i="1" s="1"/>
  <c r="CJ235" i="1"/>
  <c r="CL235" i="1" s="1"/>
  <c r="CJ49" i="1"/>
  <c r="CL49" i="1" s="1"/>
  <c r="CJ80" i="1"/>
  <c r="CL80" i="1" s="1"/>
  <c r="CJ99" i="1"/>
  <c r="CL99" i="1" s="1"/>
  <c r="CJ208" i="1"/>
  <c r="CL208" i="1" s="1"/>
  <c r="CJ177" i="1"/>
  <c r="CL177" i="1" s="1"/>
  <c r="CJ122" i="1"/>
  <c r="CL122" i="1" s="1"/>
  <c r="CJ153" i="1"/>
  <c r="CL153" i="1" s="1"/>
  <c r="P42" i="2"/>
  <c r="H42" i="2" s="1"/>
  <c r="CJ112" i="1"/>
  <c r="CL112" i="1" s="1"/>
  <c r="CJ185" i="1"/>
  <c r="CL185" i="1" s="1"/>
  <c r="CJ227" i="1"/>
  <c r="CL227" i="1" s="1"/>
  <c r="CJ118" i="1"/>
  <c r="CL118" i="1" s="1"/>
  <c r="CJ59" i="1"/>
  <c r="CL59" i="1" s="1"/>
  <c r="CJ92" i="1"/>
  <c r="CL92" i="1" s="1"/>
  <c r="CJ95" i="1"/>
  <c r="CL95" i="1" s="1"/>
  <c r="CJ156" i="1"/>
  <c r="CL156" i="1" s="1"/>
  <c r="CJ193" i="1"/>
  <c r="CL193" i="1" s="1"/>
  <c r="P54" i="2"/>
  <c r="H54" i="2" s="1"/>
  <c r="CJ10" i="1"/>
  <c r="CL10" i="1" s="1"/>
  <c r="J46" i="2"/>
  <c r="L46" i="2" s="1"/>
  <c r="I46" i="2"/>
  <c r="CJ201" i="1"/>
  <c r="CL201" i="1" s="1"/>
  <c r="CJ179" i="1"/>
  <c r="CL179" i="1" s="1"/>
  <c r="CJ98" i="1"/>
  <c r="CL98" i="1" s="1"/>
  <c r="CJ182" i="1"/>
  <c r="CL182" i="1" s="1"/>
  <c r="AV269" i="1"/>
  <c r="BV8" i="1"/>
  <c r="BV269" i="1" s="1"/>
  <c r="CJ162" i="1"/>
  <c r="CL162" i="1" s="1"/>
  <c r="CJ89" i="1"/>
  <c r="CL89" i="1" s="1"/>
  <c r="CJ220" i="1"/>
  <c r="CL220" i="1" s="1"/>
  <c r="CJ67" i="1"/>
  <c r="CL67" i="1" s="1"/>
  <c r="CJ205" i="1"/>
  <c r="CL205" i="1" s="1"/>
  <c r="CJ139" i="1"/>
  <c r="CL139" i="1" s="1"/>
  <c r="CJ71" i="1"/>
  <c r="CL71" i="1" s="1"/>
  <c r="CJ40" i="1"/>
  <c r="CL40" i="1" s="1"/>
  <c r="CJ197" i="1"/>
  <c r="CL197" i="1" s="1"/>
  <c r="CJ119" i="1"/>
  <c r="CL119" i="1" s="1"/>
  <c r="CJ35" i="1"/>
  <c r="CL35" i="1" s="1"/>
  <c r="CJ186" i="1"/>
  <c r="CL186" i="1" s="1"/>
  <c r="CG269" i="1"/>
  <c r="CH269" i="1"/>
  <c r="CJ212" i="1"/>
  <c r="CL212" i="1" s="1"/>
  <c r="CJ63" i="1"/>
  <c r="CL63" i="1" s="1"/>
  <c r="CJ85" i="1"/>
  <c r="CL85" i="1" s="1"/>
  <c r="CJ15" i="1"/>
  <c r="CL15" i="1" s="1"/>
  <c r="CJ111" i="1"/>
  <c r="CL111" i="1" s="1"/>
  <c r="CJ183" i="1"/>
  <c r="CL183" i="1" s="1"/>
  <c r="CJ203" i="1"/>
  <c r="CL203" i="1" s="1"/>
  <c r="CJ31" i="1"/>
  <c r="CL31" i="1" s="1"/>
  <c r="CJ241" i="1"/>
  <c r="CL241" i="1" s="1"/>
  <c r="L10" i="2" l="1"/>
  <c r="H35" i="2"/>
  <c r="J35" i="2" s="1"/>
  <c r="L35" i="2" s="1"/>
  <c r="J39" i="2"/>
  <c r="L39" i="2" s="1"/>
  <c r="I39" i="2"/>
  <c r="J52" i="2"/>
  <c r="L52" i="2" s="1"/>
  <c r="I52" i="2"/>
  <c r="J55" i="2"/>
  <c r="L55" i="2" s="1"/>
  <c r="I55" i="2"/>
  <c r="BJ279" i="1"/>
  <c r="BJ277" i="1"/>
  <c r="BK274" i="1" s="1"/>
  <c r="BK277" i="1" s="1"/>
  <c r="BL274" i="1" s="1"/>
  <c r="BL277" i="1" s="1"/>
  <c r="BM274" i="1" s="1"/>
  <c r="BM277" i="1" s="1"/>
  <c r="BN274" i="1" s="1"/>
  <c r="BN277" i="1" s="1"/>
  <c r="BO274" i="1" s="1"/>
  <c r="BO277" i="1" s="1"/>
  <c r="BP274" i="1" s="1"/>
  <c r="BP277" i="1" s="1"/>
  <c r="BQ274" i="1" s="1"/>
  <c r="BQ277" i="1" s="1"/>
  <c r="BR274" i="1" s="1"/>
  <c r="BR277" i="1" s="1"/>
  <c r="BS274" i="1" s="1"/>
  <c r="BS277" i="1" s="1"/>
  <c r="BT274" i="1" s="1"/>
  <c r="BT277" i="1" s="1"/>
  <c r="BU274" i="1" s="1"/>
  <c r="BU277" i="1" s="1"/>
  <c r="CJ269" i="1"/>
  <c r="CL8" i="1"/>
  <c r="J54" i="2"/>
  <c r="L54" i="2" s="1"/>
  <c r="I54" i="2"/>
  <c r="I62" i="2"/>
  <c r="J62" i="2"/>
  <c r="L62" i="2" s="1"/>
  <c r="N41" i="2"/>
  <c r="F42" i="2"/>
  <c r="BX273" i="1"/>
  <c r="BY273" i="1" s="1"/>
  <c r="BZ273" i="1" s="1"/>
  <c r="CA273" i="1" s="1"/>
  <c r="CB273" i="1" s="1"/>
  <c r="CC273" i="1" s="1"/>
  <c r="CD273" i="1" s="1"/>
  <c r="CE273" i="1" s="1"/>
  <c r="CF273" i="1" s="1"/>
  <c r="CG273" i="1" s="1"/>
  <c r="CH273" i="1" s="1"/>
  <c r="CI273" i="1" s="1"/>
  <c r="BX271" i="1"/>
  <c r="BY271" i="1" s="1"/>
  <c r="BZ271" i="1" s="1"/>
  <c r="CA271" i="1" s="1"/>
  <c r="CB271" i="1" s="1"/>
  <c r="CC271" i="1" s="1"/>
  <c r="CD271" i="1" s="1"/>
  <c r="CE271" i="1" s="1"/>
  <c r="CF271" i="1" s="1"/>
  <c r="CG271" i="1" s="1"/>
  <c r="CH271" i="1" s="1"/>
  <c r="CI271" i="1" s="1"/>
  <c r="J42" i="2"/>
  <c r="L42" i="2" s="1"/>
  <c r="I42" i="2"/>
  <c r="F9" i="2"/>
  <c r="N8" i="2"/>
  <c r="J45" i="2"/>
  <c r="L45" i="2" s="1"/>
  <c r="I45" i="2"/>
  <c r="J60" i="2"/>
  <c r="L60" i="2" s="1"/>
  <c r="I60" i="2"/>
  <c r="I44" i="2"/>
  <c r="J44" i="2"/>
  <c r="L44" i="2" s="1"/>
  <c r="I50" i="2"/>
  <c r="J50" i="2"/>
  <c r="L50" i="2" s="1"/>
  <c r="J48" i="2"/>
  <c r="L48" i="2" s="1"/>
  <c r="I48" i="2"/>
  <c r="J40" i="2"/>
  <c r="L40" i="2" s="1"/>
  <c r="I40" i="2"/>
  <c r="I41" i="2"/>
  <c r="J41" i="2"/>
  <c r="L41" i="2" s="1"/>
  <c r="J49" i="2"/>
  <c r="L49" i="2" s="1"/>
  <c r="I49" i="2"/>
  <c r="J36" i="2"/>
  <c r="I36" i="2"/>
  <c r="F43" i="2" l="1"/>
  <c r="N42" i="2"/>
  <c r="L36" i="2"/>
  <c r="I67" i="2"/>
  <c r="J67" i="2" s="1"/>
  <c r="L67" i="2" s="1"/>
  <c r="N9" i="2"/>
  <c r="F10" i="2"/>
  <c r="N43" i="2" l="1"/>
  <c r="F44" i="2"/>
  <c r="N10" i="2"/>
  <c r="F11" i="2"/>
  <c r="F12" i="2" l="1"/>
  <c r="N11" i="2"/>
  <c r="N44" i="2"/>
  <c r="F45" i="2"/>
  <c r="F46" i="2" l="1"/>
  <c r="N45" i="2"/>
  <c r="N12" i="2"/>
  <c r="F13" i="2"/>
  <c r="N13" i="2" l="1"/>
  <c r="F14" i="2"/>
  <c r="N46" i="2"/>
  <c r="F47" i="2"/>
  <c r="F15" i="2" l="1"/>
  <c r="N14" i="2"/>
  <c r="N47" i="2"/>
  <c r="F48" i="2"/>
  <c r="F49" i="2" l="1"/>
  <c r="N48" i="2"/>
  <c r="F16" i="2"/>
  <c r="N15" i="2"/>
  <c r="N16" i="2" l="1"/>
  <c r="F17" i="2"/>
  <c r="N49" i="2"/>
  <c r="F50" i="2"/>
  <c r="N50" i="2" s="1"/>
  <c r="F51" i="2"/>
  <c r="F52" i="2" l="1"/>
  <c r="N51" i="2"/>
  <c r="F18" i="2"/>
  <c r="N17" i="2"/>
  <c r="N18" i="2" l="1"/>
  <c r="F19" i="2"/>
  <c r="N52" i="2"/>
  <c r="F53" i="2"/>
  <c r="N19" i="2" l="1"/>
  <c r="F20" i="2"/>
  <c r="N53" i="2"/>
  <c r="F54" i="2"/>
  <c r="F55" i="2" l="1"/>
  <c r="N54" i="2"/>
  <c r="F21" i="2"/>
  <c r="N20" i="2"/>
  <c r="N21" i="2" l="1"/>
  <c r="F22" i="2"/>
  <c r="N55" i="2"/>
  <c r="F56" i="2"/>
  <c r="N56" i="2" l="1"/>
  <c r="F57" i="2"/>
  <c r="F23" i="2"/>
  <c r="N22" i="2"/>
  <c r="N23" i="2" l="1"/>
  <c r="F24" i="2"/>
  <c r="F58" i="2"/>
  <c r="N57" i="2"/>
  <c r="F25" i="2" l="1"/>
  <c r="N24" i="2"/>
  <c r="N58" i="2"/>
  <c r="F59" i="2"/>
  <c r="N59" i="2" l="1"/>
  <c r="F60" i="2"/>
  <c r="N25" i="2"/>
  <c r="F26" i="2"/>
  <c r="F61" i="2" l="1"/>
  <c r="N60" i="2"/>
  <c r="F27" i="2"/>
  <c r="N26" i="2"/>
  <c r="N61" i="2" l="1"/>
  <c r="F62" i="2"/>
  <c r="F28" i="2"/>
  <c r="N27" i="2"/>
  <c r="N62" i="2" l="1"/>
  <c r="F67" i="2"/>
  <c r="N67" i="2" s="1"/>
  <c r="F63" i="2"/>
  <c r="F29" i="2"/>
  <c r="N28" i="2"/>
  <c r="F30" i="2" l="1"/>
  <c r="N29" i="2"/>
  <c r="N63" i="2"/>
  <c r="F65" i="2"/>
  <c r="F64" i="2"/>
  <c r="N64" i="2" s="1"/>
  <c r="N65" i="2" l="1"/>
  <c r="F66" i="2"/>
  <c r="N66" i="2" s="1"/>
  <c r="F31" i="2"/>
  <c r="N30" i="2"/>
  <c r="F33" i="2" l="1"/>
  <c r="F32" i="2"/>
  <c r="N32" i="2" s="1"/>
  <c r="N31" i="2"/>
  <c r="N33" i="2" l="1"/>
  <c r="F34" i="2"/>
  <c r="F35" i="2" l="1"/>
  <c r="N35" i="2" s="1"/>
  <c r="N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Sylvie Kambau</author>
    <author>Stephanie Angono</author>
  </authors>
  <commentList>
    <comment ref="Q7" authorId="0" shapeId="0" xr:uid="{B0C9F9BC-A769-434D-94B6-A51FA0C77AD9}">
      <text>
        <r>
          <rPr>
            <b/>
            <sz val="9"/>
            <rFont val="Tahoma"/>
            <family val="2"/>
          </rPr>
          <t>Sylvie Kambau:</t>
        </r>
        <r>
          <rPr>
            <sz val="9"/>
            <rFont val="Tahoma"/>
            <family val="2"/>
          </rPr>
          <t xml:space="preserve">
Already included ancienneté 5years reached until 20/12/2019</t>
        </r>
      </text>
    </comment>
    <comment ref="CD30" authorId="1" shapeId="0" xr:uid="{3A89EF2F-C97B-4958-AEB6-48490DFC6458}">
      <text>
        <r>
          <rPr>
            <b/>
            <sz val="9"/>
            <rFont val="Tahoma"/>
            <family val="2"/>
          </rPr>
          <t>Stephanie Angono:</t>
        </r>
        <r>
          <rPr>
            <sz val="9"/>
            <rFont val="Tahoma"/>
            <family val="2"/>
          </rPr>
          <t xml:space="preserve">
11.25$ Rappel of June 18</t>
        </r>
      </text>
    </comment>
    <comment ref="AZ74" authorId="1" shapeId="0" xr:uid="{EECAB8BD-EE72-4B48-A29B-92D14FDAAA7D}">
      <text>
        <r>
          <rPr>
            <b/>
            <sz val="9"/>
            <rFont val="Tahoma"/>
            <family val="2"/>
          </rPr>
          <t>Stephanie Angono:</t>
        </r>
        <r>
          <rPr>
            <sz val="9"/>
            <rFont val="Tahoma"/>
            <family val="2"/>
          </rPr>
          <t xml:space="preserve">
Rappel - 200$ salaire de base</t>
        </r>
      </text>
    </comment>
    <comment ref="CA74" authorId="1" shapeId="0" xr:uid="{D0D97FED-7F50-4BC6-B5E2-8C662FAB519D}">
      <text>
        <r>
          <rPr>
            <b/>
            <sz val="9"/>
            <rFont val="Tahoma"/>
            <family val="2"/>
          </rPr>
          <t>Stephanie Angono:</t>
        </r>
        <r>
          <rPr>
            <sz val="9"/>
            <rFont val="Tahoma"/>
            <family val="2"/>
          </rPr>
          <t xml:space="preserve">
Rappel / salaire de base $200
</t>
        </r>
      </text>
    </comment>
    <comment ref="CL96" authorId="1" shapeId="0" xr:uid="{8A429A8E-BC64-4D0C-BDF7-D6E3BB2F7645}">
      <text>
        <r>
          <rPr>
            <b/>
            <sz val="9"/>
            <rFont val="Tahoma"/>
            <family val="2"/>
          </rPr>
          <t>Stephanie Angono:</t>
        </r>
        <r>
          <rPr>
            <sz val="9"/>
            <rFont val="Tahoma"/>
            <family val="2"/>
          </rPr>
          <t xml:space="preserve">
Aug base - 2021
</t>
        </r>
      </text>
    </comment>
    <comment ref="AH209" authorId="1" shapeId="0" xr:uid="{C9778A41-E864-4AD8-8FA5-C40D30B76BFC}">
      <text>
        <r>
          <rPr>
            <b/>
            <sz val="9"/>
            <rFont val="Tahoma"/>
            <family val="2"/>
          </rPr>
          <t>Stephanie Angono:</t>
        </r>
        <r>
          <rPr>
            <sz val="9"/>
            <rFont val="Tahoma"/>
            <family val="2"/>
          </rPr>
          <t xml:space="preserve">
Congé pris en janvier 2024 - 18j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Verleyen</author>
  </authors>
  <commentList>
    <comment ref="J3" authorId="0" shapeId="0" xr:uid="{5A5B0F7C-6111-4D6B-B313-EA1C95C7B290}">
      <text>
        <r>
          <rPr>
            <b/>
            <sz val="9"/>
            <rFont val="Tahoma"/>
            <family val="2"/>
          </rPr>
          <t>Charles Verleyen:</t>
        </r>
        <r>
          <rPr>
            <sz val="9"/>
            <rFont val="Tahoma"/>
            <family val="2"/>
          </rPr>
          <t xml:space="preserve">
Filtrer par &lt;&gt;0</t>
        </r>
      </text>
    </comment>
    <comment ref="P3" authorId="0" shapeId="0" xr:uid="{795FDD8C-D083-4342-8216-C892655E5048}">
      <text>
        <r>
          <rPr>
            <b/>
            <sz val="9"/>
            <rFont val="Tahoma"/>
            <family val="2"/>
          </rPr>
          <t>Change the colum depending on the month!!!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<sst xmlns="http://schemas.openxmlformats.org/spreadsheetml/2006/main" count="1104" uniqueCount="725">
  <si>
    <t>VACATION ACCRUAL LOCAL EMPLOYEES-FCH 2025</t>
  </si>
  <si>
    <t>FILL ALL THE CELLS IN GREEN ONLY</t>
  </si>
  <si>
    <t>-Add new employee names &amp; information</t>
  </si>
  <si>
    <t>DAYS OF THE Month</t>
  </si>
  <si>
    <t>-Don’t' delete names of employee who have left, Just fill the leaving date in cell F</t>
  </si>
  <si>
    <t>ADD</t>
  </si>
  <si>
    <t>ID</t>
  </si>
  <si>
    <t>Nom</t>
  </si>
  <si>
    <t>POSITION</t>
  </si>
  <si>
    <t>CC</t>
  </si>
  <si>
    <t>Salaire de base Mensuel</t>
  </si>
  <si>
    <t xml:space="preserve">Starting date </t>
  </si>
  <si>
    <t>Current YEAR Date Prov.</t>
  </si>
  <si>
    <t>Type</t>
  </si>
  <si>
    <t>CDI Date</t>
  </si>
  <si>
    <t>Change Date1</t>
  </si>
  <si>
    <t>New Base1</t>
  </si>
  <si>
    <t>Change Date2</t>
  </si>
  <si>
    <t>New Base2</t>
  </si>
  <si>
    <t>Leaving date</t>
  </si>
  <si>
    <t>1Day Ancienneté/5Years in Current Year</t>
  </si>
  <si>
    <t>VACATION BALANCE 2024 (Days)</t>
  </si>
  <si>
    <t>TOTAL VACATION ACCRUAL 2025 (Days)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</si>
  <si>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</si>
  <si>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</si>
  <si>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</si>
  <si>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</si>
  <si>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</si>
  <si>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</si>
  <si>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</si>
  <si>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</si>
  <si>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</si>
  <si>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</si>
  <si>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</si>
  <si>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</si>
  <si>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DAYS PAID/FINANCE (25)</t>
  </si>
  <si>
    <t>TOTAL BALANCE Days TO  PAY 2025</t>
  </si>
  <si>
    <t>TOTAL VACATION BALANCE 2024 ($)</t>
  </si>
  <si>
    <t>TOTAL VACATION ACCRUAL 2025($)</t>
  </si>
  <si>
    <t>$ TAKEN (Reversal)</t>
  </si>
  <si>
    <t>TOTAL BALANCE $ 2025
231330</t>
  </si>
  <si>
    <t>TOTAL 13th Month BALANCE 2025 ($)</t>
  </si>
  <si>
    <t>DAYS/YEAR</t>
  </si>
  <si>
    <t>Salaire de base</t>
  </si>
  <si>
    <t>03035</t>
  </si>
  <si>
    <t>KIWIDI SALABISALA CHRISTIAN</t>
  </si>
  <si>
    <t>Income Auditor</t>
  </si>
  <si>
    <t>03047</t>
  </si>
  <si>
    <t>KITENGIE KAPENGA GAUTHIER</t>
  </si>
  <si>
    <t>Credit Manager</t>
  </si>
  <si>
    <t>04209</t>
  </si>
  <si>
    <t>NGANI ANGONO STEPHANIE</t>
  </si>
  <si>
    <t>Payroll Accountant</t>
  </si>
  <si>
    <t>04019</t>
  </si>
  <si>
    <t xml:space="preserve">MAKUNTIMA MAMBUENE COUCOU  </t>
  </si>
  <si>
    <t>Concierge Supervisor</t>
  </si>
  <si>
    <t>04020</t>
  </si>
  <si>
    <t>NSUMBU KAYEMBE GIRESSE</t>
  </si>
  <si>
    <t>Receptionist</t>
  </si>
  <si>
    <t>04035</t>
  </si>
  <si>
    <t>TSHIMANGA MUKADI DIDIER</t>
  </si>
  <si>
    <t>Assistant Front Office Manager</t>
  </si>
  <si>
    <t>04151</t>
  </si>
  <si>
    <t>MUNTUNU KILUMU DESCARTES</t>
  </si>
  <si>
    <t>Night Shift Supervisor</t>
  </si>
  <si>
    <t>04177</t>
  </si>
  <si>
    <t>NDONGO NDONGO LARRY</t>
  </si>
  <si>
    <t>Bell Boy</t>
  </si>
  <si>
    <t>04221</t>
  </si>
  <si>
    <t>DUNGIKA NGUNGA CHRISTOPHE</t>
  </si>
  <si>
    <t>Business Center Agent</t>
  </si>
  <si>
    <t>04087</t>
  </si>
  <si>
    <t>BONGONDO EALE DADDY</t>
  </si>
  <si>
    <t>Laundry Manager</t>
  </si>
  <si>
    <t>04088</t>
  </si>
  <si>
    <t>MUNGWA NTSHUE SERGE</t>
  </si>
  <si>
    <t>Uniform Room Attendant</t>
  </si>
  <si>
    <t>04102</t>
  </si>
  <si>
    <t>NSIMBA LUFOKO PLATINI</t>
  </si>
  <si>
    <t>Laundry Attendant</t>
  </si>
  <si>
    <t>05226</t>
  </si>
  <si>
    <t>BIEMOMO GHISLAIN</t>
  </si>
  <si>
    <t>Assistant Rest.Manager</t>
  </si>
  <si>
    <t>05299</t>
  </si>
  <si>
    <t>NGATEY THUMU BRUNO</t>
  </si>
  <si>
    <t>Restaurant Supervisor</t>
  </si>
  <si>
    <t>07128</t>
  </si>
  <si>
    <t>MAYALA KANDA FULGENCE</t>
  </si>
  <si>
    <t>Waitress/Cashier</t>
  </si>
  <si>
    <t>04042</t>
  </si>
  <si>
    <t xml:space="preserve">NTUMBA NKONGOLO ANNIE </t>
  </si>
  <si>
    <t>Floor Supervisor</t>
  </si>
  <si>
    <t>04052</t>
  </si>
  <si>
    <t>EFEFA ITENDOLA ELVIS</t>
  </si>
  <si>
    <t>04054</t>
  </si>
  <si>
    <t>IKULU KITOKO HERITIER</t>
  </si>
  <si>
    <t>04056</t>
  </si>
  <si>
    <t>KAPINGA MASANKA MAMY MIRANDA</t>
  </si>
  <si>
    <t>04082</t>
  </si>
  <si>
    <t>MBAKI MBUNGU JEAN</t>
  </si>
  <si>
    <t>Tailor</t>
  </si>
  <si>
    <t>04091</t>
  </si>
  <si>
    <t>KIPE MATALATALA NORBERT</t>
  </si>
  <si>
    <t>04152</t>
  </si>
  <si>
    <t xml:space="preserve">YANGE ANDULU BLAISE </t>
  </si>
  <si>
    <t>Gardener</t>
  </si>
  <si>
    <t>07165</t>
  </si>
  <si>
    <t>MUANDA BLANCHE</t>
  </si>
  <si>
    <t>04039</t>
  </si>
  <si>
    <t xml:space="preserve">KAYINGA NZAKIMWENA RUTH </t>
  </si>
  <si>
    <t xml:space="preserve">Housekeeping Assistant Manager </t>
  </si>
  <si>
    <t>04047</t>
  </si>
  <si>
    <t>SELUVANGIDIO MAMBOTE SANDRA</t>
  </si>
  <si>
    <t>F&amp;B Coordinator</t>
  </si>
  <si>
    <t>04051</t>
  </si>
  <si>
    <t>BOLA BATEKO PAUL</t>
  </si>
  <si>
    <t>04058</t>
  </si>
  <si>
    <t>KAWUNDA MUNDALA JOSEPH</t>
  </si>
  <si>
    <t>Housekeeping Floor Supervisor</t>
  </si>
  <si>
    <t>04060</t>
  </si>
  <si>
    <t>KIANGI MASONGELE PATCHELY</t>
  </si>
  <si>
    <t>Room Attendant</t>
  </si>
  <si>
    <t>04062</t>
  </si>
  <si>
    <t>MAKOLA MAPUYA ERIC</t>
  </si>
  <si>
    <t>04063</t>
  </si>
  <si>
    <t>MALEMBU NZONZI MALE</t>
  </si>
  <si>
    <t>Acting Public Area Supervisor</t>
  </si>
  <si>
    <t>04064</t>
  </si>
  <si>
    <t>MALIBA ABWAKELA ALAIN</t>
  </si>
  <si>
    <t>Turndown Attendant</t>
  </si>
  <si>
    <t>04070</t>
  </si>
  <si>
    <t>VIONGA ONASHUTU FATUMA</t>
  </si>
  <si>
    <t>04092</t>
  </si>
  <si>
    <t>BIDUAYA MUAMBA ALAIN</t>
  </si>
  <si>
    <t>Public Area Attendant</t>
  </si>
  <si>
    <t>04098</t>
  </si>
  <si>
    <t>MBONGO RISQUIN ARISTOTE</t>
  </si>
  <si>
    <t>04101</t>
  </si>
  <si>
    <t>MWAYILA MALEMBE STEVE</t>
  </si>
  <si>
    <t>Public Area Supervisor</t>
  </si>
  <si>
    <t>04103</t>
  </si>
  <si>
    <t>KALALA NDALA VALERIN</t>
  </si>
  <si>
    <t>04104</t>
  </si>
  <si>
    <t>IBANDA MAYAMBA AXEL</t>
  </si>
  <si>
    <t>04105</t>
  </si>
  <si>
    <t>KALALA MOKENZA PETER</t>
  </si>
  <si>
    <t>04141</t>
  </si>
  <si>
    <t>LUKUSA TSHILUMBA CEDRICK</t>
  </si>
  <si>
    <t>04144</t>
  </si>
  <si>
    <t>NELESE SINGA GIRESSE</t>
  </si>
  <si>
    <t>Housekeeping Pest Control Attend</t>
  </si>
  <si>
    <t>04146</t>
  </si>
  <si>
    <t>MUNZONZIMBU KABUNGA MIMIE</t>
  </si>
  <si>
    <t>04183</t>
  </si>
  <si>
    <t>MULUNDU MUSASA VICTOR</t>
  </si>
  <si>
    <t>04201</t>
  </si>
  <si>
    <t>KONGO NIETI MOKE</t>
  </si>
  <si>
    <t>04242</t>
  </si>
  <si>
    <t>MULUFWA NGOLI EVARISTE</t>
  </si>
  <si>
    <t>04243</t>
  </si>
  <si>
    <t>ZAZI IBANGA GUELORD</t>
  </si>
  <si>
    <t>06032</t>
  </si>
  <si>
    <t>ANGAMBA BORAS GIRESSE</t>
  </si>
  <si>
    <t>Laundry Technician</t>
  </si>
  <si>
    <t>07114</t>
  </si>
  <si>
    <t>NSUNGI KIDAYA CHRISTELLE</t>
  </si>
  <si>
    <t>07120</t>
  </si>
  <si>
    <t>KAMAKA ELYSEE</t>
  </si>
  <si>
    <t>07139</t>
  </si>
  <si>
    <t>KEWA KENDA JOELLE</t>
  </si>
  <si>
    <t>Secrétaire de Direction</t>
  </si>
  <si>
    <t>07151</t>
  </si>
  <si>
    <t>KAHUNGU PELENDE GIRESSE</t>
  </si>
  <si>
    <t>HK Attendant</t>
  </si>
  <si>
    <t>07153</t>
  </si>
  <si>
    <t>SOKI NZAKIMWENA EUNICE</t>
  </si>
  <si>
    <t>02033</t>
  </si>
  <si>
    <t>KAIBA MIY MUTOMBO LAURETTE</t>
  </si>
  <si>
    <t>Training Assistante</t>
  </si>
  <si>
    <t>02044</t>
  </si>
  <si>
    <t>MANGAMBA SUKADI SAM</t>
  </si>
  <si>
    <t>Staff Facilities Attendant</t>
  </si>
  <si>
    <t>04229</t>
  </si>
  <si>
    <t>MANGAZA KUANDUA ELYSEE</t>
  </si>
  <si>
    <t>Superviseuse de la Résidence des employés</t>
  </si>
  <si>
    <t>07134</t>
  </si>
  <si>
    <t>KASALI YUMA JEAN LUC</t>
  </si>
  <si>
    <t>01016</t>
  </si>
  <si>
    <t>NGAMUKUBA MBO FOSTER</t>
  </si>
  <si>
    <t>A&amp;G Driver</t>
  </si>
  <si>
    <t>05158</t>
  </si>
  <si>
    <t>NZAU LUVUEZO DIEU MERCI</t>
  </si>
  <si>
    <t>Groups &amp; Events Coordinator</t>
  </si>
  <si>
    <t>05311</t>
  </si>
  <si>
    <t>MUKUE MIGUEL DINKONDO</t>
  </si>
  <si>
    <t>Banquet Waiter</t>
  </si>
  <si>
    <t>05312</t>
  </si>
  <si>
    <t>MULENGA KASHALA EDDY</t>
  </si>
  <si>
    <t>Banquet Supervisor</t>
  </si>
  <si>
    <t>05322</t>
  </si>
  <si>
    <t>MWAMBA LUTUMBA CARLOS</t>
  </si>
  <si>
    <t>05327</t>
  </si>
  <si>
    <t>MUNGENDA KISALA DAVE</t>
  </si>
  <si>
    <t>Assit Banquet Manager</t>
  </si>
  <si>
    <t>07168</t>
  </si>
  <si>
    <t>TUNGU MVUELA KEVIN</t>
  </si>
  <si>
    <t>Waiter</t>
  </si>
  <si>
    <t>07126</t>
  </si>
  <si>
    <t>NGANGU KOKALEMO VAN</t>
  </si>
  <si>
    <t>IT Supervisor</t>
  </si>
  <si>
    <t>02011</t>
  </si>
  <si>
    <t>DITONDO MBUBI BIBICHE</t>
  </si>
  <si>
    <t>Commis polyvalent</t>
  </si>
  <si>
    <t>02016</t>
  </si>
  <si>
    <t>MUFETE MUMBANDA COCO</t>
  </si>
  <si>
    <t>02030</t>
  </si>
  <si>
    <t>KAHUNGU MUNINGOMA GODEFROID</t>
  </si>
  <si>
    <t>Employee Cafetaria Cook</t>
  </si>
  <si>
    <t>02040</t>
  </si>
  <si>
    <t>MAKEMBI MASUAKU NICKEL</t>
  </si>
  <si>
    <t>04172</t>
  </si>
  <si>
    <t>BALIHENDA SUMAILI JUNIOR</t>
  </si>
  <si>
    <t>05077</t>
  </si>
  <si>
    <t>MPEZO MPIUTU HERVE</t>
  </si>
  <si>
    <t>Commis</t>
  </si>
  <si>
    <t>05205</t>
  </si>
  <si>
    <t>KIDIMA NDOMPETELO REAGAN</t>
  </si>
  <si>
    <t>Demi-Chef de partie</t>
  </si>
  <si>
    <t>02013</t>
  </si>
  <si>
    <t>ILUNGA MUTOKA FRANCY</t>
  </si>
  <si>
    <t>Chef de Partie</t>
  </si>
  <si>
    <t>02018</t>
  </si>
  <si>
    <t>TSHILUMBA BEYA FLORENCE</t>
  </si>
  <si>
    <t>Commis II</t>
  </si>
  <si>
    <t>02041</t>
  </si>
  <si>
    <t>NGWAPITSHI MAKENGO JEAN BAPTISTE</t>
  </si>
  <si>
    <t>05067</t>
  </si>
  <si>
    <t>KASELA KALOMBO BILLY</t>
  </si>
  <si>
    <t>05098</t>
  </si>
  <si>
    <t>KABONGO LUDIKA BATU</t>
  </si>
  <si>
    <t>Chef de partie</t>
  </si>
  <si>
    <t>05101</t>
  </si>
  <si>
    <t>KAYOKO KONYI FRANCINE</t>
  </si>
  <si>
    <t>05112</t>
  </si>
  <si>
    <t>MAMFUMU MAMBEMBE NOUCHKA</t>
  </si>
  <si>
    <t>05125</t>
  </si>
  <si>
    <t>ZENGA MAYIMONA GAYLORD</t>
  </si>
  <si>
    <t>Demi-Chef de Partie</t>
  </si>
  <si>
    <t>05127</t>
  </si>
  <si>
    <t>KAPINGA BAJIKILA MAGALIE</t>
  </si>
  <si>
    <t>05208</t>
  </si>
  <si>
    <t xml:space="preserve">KATUNDA MUSONGO CLAUDE </t>
  </si>
  <si>
    <t>Chef De Partie</t>
  </si>
  <si>
    <t>05221</t>
  </si>
  <si>
    <t>NAKESE ASEMA GUYLAIN</t>
  </si>
  <si>
    <t>05232</t>
  </si>
  <si>
    <t>MPUKUTA LANDU KHA</t>
  </si>
  <si>
    <t>Butcher Commis II</t>
  </si>
  <si>
    <t>05241</t>
  </si>
  <si>
    <t>KABEMBA MAVUNDA BAVON</t>
  </si>
  <si>
    <t>Commis de Patissier II</t>
  </si>
  <si>
    <t>05280</t>
  </si>
  <si>
    <t xml:space="preserve">LAMA AMBAOTE ORNELLA </t>
  </si>
  <si>
    <t>Commis I</t>
  </si>
  <si>
    <t>05281</t>
  </si>
  <si>
    <t>MAKETA MAKANDA GUYLAIN</t>
  </si>
  <si>
    <t>05286</t>
  </si>
  <si>
    <t>KATUPANGANI TSHINYAMA JOSUE</t>
  </si>
  <si>
    <t>Junior Sous Chef</t>
  </si>
  <si>
    <t>05287</t>
  </si>
  <si>
    <t>MATONDO MAKINU FLAVIEN</t>
  </si>
  <si>
    <t>Cold Kitchen Chef De Partie</t>
  </si>
  <si>
    <t>05302</t>
  </si>
  <si>
    <t>MUNTUNU BALIA CHRISTELLE</t>
  </si>
  <si>
    <t>05303</t>
  </si>
  <si>
    <t>NZUZI SIAMI JEANCY</t>
  </si>
  <si>
    <t>05304</t>
  </si>
  <si>
    <t>KATUNDA MWELA ARNAUD</t>
  </si>
  <si>
    <t>07105</t>
  </si>
  <si>
    <t>KASOTA KAKUMA AMEDE</t>
  </si>
  <si>
    <t>07106</t>
  </si>
  <si>
    <t>KEMBO MAMBU JACQUET</t>
  </si>
  <si>
    <t>07119</t>
  </si>
  <si>
    <t>MAMONO DIKUIZA JOSE</t>
  </si>
  <si>
    <t>chef de partie</t>
  </si>
  <si>
    <t>07122</t>
  </si>
  <si>
    <t>YANGE MOISE</t>
  </si>
  <si>
    <t>07156</t>
  </si>
  <si>
    <t>LUVUNGU LUKAMBA ALPHONSINE</t>
  </si>
  <si>
    <t>03044</t>
  </si>
  <si>
    <t>KANDE MISENGA NADINE</t>
  </si>
  <si>
    <t>F&amp;B Outlet Controller</t>
  </si>
  <si>
    <t>05025</t>
  </si>
  <si>
    <t>KIOWA NSUNGU ANGEL</t>
  </si>
  <si>
    <t>05050</t>
  </si>
  <si>
    <t>MASSAYA MBUSO ANICA</t>
  </si>
  <si>
    <t>Chef  de Rang</t>
  </si>
  <si>
    <t>05059</t>
  </si>
  <si>
    <t>ATUBUNA MBANGU RODRIGUE</t>
  </si>
  <si>
    <t>05060</t>
  </si>
  <si>
    <t xml:space="preserve">BADIASHILE KASENDUE ABEDNEGO </t>
  </si>
  <si>
    <t>Chef Steward</t>
  </si>
  <si>
    <t>05218</t>
  </si>
  <si>
    <t>NSANGU NZUZI MARAY</t>
  </si>
  <si>
    <t>Restaurant Waiter</t>
  </si>
  <si>
    <t>05301</t>
  </si>
  <si>
    <t>NSALA NICOLE</t>
  </si>
  <si>
    <t>07117</t>
  </si>
  <si>
    <t>CIBANGU MUKUNA LAURENT</t>
  </si>
  <si>
    <t>Order taker/Cashier</t>
  </si>
  <si>
    <t>07131</t>
  </si>
  <si>
    <t>NSUMBU MABETI MICHEL</t>
  </si>
  <si>
    <t>Bartender</t>
  </si>
  <si>
    <t>05039</t>
  </si>
  <si>
    <t>MUNIRA MUANA CARINE</t>
  </si>
  <si>
    <t>F&amp;B Controller</t>
  </si>
  <si>
    <t>05051</t>
  </si>
  <si>
    <t>IKOSE BAMENGA MAMIE</t>
  </si>
  <si>
    <t>Cashier Supervisor</t>
  </si>
  <si>
    <t>04096</t>
  </si>
  <si>
    <t>MATAMPILA MVULA PATHY</t>
  </si>
  <si>
    <t>Gym Supervisor</t>
  </si>
  <si>
    <t>04109</t>
  </si>
  <si>
    <t>MASSY PANZAKA CEDRICK</t>
  </si>
  <si>
    <t>Lifeguard</t>
  </si>
  <si>
    <t>04118</t>
  </si>
  <si>
    <t>LUBAKI BABELA JACQUES</t>
  </si>
  <si>
    <t>Gym Instructor</t>
  </si>
  <si>
    <t>04239</t>
  </si>
  <si>
    <t>BAMA NSALAMBOTE HYPPOLITE</t>
  </si>
  <si>
    <t>06010</t>
  </si>
  <si>
    <t>KUTUNA KUABANTU JONAS</t>
  </si>
  <si>
    <t>Room Maintener</t>
  </si>
  <si>
    <t>06012</t>
  </si>
  <si>
    <t>NSIMBA MPASI LEON</t>
  </si>
  <si>
    <t>MECHANICIAN</t>
  </si>
  <si>
    <t>06016</t>
  </si>
  <si>
    <t>DJUGU FRANCOIS MARCEL</t>
  </si>
  <si>
    <t>06017</t>
  </si>
  <si>
    <t>KANUMUTAMBI LUMU SHAMBUYI CHRISTIAN</t>
  </si>
  <si>
    <t>06018</t>
  </si>
  <si>
    <t>WIZAMO KUNDANA DIEU MERCI</t>
  </si>
  <si>
    <t>06023</t>
  </si>
  <si>
    <t>KISANGI BISENGO MARTIN</t>
  </si>
  <si>
    <t>SHIFT LEADER</t>
  </si>
  <si>
    <t>06024</t>
  </si>
  <si>
    <t xml:space="preserve">OMUNGA W`OMUNGA CHRISTOPHE </t>
  </si>
  <si>
    <t>06025</t>
  </si>
  <si>
    <t>KABUMUNA KAYEMBE LEONARD</t>
  </si>
  <si>
    <t>ENGINEERING</t>
  </si>
  <si>
    <t>06027</t>
  </si>
  <si>
    <t>KALALA CIAMALA PATRICK</t>
  </si>
  <si>
    <t>PLOMBIER</t>
  </si>
  <si>
    <t>06029</t>
  </si>
  <si>
    <t>MOLENGO MBULI DESIRE</t>
  </si>
  <si>
    <t>FLEURISTE</t>
  </si>
  <si>
    <t>06030</t>
  </si>
  <si>
    <t>ESUME LUKUBAMA DIEU MERCI</t>
  </si>
  <si>
    <t>06031</t>
  </si>
  <si>
    <t>NGWATALA INZEME DIEU MERCI</t>
  </si>
  <si>
    <t>06035</t>
  </si>
  <si>
    <t>BOKUNGU EKEGOLA FELLY</t>
  </si>
  <si>
    <t>ELECTRICIEN</t>
  </si>
  <si>
    <t>06036</t>
  </si>
  <si>
    <t>MULAJA TSHIBWABWA AUGUSTIN</t>
  </si>
  <si>
    <t>MENUSIER</t>
  </si>
  <si>
    <t>06038</t>
  </si>
  <si>
    <t>MBOMBO ADINGABO ALAIN</t>
  </si>
  <si>
    <t>PEINTRE</t>
  </si>
  <si>
    <t>06039</t>
  </si>
  <si>
    <t>MASSAMBA MOKE JERRY</t>
  </si>
  <si>
    <t>SUPERVISOR FLEURISTE</t>
  </si>
  <si>
    <t>03043</t>
  </si>
  <si>
    <t>KIANGANI MAYIMONA JEAN</t>
  </si>
  <si>
    <t>Purchasing Driver</t>
  </si>
  <si>
    <t>03045</t>
  </si>
  <si>
    <t>BOKOLOMBA BWEMBIA VIANNEZ</t>
  </si>
  <si>
    <t>Chief Accoutant</t>
  </si>
  <si>
    <t>04224</t>
  </si>
  <si>
    <t>BOLA IKAW SYLVIE</t>
  </si>
  <si>
    <t>Reservation Assistant Manager</t>
  </si>
  <si>
    <t>05064</t>
  </si>
  <si>
    <t>NSINGI KUKIELE DIEU MERCI</t>
  </si>
  <si>
    <t>05273</t>
  </si>
  <si>
    <t>MALEMA MUNANGA ANDRE</t>
  </si>
  <si>
    <t>05274</t>
  </si>
  <si>
    <t>SUAKA MBANGU CRISPIN</t>
  </si>
  <si>
    <t>05316</t>
  </si>
  <si>
    <t>GBEFA MANGANDO PAUL</t>
  </si>
  <si>
    <t>05037</t>
  </si>
  <si>
    <t>MUKENGE NZIK FIDELE</t>
  </si>
  <si>
    <t>Sales Executives</t>
  </si>
  <si>
    <t>05043</t>
  </si>
  <si>
    <t>LUBAKI MOKUBA PATRICK</t>
  </si>
  <si>
    <t>Group &amp; Event Coordinator</t>
  </si>
  <si>
    <t>07109</t>
  </si>
  <si>
    <t>LAWSON IFANGA DAVID</t>
  </si>
  <si>
    <t>DRIVER</t>
  </si>
  <si>
    <t>07003</t>
  </si>
  <si>
    <t>IKWELA POTOPOTO BEROS</t>
  </si>
  <si>
    <t>Security Supervisor</t>
  </si>
  <si>
    <t>07006</t>
  </si>
  <si>
    <t>ASOME MPUEBAL MAGLOIRE</t>
  </si>
  <si>
    <t>Security Agent</t>
  </si>
  <si>
    <t>07010</t>
  </si>
  <si>
    <t>KABANGE MEBA CHRISTIAN</t>
  </si>
  <si>
    <t>07016</t>
  </si>
  <si>
    <t>MAYOMBE ETISOMBA</t>
  </si>
  <si>
    <t>07019</t>
  </si>
  <si>
    <t>TWITE KABUYA ALAIN</t>
  </si>
  <si>
    <t>07022</t>
  </si>
  <si>
    <t>DIANA NGOMA REAGANE</t>
  </si>
  <si>
    <t>07025</t>
  </si>
  <si>
    <t>KUNDA DINAMBUENE REBECA</t>
  </si>
  <si>
    <t>Personal Assistant</t>
  </si>
  <si>
    <t>07026</t>
  </si>
  <si>
    <t>BUISU KALONDA JUNIOR</t>
  </si>
  <si>
    <t>07027</t>
  </si>
  <si>
    <t>PEMBA KABANGU AGATTE</t>
  </si>
  <si>
    <t>07028</t>
  </si>
  <si>
    <t>TANGA MANGELE JONATHAN</t>
  </si>
  <si>
    <t>07029</t>
  </si>
  <si>
    <t>NDANGU BISALU LUC</t>
  </si>
  <si>
    <t>07036</t>
  </si>
  <si>
    <t>NGOY KAMPALATA ODON</t>
  </si>
  <si>
    <t>02042</t>
  </si>
  <si>
    <t>IBANDA KITENGE MARIE</t>
  </si>
  <si>
    <t>Steward</t>
  </si>
  <si>
    <t>02047</t>
  </si>
  <si>
    <t>FINGU BUELA EZECHIEL</t>
  </si>
  <si>
    <t>steward</t>
  </si>
  <si>
    <t>05074</t>
  </si>
  <si>
    <t>NZUZI NSAFU FRANCOIS</t>
  </si>
  <si>
    <t>05081</t>
  </si>
  <si>
    <t>MULUKA LUABEYA MARTHE</t>
  </si>
  <si>
    <t>05211</t>
  </si>
  <si>
    <t>KIABA VERONIQUE</t>
  </si>
  <si>
    <t>05264</t>
  </si>
  <si>
    <t>KIFUNGA MWOLO PATRICK</t>
  </si>
  <si>
    <t>05293</t>
  </si>
  <si>
    <t>MAKUELA TSHOBI REAGAN</t>
  </si>
  <si>
    <t>Shift leader</t>
  </si>
  <si>
    <t>05294</t>
  </si>
  <si>
    <t>MAPUATA MIKASA ALPHONSE</t>
  </si>
  <si>
    <t>05307</t>
  </si>
  <si>
    <t>MUKADI TSHINGOMBE GUYLAIN</t>
  </si>
  <si>
    <t>05309</t>
  </si>
  <si>
    <t>MUSAMBO KATOMBE TRESOR</t>
  </si>
  <si>
    <t>Steward Supervisor</t>
  </si>
  <si>
    <t>05313</t>
  </si>
  <si>
    <t>BONGONE BOLONGA RENE</t>
  </si>
  <si>
    <t>05321</t>
  </si>
  <si>
    <t>AMUNDALA JOSEPH FISTON</t>
  </si>
  <si>
    <t>05324</t>
  </si>
  <si>
    <t>MUHUBU KIPOY DANY</t>
  </si>
  <si>
    <t>04026</t>
  </si>
  <si>
    <t>LOYA NDONDA BLAISE</t>
  </si>
  <si>
    <t>Supervisor Business Center, Ex.Floor, Operator</t>
  </si>
  <si>
    <t>07171</t>
  </si>
  <si>
    <t>ILUNGA KABEYA BENOIT</t>
  </si>
  <si>
    <t>Chef de Rang</t>
  </si>
  <si>
    <t>07178</t>
  </si>
  <si>
    <t>BITENDE NDIEJI TRESOR</t>
  </si>
  <si>
    <t>Front Office Agent</t>
  </si>
  <si>
    <t>07175</t>
  </si>
  <si>
    <t>KANKOLONGO KASENDA MARLON</t>
  </si>
  <si>
    <t>07174</t>
  </si>
  <si>
    <t>TUMBA TSHISASA DAVID</t>
  </si>
  <si>
    <t>07192</t>
  </si>
  <si>
    <t>APAMATO WEMBA CERKIS</t>
  </si>
  <si>
    <t>07193</t>
  </si>
  <si>
    <t>ALENTUA BOPEKO ALAIN</t>
  </si>
  <si>
    <t>07196</t>
  </si>
  <si>
    <t>TSHIBAMBA MABI HENRY</t>
  </si>
  <si>
    <t>Demi-Chef de Rang</t>
  </si>
  <si>
    <t>07198</t>
  </si>
  <si>
    <t>BIKOKI FUEFU YASMINE</t>
  </si>
  <si>
    <t>07200</t>
  </si>
  <si>
    <t>MAKANUA NLANDU FERGANI</t>
  </si>
  <si>
    <t>07202</t>
  </si>
  <si>
    <t>KALAMBAYI TSHILUMBA DANNY</t>
  </si>
  <si>
    <t>07205</t>
  </si>
  <si>
    <t>KABASELE NKONGOLO HERITIER</t>
  </si>
  <si>
    <t>Income auditor clerck-F&amp;B</t>
  </si>
  <si>
    <t>07209</t>
  </si>
  <si>
    <t>ILEKO GLOIRE</t>
  </si>
  <si>
    <t>Acting Floor Supervisor</t>
  </si>
  <si>
    <t>07210</t>
  </si>
  <si>
    <t>MUTOMBO KAMANGA JOSAPHAT</t>
  </si>
  <si>
    <t>07214</t>
  </si>
  <si>
    <t>SEFU BIN TWAYIBU SERGE</t>
  </si>
  <si>
    <t>Doorman</t>
  </si>
  <si>
    <t>07221</t>
  </si>
  <si>
    <t>MWANZA BEYA BIENVENU</t>
  </si>
  <si>
    <t>07222</t>
  </si>
  <si>
    <t>MPANGAZA LWABOSHI ESAIE</t>
  </si>
  <si>
    <t>07225</t>
  </si>
  <si>
    <t>MAMENGI EKIMA EDDY</t>
  </si>
  <si>
    <t>07226</t>
  </si>
  <si>
    <t>IZUA KUSU REX</t>
  </si>
  <si>
    <t>Agent de Securite</t>
  </si>
  <si>
    <t>07227</t>
  </si>
  <si>
    <t>WAY WAY GLODY</t>
  </si>
  <si>
    <t>07249</t>
  </si>
  <si>
    <t>NZUNGU BATUMBUDILA TRESOR</t>
  </si>
  <si>
    <t>07233</t>
  </si>
  <si>
    <t>CHRISTINE LUEMBE BOSOMBA</t>
  </si>
  <si>
    <t>Cashier</t>
  </si>
  <si>
    <t>07241</t>
  </si>
  <si>
    <t>PHILEMON BAAKA YEFA</t>
  </si>
  <si>
    <t>cashier</t>
  </si>
  <si>
    <t>07245</t>
  </si>
  <si>
    <t>NKOSO KAFUWA NATHALIE</t>
  </si>
  <si>
    <t>07256</t>
  </si>
  <si>
    <t>AKATSHI ILONGE MARCELINE</t>
  </si>
  <si>
    <t>07258</t>
  </si>
  <si>
    <t>OVONO MUKONKOLE PHILIPPE</t>
  </si>
  <si>
    <t>Marketing &amp; Graphic coord</t>
  </si>
  <si>
    <t>07259</t>
  </si>
  <si>
    <t>KODILA WASINDUKUA RODEL</t>
  </si>
  <si>
    <t>IT Clerck</t>
  </si>
  <si>
    <t>07262</t>
  </si>
  <si>
    <t>KAMWENZA SAFU GLOIRE</t>
  </si>
  <si>
    <t>Human Resources supervisor</t>
  </si>
  <si>
    <t>07263</t>
  </si>
  <si>
    <t>KABALA YAVGENI DONALD</t>
  </si>
  <si>
    <t>07265</t>
  </si>
  <si>
    <t>MABWA BIYAL DORCAS</t>
  </si>
  <si>
    <t>07266</t>
  </si>
  <si>
    <t>MAYIKILU TENDAKANI EUNICE</t>
  </si>
  <si>
    <t>07270</t>
  </si>
  <si>
    <t>MWANZA WA MWANZA NATHAN</t>
  </si>
  <si>
    <t>07273</t>
  </si>
  <si>
    <t>OLONGO LOKINO CHRISTIAN</t>
  </si>
  <si>
    <t>07274</t>
  </si>
  <si>
    <t>MASIDI EYANGE FAUSTIN</t>
  </si>
  <si>
    <t>07275</t>
  </si>
  <si>
    <t>MUZAMBA MAYILA MIKE</t>
  </si>
  <si>
    <t>07276</t>
  </si>
  <si>
    <t>MUKOKO MATONSI GLODY</t>
  </si>
  <si>
    <t>07278</t>
  </si>
  <si>
    <t>MUKENDI KAPIAMBA MICHAEL</t>
  </si>
  <si>
    <t>Barman</t>
  </si>
  <si>
    <t>07279</t>
  </si>
  <si>
    <t>BUKASA TSHIBANGU MOISE</t>
  </si>
  <si>
    <t>Caissier</t>
  </si>
  <si>
    <t>07281</t>
  </si>
  <si>
    <t>MANYONGA KUPA MAMISA</t>
  </si>
  <si>
    <t>07284</t>
  </si>
  <si>
    <t>KITIMINI KALUME RUDDY</t>
  </si>
  <si>
    <t>07286</t>
  </si>
  <si>
    <t>MWANZA BETTY</t>
  </si>
  <si>
    <t>First Lady Supervisor</t>
  </si>
  <si>
    <t>07288</t>
  </si>
  <si>
    <t>MUNDIDI MUNANGI AIME</t>
  </si>
  <si>
    <t>Night Auditor</t>
  </si>
  <si>
    <t>07289</t>
  </si>
  <si>
    <t>ZOLA GISUPA CHRISTIAN</t>
  </si>
  <si>
    <t>Store Clerk</t>
  </si>
  <si>
    <t>07294</t>
  </si>
  <si>
    <t>SEKE PAMBU BARDELLY</t>
  </si>
  <si>
    <t>Electricien Maintance</t>
  </si>
  <si>
    <t>07295</t>
  </si>
  <si>
    <t>MUNGWA ZOLANA CHRISTONE</t>
  </si>
  <si>
    <t>Commis de Cuisine</t>
  </si>
  <si>
    <t>07296</t>
  </si>
  <si>
    <t>MIZUMI MUKAR BENEDICTE</t>
  </si>
  <si>
    <t>Receptionniste</t>
  </si>
  <si>
    <t>07297</t>
  </si>
  <si>
    <t>LUBADIKA KWAYENO RODRICK</t>
  </si>
  <si>
    <t>07299</t>
  </si>
  <si>
    <t>BOYAKA ITALE ARMAND</t>
  </si>
  <si>
    <t>Technicien Frigoriste</t>
  </si>
  <si>
    <t>07300</t>
  </si>
  <si>
    <t>TAMPWO DOBONI ALLEGE</t>
  </si>
  <si>
    <t>07301</t>
  </si>
  <si>
    <t>MAKANI MATONDO PERCY</t>
  </si>
  <si>
    <t>07303</t>
  </si>
  <si>
    <t>MAKAYA LONDA LODA</t>
  </si>
  <si>
    <t>Serveuse</t>
  </si>
  <si>
    <t>07304</t>
  </si>
  <si>
    <t>NGOMA BENZA RIDI</t>
  </si>
  <si>
    <t>Commis de pâtisserie</t>
  </si>
  <si>
    <t>07305</t>
  </si>
  <si>
    <t>BOMONGO BOLAYA Dorcas</t>
  </si>
  <si>
    <t>Telephone Operator</t>
  </si>
  <si>
    <t>07306</t>
  </si>
  <si>
    <t>KAYOMBO KIYAMA Didience</t>
  </si>
  <si>
    <t>Driver</t>
  </si>
  <si>
    <t>07307</t>
  </si>
  <si>
    <t>MAZULA KIESE Francois</t>
  </si>
  <si>
    <t>07310</t>
  </si>
  <si>
    <t>MFUNDU MOYO Sarah</t>
  </si>
  <si>
    <t>07311</t>
  </si>
  <si>
    <t>KABANGU BOPE Odilon</t>
  </si>
  <si>
    <t>Commis de Service</t>
  </si>
  <si>
    <t>07312</t>
  </si>
  <si>
    <t>EKANDO YANDA Nelly</t>
  </si>
  <si>
    <t>07313</t>
  </si>
  <si>
    <t>BOLONGA BALILO Benjamin</t>
  </si>
  <si>
    <t>Agent de la Securite</t>
  </si>
  <si>
    <t>07314</t>
  </si>
  <si>
    <t>KABEMBA KABONGO Celestin</t>
  </si>
  <si>
    <t>Agent de Reservation</t>
  </si>
  <si>
    <t>07320</t>
  </si>
  <si>
    <t>TEKILA MBUNDU PIERRETTE</t>
  </si>
  <si>
    <t>07321</t>
  </si>
  <si>
    <t>LINGBONGI ALUNGABILA BENIT</t>
  </si>
  <si>
    <t>Order Taker</t>
  </si>
  <si>
    <t>07323</t>
  </si>
  <si>
    <t>NSIMBA BOLA Jonathan</t>
  </si>
  <si>
    <t>07324</t>
  </si>
  <si>
    <t>LIYONGO MPELA Jose</t>
  </si>
  <si>
    <t>07325</t>
  </si>
  <si>
    <t>NSENDULA KONGOLO Daniel</t>
  </si>
  <si>
    <t>07327</t>
  </si>
  <si>
    <t>KABANGU LOMAMI Tresor</t>
  </si>
  <si>
    <t>07328</t>
  </si>
  <si>
    <t>NTUMBA HOMA Homere</t>
  </si>
  <si>
    <t>Chief Account</t>
  </si>
  <si>
    <t>07329</t>
  </si>
  <si>
    <t>KABUYA DISSANA Israel</t>
  </si>
  <si>
    <t>07331</t>
  </si>
  <si>
    <t xml:space="preserve">MBO EVRA Eric </t>
  </si>
  <si>
    <t>Receiving Clerck</t>
  </si>
  <si>
    <t>07332</t>
  </si>
  <si>
    <t>MUKOKO MUANA MBEMBA Manasse</t>
  </si>
  <si>
    <t>07333</t>
  </si>
  <si>
    <t>NGITUNGU MALEBINGI David</t>
  </si>
  <si>
    <t>07334</t>
  </si>
  <si>
    <t>MUTOMBO RUBUZ Cedric</t>
  </si>
  <si>
    <t xml:space="preserve">Cost Control Clerck </t>
  </si>
  <si>
    <t>07335</t>
  </si>
  <si>
    <t>KAMBALE SYLVAKETYA YANNICK</t>
  </si>
  <si>
    <t>Chauffeur</t>
  </si>
  <si>
    <t>07336</t>
  </si>
  <si>
    <t>BARAKA MPELA MAKUNSI Sarah</t>
  </si>
  <si>
    <t>Executive Lounge Agent</t>
  </si>
  <si>
    <t>07338</t>
  </si>
  <si>
    <t>NGOMBO MANGOVO Audrey</t>
  </si>
  <si>
    <t>07339</t>
  </si>
  <si>
    <t>LOKOMBE DIABANZA ELIE</t>
  </si>
  <si>
    <t>07340</t>
  </si>
  <si>
    <t>ETUWE LOAMBO CHRISTIAN</t>
  </si>
  <si>
    <t>07341</t>
  </si>
  <si>
    <t>KALAMBAY WA KALAMBAY JUNIOR</t>
  </si>
  <si>
    <t>07342</t>
  </si>
  <si>
    <t>MBULI LOLA CHRISTENVIE</t>
  </si>
  <si>
    <t>07343</t>
  </si>
  <si>
    <t>NKOSO BONKANGU JULES</t>
  </si>
  <si>
    <t>07344</t>
  </si>
  <si>
    <t>BADIABIOKO VITA ROCHETO</t>
  </si>
  <si>
    <t>Commis de Boucherie</t>
  </si>
  <si>
    <t>07345</t>
  </si>
  <si>
    <t>IPAN MALU Sediance</t>
  </si>
  <si>
    <t>Commis de Patissier</t>
  </si>
  <si>
    <t>07330</t>
  </si>
  <si>
    <t>DIBWE KABENGELE Billy</t>
  </si>
  <si>
    <t>CDD</t>
  </si>
  <si>
    <t>07318</t>
  </si>
  <si>
    <t>KATUBADI NKWASA CELESTIN</t>
  </si>
  <si>
    <t>Technicien en charge des ascenseurs</t>
  </si>
  <si>
    <t>CDI</t>
  </si>
  <si>
    <t>07302</t>
  </si>
  <si>
    <t>MUSAU MUKADI BENEDICTE</t>
  </si>
  <si>
    <t>07322</t>
  </si>
  <si>
    <t>NZUNZA MUJINGA Marcelo</t>
  </si>
  <si>
    <t>07133</t>
  </si>
  <si>
    <t>ABIA SINANZIYA JENNY</t>
  </si>
  <si>
    <t>07291</t>
  </si>
  <si>
    <t>MASASU MUKOBO SYLVIE</t>
  </si>
  <si>
    <t>07292</t>
  </si>
  <si>
    <t>NDEKAMA NKUNU CHRISTELLE</t>
  </si>
  <si>
    <t>07293</t>
  </si>
  <si>
    <t>LIMBOLE BOHIMBO VIMI</t>
  </si>
  <si>
    <t>07337</t>
  </si>
  <si>
    <t>MIMBAIE MONGA FREITAS</t>
  </si>
  <si>
    <t>Bal Last Year+Accrual-Reversal</t>
  </si>
  <si>
    <t>TOTAL Accr.04/2020</t>
  </si>
  <si>
    <t>Max+Hen+Sa</t>
  </si>
  <si>
    <t>TOTAL NAVISION 231120</t>
  </si>
  <si>
    <t>$-Last Month Bal.</t>
  </si>
  <si>
    <t>+Accrual</t>
  </si>
  <si>
    <t>-Reversal</t>
  </si>
  <si>
    <t>TOTAL EXCEL PAYROLL</t>
  </si>
  <si>
    <t>Check à zero</t>
  </si>
  <si>
    <t>TOTAL NAVISION-231330</t>
  </si>
  <si>
    <t>Filtre &lt;&gt;0 blank</t>
  </si>
  <si>
    <t>Posting Date</t>
  </si>
  <si>
    <t>Document No.</t>
  </si>
  <si>
    <t>Account Type</t>
  </si>
  <si>
    <t>Account No.</t>
  </si>
  <si>
    <t>Bal. Account No.</t>
  </si>
  <si>
    <t>Description</t>
  </si>
  <si>
    <t>Cost Centre Code</t>
  </si>
  <si>
    <t>Debit Amount</t>
  </si>
  <si>
    <t>Credit Amount</t>
  </si>
  <si>
    <t>Amount</t>
  </si>
  <si>
    <t>Currency Code</t>
  </si>
  <si>
    <t>Amount (LCY)</t>
  </si>
  <si>
    <t>Bal. Account Type</t>
  </si>
  <si>
    <t>LEN</t>
  </si>
  <si>
    <t>ACCRUAL&amp;REVERSAL</t>
  </si>
  <si>
    <t>SAL00715</t>
  </si>
  <si>
    <t>G/L Account</t>
  </si>
  <si>
    <t>USD/CDF</t>
  </si>
  <si>
    <t>BQ-CD</t>
  </si>
  <si>
    <t>BR-CE</t>
  </si>
  <si>
    <t>Fev</t>
  </si>
  <si>
    <t>BS-CF</t>
  </si>
  <si>
    <t>BT-CG</t>
  </si>
  <si>
    <t>Avr</t>
  </si>
  <si>
    <t>BU-CH</t>
  </si>
  <si>
    <t>Mai</t>
  </si>
  <si>
    <t>BV-CI</t>
  </si>
  <si>
    <t>CR</t>
  </si>
  <si>
    <t>JAN</t>
  </si>
  <si>
    <t>CS</t>
  </si>
  <si>
    <t>FEV</t>
  </si>
  <si>
    <t>CT</t>
  </si>
  <si>
    <t>MAR</t>
  </si>
  <si>
    <t>CU</t>
  </si>
  <si>
    <t>APR</t>
  </si>
  <si>
    <t>CV</t>
  </si>
  <si>
    <t>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</si>
</sst>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##._ ;\(#,##0\);_-* &quot;-&quot;??_ⴭ;_჉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5" tint="0.39994506668294322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4"/>
      <color rgb="FFEC70D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1"/>
      <color rgb="FFC00000"/>
      <name val="Century Gothic"/>
      <family val="2"/>
    </font>
    <font>
      <sz val="11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1"/>
      <color theme="1"/>
      <name val="Century Gothic"/>
      <family val="2"/>
    </font>
    <font>
      <b/>
      <sz val="14"/>
      <color rgb="FFFF0000"/>
      <name val="Century Gothic"/>
      <family val="2"/>
    </font>
    <font>
      <sz val="11"/>
      <color rgb="FFFF0000"/>
      <name val="Century Gothic"/>
      <family val="2"/>
    </font>
    <font>
      <sz val="11"/>
      <color rgb="FF0000FF"/>
      <name val="Century Gothic"/>
      <family val="2"/>
    </font>
    <font>
      <b/>
      <sz val="11"/>
      <color rgb="FF0000FF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2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4" fontId="3" fillId="0" borderId="0" xfId="0" applyNumberFormat="1" applyFont="1">
      <alignment vertical="center"/>
    </xf>
    <xf numFmtId="4" fontId="4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" fontId="5" fillId="0" borderId="0" xfId="0" applyNumberFormat="1" applyFont="1">
      <alignment vertical="center"/>
    </xf>
    <xf numFmtId="4" fontId="6" fillId="0" borderId="0" xfId="0" applyNumberFormat="1" applyFont="1">
      <alignment vertical="center"/>
    </xf>
    <xf numFmtId="43" fontId="2" fillId="0" borderId="0" xfId="1" applyFont="1" applyFill="1" applyAlignme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3" fontId="10" fillId="0" borderId="0" xfId="1" applyFont="1" applyAlignment="1">
      <alignment vertical="center"/>
    </xf>
    <xf numFmtId="43" fontId="9" fillId="0" borderId="0" xfId="1" applyFont="1" applyAlignment="1">
      <alignment vertical="center"/>
    </xf>
    <xf numFmtId="0" fontId="5" fillId="0" borderId="0" xfId="0" applyFont="1">
      <alignment vertical="center"/>
    </xf>
    <xf numFmtId="0" fontId="4" fillId="2" borderId="0" xfId="0" applyFont="1" applyFill="1">
      <alignment vertical="center"/>
    </xf>
    <xf numFmtId="0" fontId="8" fillId="0" borderId="0" xfId="0" applyFont="1">
      <alignment vertical="center"/>
    </xf>
    <xf numFmtId="14" fontId="2" fillId="0" borderId="0" xfId="1" applyNumberFormat="1" applyFont="1" applyAlignment="1">
      <alignment vertical="center"/>
    </xf>
    <xf numFmtId="0" fontId="3" fillId="3" borderId="0" xfId="0" applyFont="1" applyFill="1">
      <alignment vertical="center"/>
    </xf>
    <xf numFmtId="4" fontId="3" fillId="3" borderId="0" xfId="0" applyNumberFormat="1" applyFont="1" applyFill="1">
      <alignment vertical="center"/>
    </xf>
    <xf numFmtId="14" fontId="3" fillId="3" borderId="0" xfId="0" applyNumberFormat="1" applyFont="1" applyFill="1">
      <alignment vertical="center"/>
    </xf>
    <xf numFmtId="14" fontId="2" fillId="3" borderId="0" xfId="0" applyNumberFormat="1" applyFont="1" applyFill="1">
      <alignment vertical="center"/>
    </xf>
    <xf numFmtId="14" fontId="2" fillId="0" borderId="1" xfId="0" applyNumberFormat="1" applyFont="1" applyBorder="1">
      <alignment vertical="center"/>
    </xf>
    <xf numFmtId="14" fontId="2" fillId="0" borderId="1" xfId="1" applyNumberFormat="1" applyFont="1" applyBorder="1" applyAlignment="1">
      <alignment vertical="center"/>
    </xf>
    <xf numFmtId="0" fontId="6" fillId="3" borderId="0" xfId="0" applyFont="1" applyFill="1">
      <alignment vertical="center"/>
    </xf>
    <xf numFmtId="0" fontId="8" fillId="2" borderId="0" xfId="0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8" fillId="4" borderId="0" xfId="0" applyNumberFormat="1" applyFont="1" applyFill="1" applyAlignment="1">
      <alignment horizontal="center" vertical="center" wrapText="1"/>
    </xf>
    <xf numFmtId="4" fontId="8" fillId="4" borderId="0" xfId="0" applyNumberFormat="1" applyFont="1" applyFill="1" applyAlignment="1">
      <alignment horizontal="center" vertical="center" wrapText="1"/>
    </xf>
    <xf numFmtId="14" fontId="8" fillId="5" borderId="0" xfId="0" applyNumberFormat="1" applyFont="1" applyFill="1" applyAlignment="1">
      <alignment horizontal="center" vertical="center" wrapText="1"/>
    </xf>
    <xf numFmtId="4" fontId="5" fillId="6" borderId="2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3" fontId="10" fillId="6" borderId="0" xfId="1" applyFont="1" applyFill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4" fontId="5" fillId="6" borderId="4" xfId="0" applyNumberFormat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4" fontId="5" fillId="7" borderId="3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43" fontId="3" fillId="8" borderId="0" xfId="1" applyFont="1" applyFill="1" applyAlignment="1">
      <alignment horizontal="center" vertical="center" wrapText="1"/>
    </xf>
    <xf numFmtId="2" fontId="12" fillId="0" borderId="0" xfId="0" applyNumberFormat="1" applyFont="1">
      <alignment vertical="center"/>
    </xf>
    <xf numFmtId="2" fontId="8" fillId="0" borderId="0" xfId="0" applyNumberFormat="1" applyFont="1">
      <alignment vertical="center"/>
    </xf>
    <xf numFmtId="4" fontId="8" fillId="0" borderId="0" xfId="0" applyNumberFormat="1" applyFont="1">
      <alignment vertical="center"/>
    </xf>
    <xf numFmtId="0" fontId="12" fillId="0" borderId="0" xfId="0" quotePrefix="1" applyFont="1">
      <alignment vertical="center"/>
    </xf>
    <xf numFmtId="0" fontId="12" fillId="0" borderId="0" xfId="0" applyFont="1">
      <alignment vertical="center"/>
    </xf>
    <xf numFmtId="4" fontId="12" fillId="0" borderId="0" xfId="0" applyNumberFormat="1" applyFont="1">
      <alignment vertical="center"/>
    </xf>
    <xf numFmtId="14" fontId="12" fillId="0" borderId="0" xfId="0" applyNumberFormat="1" applyFont="1">
      <alignment vertical="center"/>
    </xf>
    <xf numFmtId="4" fontId="3" fillId="2" borderId="2" xfId="0" applyNumberFormat="1" applyFont="1" applyFill="1" applyBorder="1">
      <alignment vertical="center"/>
    </xf>
    <xf numFmtId="4" fontId="4" fillId="0" borderId="2" xfId="0" applyNumberFormat="1" applyFont="1" applyBorder="1">
      <alignment vertical="center"/>
    </xf>
    <xf numFmtId="4" fontId="12" fillId="0" borderId="2" xfId="0" applyNumberFormat="1" applyFont="1" applyBorder="1">
      <alignment vertical="center"/>
    </xf>
    <xf numFmtId="164" fontId="12" fillId="2" borderId="0" xfId="0" applyNumberFormat="1" applyFont="1" applyFill="1">
      <alignment vertical="center"/>
    </xf>
    <xf numFmtId="43" fontId="13" fillId="2" borderId="0" xfId="1" applyFont="1" applyFill="1" applyAlignment="1">
      <alignment vertical="center"/>
    </xf>
    <xf numFmtId="43" fontId="12" fillId="2" borderId="0" xfId="1" applyFont="1" applyFill="1" applyAlignment="1">
      <alignment vertical="center"/>
    </xf>
    <xf numFmtId="4" fontId="3" fillId="0" borderId="10" xfId="0" applyNumberFormat="1" applyFont="1" applyBorder="1">
      <alignment vertical="center"/>
    </xf>
    <xf numFmtId="43" fontId="12" fillId="0" borderId="0" xfId="1" applyFont="1" applyAlignment="1">
      <alignment vertical="center"/>
    </xf>
    <xf numFmtId="4" fontId="12" fillId="0" borderId="4" xfId="0" applyNumberFormat="1" applyFont="1" applyBorder="1">
      <alignment vertical="center"/>
    </xf>
    <xf numFmtId="4" fontId="12" fillId="0" borderId="10" xfId="0" applyNumberFormat="1" applyFont="1" applyBorder="1">
      <alignment vertical="center"/>
    </xf>
    <xf numFmtId="43" fontId="2" fillId="8" borderId="0" xfId="1" applyFont="1" applyFill="1" applyAlignment="1">
      <alignment vertical="center"/>
    </xf>
    <xf numFmtId="43" fontId="2" fillId="0" borderId="0" xfId="1" applyFont="1" applyBorder="1" applyAlignment="1">
      <alignment vertical="center"/>
    </xf>
    <xf numFmtId="2" fontId="7" fillId="0" borderId="0" xfId="0" applyNumberFormat="1" applyFont="1">
      <alignment vertical="center"/>
    </xf>
    <xf numFmtId="4" fontId="4" fillId="0" borderId="10" xfId="0" applyNumberFormat="1" applyFont="1" applyBorder="1">
      <alignment vertical="center"/>
    </xf>
    <xf numFmtId="0" fontId="2" fillId="0" borderId="0" xfId="0" quotePrefix="1" applyFont="1">
      <alignment vertical="center"/>
    </xf>
    <xf numFmtId="2" fontId="2" fillId="0" borderId="0" xfId="0" applyNumberFormat="1" applyFont="1">
      <alignment vertical="center"/>
    </xf>
    <xf numFmtId="43" fontId="2" fillId="0" borderId="0" xfId="1" applyFont="1" applyFill="1" applyBorder="1" applyAlignment="1">
      <alignment vertical="center"/>
    </xf>
    <xf numFmtId="43" fontId="2" fillId="7" borderId="0" xfId="0" applyNumberFormat="1" applyFont="1" applyFill="1">
      <alignment vertical="center"/>
    </xf>
    <xf numFmtId="164" fontId="13" fillId="2" borderId="0" xfId="0" applyNumberFormat="1" applyFont="1" applyFill="1">
      <alignment vertical="center"/>
    </xf>
    <xf numFmtId="4" fontId="3" fillId="2" borderId="4" xfId="0" applyNumberFormat="1" applyFont="1" applyFill="1" applyBorder="1">
      <alignment vertical="center"/>
    </xf>
    <xf numFmtId="0" fontId="2" fillId="0" borderId="11" xfId="0" applyFont="1" applyBorder="1">
      <alignment vertical="center"/>
    </xf>
    <xf numFmtId="4" fontId="2" fillId="0" borderId="11" xfId="0" applyNumberFormat="1" applyFont="1" applyBorder="1">
      <alignment vertical="center"/>
    </xf>
    <xf numFmtId="14" fontId="2" fillId="0" borderId="11" xfId="0" applyNumberFormat="1" applyFont="1" applyBorder="1">
      <alignment vertical="center"/>
    </xf>
    <xf numFmtId="2" fontId="12" fillId="0" borderId="11" xfId="0" applyNumberFormat="1" applyFont="1" applyBorder="1">
      <alignment vertical="center"/>
    </xf>
    <xf numFmtId="4" fontId="3" fillId="2" borderId="12" xfId="0" applyNumberFormat="1" applyFont="1" applyFill="1" applyBorder="1">
      <alignment vertical="center"/>
    </xf>
    <xf numFmtId="4" fontId="4" fillId="0" borderId="12" xfId="0" applyNumberFormat="1" applyFont="1" applyBorder="1">
      <alignment vertical="center"/>
    </xf>
    <xf numFmtId="164" fontId="12" fillId="2" borderId="11" xfId="0" applyNumberFormat="1" applyFont="1" applyFill="1" applyBorder="1">
      <alignment vertical="center"/>
    </xf>
    <xf numFmtId="43" fontId="12" fillId="2" borderId="11" xfId="1" applyFont="1" applyFill="1" applyBorder="1" applyAlignment="1">
      <alignment vertical="center"/>
    </xf>
    <xf numFmtId="4" fontId="3" fillId="2" borderId="13" xfId="0" applyNumberFormat="1" applyFont="1" applyFill="1" applyBorder="1">
      <alignment vertical="center"/>
    </xf>
    <xf numFmtId="4" fontId="12" fillId="0" borderId="11" xfId="0" applyNumberFormat="1" applyFont="1" applyBorder="1">
      <alignment vertical="center"/>
    </xf>
    <xf numFmtId="2" fontId="12" fillId="0" borderId="14" xfId="0" applyNumberFormat="1" applyFont="1" applyBorder="1">
      <alignment vertical="center"/>
    </xf>
    <xf numFmtId="2" fontId="12" fillId="0" borderId="15" xfId="0" applyNumberFormat="1" applyFont="1" applyBorder="1">
      <alignment vertical="center"/>
    </xf>
    <xf numFmtId="4" fontId="4" fillId="0" borderId="14" xfId="0" applyNumberFormat="1" applyFont="1" applyBorder="1">
      <alignment vertical="center"/>
    </xf>
    <xf numFmtId="4" fontId="5" fillId="0" borderId="16" xfId="0" applyNumberFormat="1" applyFont="1" applyBorder="1">
      <alignment vertical="center"/>
    </xf>
    <xf numFmtId="43" fontId="2" fillId="0" borderId="11" xfId="1" applyFont="1" applyFill="1" applyBorder="1" applyAlignment="1">
      <alignment vertical="center"/>
    </xf>
    <xf numFmtId="2" fontId="2" fillId="0" borderId="11" xfId="0" applyNumberFormat="1" applyFont="1" applyBorder="1">
      <alignment vertical="center"/>
    </xf>
    <xf numFmtId="2" fontId="7" fillId="0" borderId="11" xfId="0" applyNumberFormat="1" applyFont="1" applyBorder="1">
      <alignment vertical="center"/>
    </xf>
    <xf numFmtId="0" fontId="2" fillId="9" borderId="0" xfId="0" applyFont="1" applyFill="1">
      <alignment vertical="center"/>
    </xf>
    <xf numFmtId="4" fontId="2" fillId="9" borderId="0" xfId="0" applyNumberFormat="1" applyFont="1" applyFill="1">
      <alignment vertical="center"/>
    </xf>
    <xf numFmtId="14" fontId="2" fillId="9" borderId="0" xfId="0" applyNumberFormat="1" applyFont="1" applyFill="1">
      <alignment vertical="center"/>
    </xf>
    <xf numFmtId="2" fontId="12" fillId="9" borderId="0" xfId="0" applyNumberFormat="1" applyFont="1" applyFill="1">
      <alignment vertical="center"/>
    </xf>
    <xf numFmtId="4" fontId="3" fillId="9" borderId="2" xfId="0" applyNumberFormat="1" applyFont="1" applyFill="1" applyBorder="1">
      <alignment vertical="center"/>
    </xf>
    <xf numFmtId="4" fontId="4" fillId="9" borderId="17" xfId="0" applyNumberFormat="1" applyFont="1" applyFill="1" applyBorder="1">
      <alignment vertical="center"/>
    </xf>
    <xf numFmtId="164" fontId="12" fillId="9" borderId="0" xfId="0" applyNumberFormat="1" applyFont="1" applyFill="1">
      <alignment vertical="center"/>
    </xf>
    <xf numFmtId="43" fontId="13" fillId="9" borderId="0" xfId="1" applyFont="1" applyFill="1" applyAlignment="1">
      <alignment vertical="center"/>
    </xf>
    <xf numFmtId="43" fontId="12" fillId="9" borderId="0" xfId="1" applyFont="1" applyFill="1" applyAlignment="1">
      <alignment vertical="center"/>
    </xf>
    <xf numFmtId="4" fontId="3" fillId="9" borderId="10" xfId="0" applyNumberFormat="1" applyFont="1" applyFill="1" applyBorder="1">
      <alignment vertical="center"/>
    </xf>
    <xf numFmtId="4" fontId="3" fillId="9" borderId="4" xfId="0" applyNumberFormat="1" applyFont="1" applyFill="1" applyBorder="1">
      <alignment vertical="center"/>
    </xf>
    <xf numFmtId="4" fontId="4" fillId="9" borderId="2" xfId="0" applyNumberFormat="1" applyFont="1" applyFill="1" applyBorder="1">
      <alignment vertical="center"/>
    </xf>
    <xf numFmtId="4" fontId="12" fillId="9" borderId="0" xfId="0" applyNumberFormat="1" applyFont="1" applyFill="1">
      <alignment vertical="center"/>
    </xf>
    <xf numFmtId="4" fontId="4" fillId="9" borderId="0" xfId="0" applyNumberFormat="1" applyFont="1" applyFill="1">
      <alignment vertical="center"/>
    </xf>
    <xf numFmtId="4" fontId="5" fillId="9" borderId="0" xfId="0" applyNumberFormat="1" applyFont="1" applyFill="1">
      <alignment vertical="center"/>
    </xf>
    <xf numFmtId="4" fontId="6" fillId="9" borderId="0" xfId="0" applyNumberFormat="1" applyFont="1" applyFill="1">
      <alignment vertical="center"/>
    </xf>
    <xf numFmtId="43" fontId="2" fillId="9" borderId="0" xfId="1" applyFont="1" applyFill="1" applyAlignment="1">
      <alignment vertical="center"/>
    </xf>
    <xf numFmtId="2" fontId="7" fillId="9" borderId="0" xfId="0" applyNumberFormat="1" applyFont="1" applyFill="1">
      <alignment vertical="center"/>
    </xf>
    <xf numFmtId="0" fontId="13" fillId="0" borderId="0" xfId="0" quotePrefix="1" applyFont="1">
      <alignment vertical="center"/>
    </xf>
    <xf numFmtId="0" fontId="13" fillId="0" borderId="0" xfId="0" applyFont="1">
      <alignment vertical="center"/>
    </xf>
    <xf numFmtId="4" fontId="13" fillId="0" borderId="0" xfId="0" applyNumberFormat="1" applyFont="1">
      <alignment vertical="center"/>
    </xf>
    <xf numFmtId="14" fontId="13" fillId="0" borderId="0" xfId="0" applyNumberFormat="1" applyFont="1">
      <alignment vertical="center"/>
    </xf>
    <xf numFmtId="2" fontId="13" fillId="0" borderId="0" xfId="0" applyNumberFormat="1" applyFont="1">
      <alignment vertical="center"/>
    </xf>
    <xf numFmtId="4" fontId="5" fillId="2" borderId="2" xfId="0" applyNumberFormat="1" applyFont="1" applyFill="1" applyBorder="1">
      <alignment vertical="center"/>
    </xf>
    <xf numFmtId="4" fontId="5" fillId="0" borderId="2" xfId="0" applyNumberFormat="1" applyFont="1" applyBorder="1">
      <alignment vertical="center"/>
    </xf>
    <xf numFmtId="4" fontId="13" fillId="0" borderId="2" xfId="0" applyNumberFormat="1" applyFont="1" applyBorder="1">
      <alignment vertical="center"/>
    </xf>
    <xf numFmtId="4" fontId="13" fillId="0" borderId="10" xfId="0" applyNumberFormat="1" applyFont="1" applyBorder="1">
      <alignment vertical="center"/>
    </xf>
    <xf numFmtId="43" fontId="13" fillId="0" borderId="0" xfId="1" applyFont="1" applyAlignment="1">
      <alignment vertical="center"/>
    </xf>
    <xf numFmtId="4" fontId="13" fillId="0" borderId="4" xfId="0" applyNumberFormat="1" applyFont="1" applyBorder="1">
      <alignment vertical="center"/>
    </xf>
    <xf numFmtId="43" fontId="13" fillId="8" borderId="0" xfId="1" applyFont="1" applyFill="1" applyAlignment="1">
      <alignment vertical="center"/>
    </xf>
    <xf numFmtId="43" fontId="13" fillId="0" borderId="0" xfId="1" applyFont="1" applyFill="1" applyBorder="1" applyAlignment="1">
      <alignment vertical="center"/>
    </xf>
    <xf numFmtId="43" fontId="13" fillId="7" borderId="0" xfId="0" applyNumberFormat="1" applyFont="1" applyFill="1">
      <alignment vertical="center"/>
    </xf>
    <xf numFmtId="4" fontId="3" fillId="2" borderId="0" xfId="0" applyNumberFormat="1" applyFont="1" applyFill="1">
      <alignment vertical="center"/>
    </xf>
    <xf numFmtId="4" fontId="4" fillId="6" borderId="18" xfId="0" applyNumberFormat="1" applyFont="1" applyFill="1" applyBorder="1">
      <alignment vertical="center"/>
    </xf>
    <xf numFmtId="4" fontId="4" fillId="2" borderId="19" xfId="0" applyNumberFormat="1" applyFont="1" applyFill="1" applyBorder="1">
      <alignment vertical="center"/>
    </xf>
    <xf numFmtId="4" fontId="3" fillId="6" borderId="20" xfId="0" applyNumberFormat="1" applyFont="1" applyFill="1" applyBorder="1">
      <alignment vertical="center"/>
    </xf>
    <xf numFmtId="4" fontId="4" fillId="6" borderId="20" xfId="0" applyNumberFormat="1" applyFont="1" applyFill="1" applyBorder="1">
      <alignment vertical="center"/>
    </xf>
    <xf numFmtId="4" fontId="3" fillId="6" borderId="21" xfId="0" applyNumberFormat="1" applyFont="1" applyFill="1" applyBorder="1">
      <alignment vertical="center"/>
    </xf>
    <xf numFmtId="4" fontId="3" fillId="10" borderId="21" xfId="0" applyNumberFormat="1" applyFont="1" applyFill="1" applyBorder="1">
      <alignment vertical="center"/>
    </xf>
    <xf numFmtId="4" fontId="3" fillId="6" borderId="22" xfId="0" applyNumberFormat="1" applyFont="1" applyFill="1" applyBorder="1">
      <alignment vertical="center"/>
    </xf>
    <xf numFmtId="4" fontId="4" fillId="6" borderId="21" xfId="0" applyNumberFormat="1" applyFont="1" applyFill="1" applyBorder="1">
      <alignment vertical="center"/>
    </xf>
    <xf numFmtId="43" fontId="3" fillId="0" borderId="5" xfId="1" applyFont="1" applyFill="1" applyBorder="1" applyAlignment="1">
      <alignment vertical="center"/>
    </xf>
    <xf numFmtId="43" fontId="3" fillId="8" borderId="6" xfId="1" applyFont="1" applyFill="1" applyBorder="1" applyAlignment="1">
      <alignment vertical="center"/>
    </xf>
    <xf numFmtId="43" fontId="14" fillId="0" borderId="0" xfId="1" applyFont="1" applyAlignment="1">
      <alignment vertical="center"/>
    </xf>
    <xf numFmtId="4" fontId="3" fillId="0" borderId="0" xfId="0" applyNumberFormat="1" applyFont="1" applyAlignment="1">
      <alignment vertical="center" wrapText="1"/>
    </xf>
    <xf numFmtId="4" fontId="2" fillId="3" borderId="19" xfId="0" applyNumberFormat="1" applyFont="1" applyFill="1" applyBorder="1">
      <alignment vertical="center"/>
    </xf>
    <xf numFmtId="4" fontId="2" fillId="3" borderId="20" xfId="0" applyNumberFormat="1" applyFont="1" applyFill="1" applyBorder="1">
      <alignment vertical="center"/>
    </xf>
    <xf numFmtId="4" fontId="5" fillId="3" borderId="20" xfId="0" applyNumberFormat="1" applyFont="1" applyFill="1" applyBorder="1">
      <alignment vertical="center"/>
    </xf>
    <xf numFmtId="4" fontId="3" fillId="3" borderId="20" xfId="0" applyNumberFormat="1" applyFont="1" applyFill="1" applyBorder="1">
      <alignment vertical="center"/>
    </xf>
    <xf numFmtId="4" fontId="5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43" fontId="3" fillId="8" borderId="23" xfId="1" applyFont="1" applyFill="1" applyBorder="1" applyAlignment="1">
      <alignment vertical="center"/>
    </xf>
    <xf numFmtId="0" fontId="6" fillId="0" borderId="0" xfId="0" applyFont="1">
      <alignment vertical="center"/>
    </xf>
    <xf numFmtId="43" fontId="12" fillId="0" borderId="0" xfId="1" applyFont="1" applyFill="1" applyAlignment="1">
      <alignment vertical="center"/>
    </xf>
    <xf numFmtId="0" fontId="2" fillId="0" borderId="5" xfId="0" applyFont="1" applyBorder="1">
      <alignment vertical="center"/>
    </xf>
    <xf numFmtId="4" fontId="2" fillId="4" borderId="6" xfId="0" applyNumberFormat="1" applyFont="1" applyFill="1" applyBorder="1">
      <alignment vertical="center"/>
    </xf>
    <xf numFmtId="0" fontId="15" fillId="0" borderId="0" xfId="0" applyFont="1">
      <alignment vertical="center"/>
    </xf>
    <xf numFmtId="4" fontId="15" fillId="0" borderId="0" xfId="0" applyNumberFormat="1" applyFont="1">
      <alignment vertical="center"/>
    </xf>
    <xf numFmtId="14" fontId="15" fillId="0" borderId="0" xfId="0" applyNumberFormat="1" applyFont="1">
      <alignment vertical="center"/>
    </xf>
    <xf numFmtId="4" fontId="16" fillId="0" borderId="0" xfId="0" applyNumberFormat="1" applyFont="1">
      <alignment vertical="center"/>
    </xf>
    <xf numFmtId="43" fontId="15" fillId="0" borderId="0" xfId="1" applyFont="1" applyAlignment="1">
      <alignment vertical="center"/>
    </xf>
    <xf numFmtId="0" fontId="16" fillId="0" borderId="0" xfId="0" applyFont="1">
      <alignment vertical="center"/>
    </xf>
    <xf numFmtId="43" fontId="15" fillId="0" borderId="0" xfId="1" applyFont="1" applyFill="1" applyAlignment="1">
      <alignment vertical="center"/>
    </xf>
    <xf numFmtId="4" fontId="8" fillId="0" borderId="0" xfId="0" quotePrefix="1" applyNumberFormat="1" applyFont="1">
      <alignment vertical="center"/>
    </xf>
    <xf numFmtId="4" fontId="7" fillId="0" borderId="0" xfId="0" applyNumberFormat="1" applyFont="1">
      <alignment vertical="center"/>
    </xf>
    <xf numFmtId="4" fontId="8" fillId="0" borderId="1" xfId="0" quotePrefix="1" applyNumberFormat="1" applyFont="1" applyBorder="1">
      <alignment vertical="center"/>
    </xf>
    <xf numFmtId="4" fontId="7" fillId="0" borderId="1" xfId="0" applyNumberFormat="1" applyFont="1" applyBorder="1">
      <alignment vertical="center"/>
    </xf>
    <xf numFmtId="43" fontId="3" fillId="0" borderId="0" xfId="1" applyFont="1" applyAlignment="1">
      <alignment vertical="center"/>
    </xf>
    <xf numFmtId="0" fontId="7" fillId="0" borderId="23" xfId="0" applyFont="1" applyBorder="1">
      <alignment vertical="center"/>
    </xf>
    <xf numFmtId="4" fontId="8" fillId="0" borderId="5" xfId="0" applyNumberFormat="1" applyFont="1" applyBorder="1">
      <alignment vertical="center"/>
    </xf>
    <xf numFmtId="4" fontId="8" fillId="0" borderId="6" xfId="0" applyNumberFormat="1" applyFont="1" applyBorder="1">
      <alignment vertical="center"/>
    </xf>
    <xf numFmtId="4" fontId="8" fillId="0" borderId="24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19" fillId="3" borderId="0" xfId="0" applyFont="1" applyFill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1" fontId="23" fillId="3" borderId="0" xfId="0" applyNumberFormat="1" applyFont="1" applyFill="1">
      <alignment vertical="center"/>
    </xf>
    <xf numFmtId="0" fontId="20" fillId="0" borderId="0" xfId="0" applyFont="1" applyAlignment="1">
      <alignment vertical="center" wrapText="1"/>
    </xf>
    <xf numFmtId="0" fontId="22" fillId="11" borderId="25" xfId="0" applyFont="1" applyFill="1" applyBorder="1" applyAlignment="1">
      <alignment vertical="center" wrapText="1"/>
    </xf>
    <xf numFmtId="0" fontId="22" fillId="11" borderId="18" xfId="0" applyFont="1" applyFill="1" applyBorder="1" applyAlignment="1">
      <alignment vertical="center" wrapText="1"/>
    </xf>
    <xf numFmtId="4" fontId="22" fillId="11" borderId="18" xfId="0" applyNumberFormat="1" applyFont="1" applyFill="1" applyBorder="1" applyAlignment="1">
      <alignment vertical="center" wrapText="1"/>
    </xf>
    <xf numFmtId="4" fontId="21" fillId="11" borderId="18" xfId="0" applyNumberFormat="1" applyFont="1" applyFill="1" applyBorder="1" applyAlignment="1">
      <alignment vertical="center" wrapText="1"/>
    </xf>
    <xf numFmtId="4" fontId="21" fillId="11" borderId="26" xfId="0" applyNumberFormat="1" applyFont="1" applyFill="1" applyBorder="1" applyAlignment="1">
      <alignment vertical="center" wrapText="1"/>
    </xf>
    <xf numFmtId="4" fontId="21" fillId="11" borderId="27" xfId="0" applyNumberFormat="1" applyFont="1" applyFill="1" applyBorder="1" applyAlignment="1">
      <alignment vertical="center" wrapText="1"/>
    </xf>
    <xf numFmtId="0" fontId="21" fillId="0" borderId="28" xfId="0" applyFont="1" applyBorder="1" applyAlignment="1">
      <alignment vertical="center" wrapText="1"/>
    </xf>
    <xf numFmtId="14" fontId="21" fillId="11" borderId="0" xfId="0" applyNumberFormat="1" applyFont="1" applyFill="1" applyAlignment="1"/>
    <xf numFmtId="0" fontId="21" fillId="11" borderId="0" xfId="0" applyFont="1" applyFill="1" applyAlignment="1"/>
    <xf numFmtId="0" fontId="20" fillId="11" borderId="0" xfId="0" applyFont="1" applyFill="1" applyAlignment="1"/>
    <xf numFmtId="0" fontId="22" fillId="11" borderId="0" xfId="0" applyFont="1" applyFill="1" applyAlignment="1"/>
    <xf numFmtId="4" fontId="20" fillId="11" borderId="0" xfId="0" applyNumberFormat="1" applyFont="1" applyFill="1" applyAlignment="1"/>
    <xf numFmtId="4" fontId="24" fillId="11" borderId="29" xfId="0" applyNumberFormat="1" applyFont="1" applyFill="1" applyBorder="1" applyAlignment="1"/>
    <xf numFmtId="0" fontId="24" fillId="4" borderId="0" xfId="0" applyFont="1" applyFill="1" applyAlignment="1"/>
    <xf numFmtId="4" fontId="20" fillId="12" borderId="0" xfId="0" applyNumberFormat="1" applyFont="1" applyFill="1" applyAlignment="1"/>
    <xf numFmtId="0" fontId="20" fillId="0" borderId="0" xfId="0" applyFont="1" applyAlignment="1">
      <alignment horizontal="right" vertical="center"/>
    </xf>
    <xf numFmtId="14" fontId="20" fillId="11" borderId="0" xfId="0" applyNumberFormat="1" applyFont="1" applyFill="1" applyAlignment="1"/>
    <xf numFmtId="0" fontId="20" fillId="11" borderId="0" xfId="0" applyFont="1" applyFill="1" applyAlignment="1">
      <alignment wrapText="1"/>
    </xf>
    <xf numFmtId="4" fontId="24" fillId="11" borderId="17" xfId="0" applyNumberFormat="1" applyFont="1" applyFill="1" applyBorder="1" applyAlignment="1"/>
    <xf numFmtId="4" fontId="20" fillId="11" borderId="0" xfId="0" applyNumberFormat="1" applyFont="1" applyFill="1" applyAlignment="1">
      <alignment wrapText="1"/>
    </xf>
    <xf numFmtId="14" fontId="25" fillId="11" borderId="30" xfId="0" applyNumberFormat="1" applyFont="1" applyFill="1" applyBorder="1" applyAlignment="1"/>
    <xf numFmtId="0" fontId="25" fillId="11" borderId="30" xfId="0" applyFont="1" applyFill="1" applyBorder="1" applyAlignment="1">
      <alignment wrapText="1"/>
    </xf>
    <xf numFmtId="0" fontId="26" fillId="11" borderId="30" xfId="0" applyFont="1" applyFill="1" applyBorder="1" applyAlignment="1"/>
    <xf numFmtId="4" fontId="26" fillId="11" borderId="0" xfId="0" applyNumberFormat="1" applyFont="1" applyFill="1" applyAlignment="1"/>
    <xf numFmtId="4" fontId="25" fillId="0" borderId="0" xfId="0" applyNumberFormat="1" applyFont="1">
      <alignment vertical="center"/>
    </xf>
    <xf numFmtId="0" fontId="25" fillId="0" borderId="0" xfId="0" applyFont="1">
      <alignment vertical="center"/>
    </xf>
    <xf numFmtId="4" fontId="26" fillId="11" borderId="31" xfId="0" applyNumberFormat="1" applyFont="1" applyFill="1" applyBorder="1" applyAlignment="1"/>
    <xf numFmtId="4" fontId="26" fillId="11" borderId="30" xfId="0" applyNumberFormat="1" applyFont="1" applyFill="1" applyBorder="1" applyAlignment="1">
      <alignment wrapText="1"/>
    </xf>
    <xf numFmtId="0" fontId="25" fillId="4" borderId="30" xfId="0" applyFont="1" applyFill="1" applyBorder="1" applyAlignment="1"/>
    <xf numFmtId="14" fontId="20" fillId="11" borderId="32" xfId="0" applyNumberFormat="1" applyFont="1" applyFill="1" applyBorder="1" applyAlignment="1"/>
    <xf numFmtId="0" fontId="20" fillId="11" borderId="32" xfId="0" applyFont="1" applyFill="1" applyBorder="1" applyAlignment="1">
      <alignment wrapText="1"/>
    </xf>
    <xf numFmtId="0" fontId="20" fillId="11" borderId="32" xfId="0" applyFont="1" applyFill="1" applyBorder="1" applyAlignment="1"/>
    <xf numFmtId="4" fontId="20" fillId="11" borderId="32" xfId="0" applyNumberFormat="1" applyFont="1" applyFill="1" applyBorder="1" applyAlignment="1"/>
    <xf numFmtId="4" fontId="24" fillId="11" borderId="29" xfId="0" applyNumberFormat="1" applyFont="1" applyFill="1" applyBorder="1" applyAlignment="1">
      <alignment wrapText="1"/>
    </xf>
    <xf numFmtId="4" fontId="22" fillId="11" borderId="32" xfId="0" applyNumberFormat="1" applyFont="1" applyFill="1" applyBorder="1" applyAlignment="1">
      <alignment wrapText="1"/>
    </xf>
    <xf numFmtId="0" fontId="24" fillId="8" borderId="29" xfId="0" applyFont="1" applyFill="1" applyBorder="1" applyAlignment="1"/>
    <xf numFmtId="4" fontId="24" fillId="11" borderId="17" xfId="0" applyNumberFormat="1" applyFont="1" applyFill="1" applyBorder="1" applyAlignment="1">
      <alignment wrapText="1"/>
    </xf>
    <xf numFmtId="4" fontId="22" fillId="11" borderId="0" xfId="0" applyNumberFormat="1" applyFont="1" applyFill="1" applyAlignment="1">
      <alignment wrapText="1"/>
    </xf>
    <xf numFmtId="0" fontId="24" fillId="8" borderId="17" xfId="0" applyFont="1" applyFill="1" applyBorder="1" applyAlignment="1"/>
    <xf numFmtId="14" fontId="26" fillId="11" borderId="1" xfId="0" applyNumberFormat="1" applyFont="1" applyFill="1" applyBorder="1" applyAlignment="1"/>
    <xf numFmtId="0" fontId="26" fillId="11" borderId="1" xfId="0" applyFont="1" applyFill="1" applyBorder="1" applyAlignment="1"/>
    <xf numFmtId="4" fontId="26" fillId="11" borderId="1" xfId="0" applyNumberFormat="1" applyFont="1" applyFill="1" applyBorder="1" applyAlignment="1"/>
    <xf numFmtId="4" fontId="26" fillId="11" borderId="33" xfId="0" applyNumberFormat="1" applyFont="1" applyFill="1" applyBorder="1" applyAlignment="1"/>
    <xf numFmtId="4" fontId="26" fillId="11" borderId="1" xfId="0" applyNumberFormat="1" applyFont="1" applyFill="1" applyBorder="1" applyAlignment="1">
      <alignment wrapText="1"/>
    </xf>
    <xf numFmtId="0" fontId="25" fillId="8" borderId="33" xfId="0" applyFont="1" applyFill="1" applyBorder="1" applyAlignment="1"/>
    <xf numFmtId="0" fontId="20" fillId="0" borderId="17" xfId="0" applyFont="1" applyBorder="1">
      <alignment vertical="center"/>
    </xf>
    <xf numFmtId="4" fontId="22" fillId="8" borderId="0" xfId="0" applyNumberFormat="1" applyFont="1" applyFill="1" applyAlignment="1">
      <alignment wrapText="1"/>
    </xf>
    <xf numFmtId="4" fontId="20" fillId="0" borderId="0" xfId="0" applyNumberFormat="1" applyFont="1">
      <alignment vertical="center"/>
    </xf>
    <xf numFmtId="0" fontId="20" fillId="0" borderId="34" xfId="0" applyFont="1" applyBorder="1">
      <alignment vertical="center"/>
    </xf>
  </cellXfs>
  <cellStyles count="2">
    <cellStyle name="Comma" xfId="1" builtinId="3"/>
    <cellStyle name="Normal" xfId="0" builtinId="0"/>
  </cellStyles>
  <dxfs count="8"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86784</xdr:colOff>
      <xdr:row>3</xdr:row>
      <xdr:rowOff>93133</xdr:rowOff>
    </xdr:from>
    <xdr:to>
      <xdr:col>44</xdr:col>
      <xdr:colOff>740834</xdr:colOff>
      <xdr:row>5</xdr:row>
      <xdr:rowOff>140758</xdr:rowOff>
    </xdr:to>
    <xdr:sp macro="" textlink="">
      <xdr:nvSpPr>
        <xdr:cNvPr id="2" name="Down Arrow 18">
          <a:extLst>
            <a:ext uri="{FF2B5EF4-FFF2-40B4-BE49-F238E27FC236}">
              <a16:creationId xmlns:a16="http://schemas.microsoft.com/office/drawing/2014/main" id="{0AA024DB-934C-4A82-B95D-312A1448A9A4}"/>
            </a:ext>
          </a:extLst>
        </xdr:cNvPr>
        <xdr:cNvSpPr/>
      </xdr:nvSpPr>
      <xdr:spPr>
        <a:xfrm>
          <a:off x="49407234" y="864658"/>
          <a:ext cx="654050" cy="561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117474</xdr:colOff>
      <xdr:row>1</xdr:row>
      <xdr:rowOff>247650</xdr:rowOff>
    </xdr:from>
    <xdr:to>
      <xdr:col>87</xdr:col>
      <xdr:colOff>1015999</xdr:colOff>
      <xdr:row>4</xdr:row>
      <xdr:rowOff>179917</xdr:rowOff>
    </xdr:to>
    <xdr:sp macro="" textlink="">
      <xdr:nvSpPr>
        <xdr:cNvPr id="3" name="Down Arrow 35">
          <a:extLst>
            <a:ext uri="{FF2B5EF4-FFF2-40B4-BE49-F238E27FC236}">
              <a16:creationId xmlns:a16="http://schemas.microsoft.com/office/drawing/2014/main" id="{066B3BE3-48F7-49F3-99DA-E9F02F1BD20E}"/>
            </a:ext>
          </a:extLst>
        </xdr:cNvPr>
        <xdr:cNvSpPr/>
      </xdr:nvSpPr>
      <xdr:spPr>
        <a:xfrm>
          <a:off x="93481524" y="504825"/>
          <a:ext cx="898525" cy="703792"/>
        </a:xfrm>
        <a:prstGeom prst="down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86784</xdr:colOff>
      <xdr:row>3</xdr:row>
      <xdr:rowOff>93133</xdr:rowOff>
    </xdr:from>
    <xdr:to>
      <xdr:col>44</xdr:col>
      <xdr:colOff>740834</xdr:colOff>
      <xdr:row>5</xdr:row>
      <xdr:rowOff>140758</xdr:rowOff>
    </xdr:to>
    <xdr:sp macro="" textlink="">
      <xdr:nvSpPr>
        <xdr:cNvPr id="4" name="Down Arrow 16">
          <a:extLst>
            <a:ext uri="{FF2B5EF4-FFF2-40B4-BE49-F238E27FC236}">
              <a16:creationId xmlns:a16="http://schemas.microsoft.com/office/drawing/2014/main" id="{3A091AE1-0C4D-477F-80E0-03CBCD5F5821}"/>
            </a:ext>
          </a:extLst>
        </xdr:cNvPr>
        <xdr:cNvSpPr/>
      </xdr:nvSpPr>
      <xdr:spPr>
        <a:xfrm>
          <a:off x="49407234" y="864658"/>
          <a:ext cx="654050" cy="561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43962</xdr:colOff>
      <xdr:row>1</xdr:row>
      <xdr:rowOff>249116</xdr:rowOff>
    </xdr:from>
    <xdr:to>
      <xdr:col>74</xdr:col>
      <xdr:colOff>2198</xdr:colOff>
      <xdr:row>4</xdr:row>
      <xdr:rowOff>181383</xdr:rowOff>
    </xdr:to>
    <xdr:sp macro="" textlink="">
      <xdr:nvSpPr>
        <xdr:cNvPr id="5" name="Down Arrow 27">
          <a:extLst>
            <a:ext uri="{FF2B5EF4-FFF2-40B4-BE49-F238E27FC236}">
              <a16:creationId xmlns:a16="http://schemas.microsoft.com/office/drawing/2014/main" id="{8E05FD1B-9384-493D-97D2-A00672F164C8}"/>
            </a:ext>
          </a:extLst>
        </xdr:cNvPr>
        <xdr:cNvSpPr/>
      </xdr:nvSpPr>
      <xdr:spPr>
        <a:xfrm>
          <a:off x="79930137" y="506291"/>
          <a:ext cx="901211" cy="703792"/>
        </a:xfrm>
        <a:prstGeom prst="down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117474</xdr:colOff>
      <xdr:row>1</xdr:row>
      <xdr:rowOff>247650</xdr:rowOff>
    </xdr:from>
    <xdr:to>
      <xdr:col>87</xdr:col>
      <xdr:colOff>1015999</xdr:colOff>
      <xdr:row>4</xdr:row>
      <xdr:rowOff>179917</xdr:rowOff>
    </xdr:to>
    <xdr:sp macro="" textlink="">
      <xdr:nvSpPr>
        <xdr:cNvPr id="6" name="Down Arrow 28">
          <a:extLst>
            <a:ext uri="{FF2B5EF4-FFF2-40B4-BE49-F238E27FC236}">
              <a16:creationId xmlns:a16="http://schemas.microsoft.com/office/drawing/2014/main" id="{901E840A-EF18-4F83-AC92-6C6AC9AE024C}"/>
            </a:ext>
          </a:extLst>
        </xdr:cNvPr>
        <xdr:cNvSpPr/>
      </xdr:nvSpPr>
      <xdr:spPr>
        <a:xfrm>
          <a:off x="93481524" y="504825"/>
          <a:ext cx="898525" cy="703792"/>
        </a:xfrm>
        <a:prstGeom prst="down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86784</xdr:colOff>
      <xdr:row>3</xdr:row>
      <xdr:rowOff>93133</xdr:rowOff>
    </xdr:from>
    <xdr:to>
      <xdr:col>44</xdr:col>
      <xdr:colOff>740834</xdr:colOff>
      <xdr:row>5</xdr:row>
      <xdr:rowOff>140758</xdr:rowOff>
    </xdr:to>
    <xdr:sp macro="" textlink="">
      <xdr:nvSpPr>
        <xdr:cNvPr id="7" name="Down Arrow 18">
          <a:extLst>
            <a:ext uri="{FF2B5EF4-FFF2-40B4-BE49-F238E27FC236}">
              <a16:creationId xmlns:a16="http://schemas.microsoft.com/office/drawing/2014/main" id="{C1290BAF-3BAE-4266-A4B2-6F72982D498F}"/>
            </a:ext>
          </a:extLst>
        </xdr:cNvPr>
        <xdr:cNvSpPr/>
      </xdr:nvSpPr>
      <xdr:spPr>
        <a:xfrm>
          <a:off x="49407234" y="864658"/>
          <a:ext cx="654050" cy="561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376115</xdr:colOff>
      <xdr:row>269</xdr:row>
      <xdr:rowOff>0</xdr:rowOff>
    </xdr:from>
    <xdr:to>
      <xdr:col>47</xdr:col>
      <xdr:colOff>985716</xdr:colOff>
      <xdr:row>269</xdr:row>
      <xdr:rowOff>129443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6DF2D274-2443-4A72-83D7-69EFD0BADCD5}"/>
            </a:ext>
          </a:extLst>
        </xdr:cNvPr>
        <xdr:cNvSpPr/>
      </xdr:nvSpPr>
      <xdr:spPr>
        <a:xfrm>
          <a:off x="52468340" y="70123050"/>
          <a:ext cx="609601" cy="12944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81492</xdr:colOff>
      <xdr:row>270</xdr:row>
      <xdr:rowOff>0</xdr:rowOff>
    </xdr:from>
    <xdr:to>
      <xdr:col>72</xdr:col>
      <xdr:colOff>645584</xdr:colOff>
      <xdr:row>274</xdr:row>
      <xdr:rowOff>56092</xdr:rowOff>
    </xdr:to>
    <xdr:cxnSp macro="">
      <xdr:nvCxnSpPr>
        <xdr:cNvPr id="9" name="Straight Arrow Connector 10">
          <a:extLst>
            <a:ext uri="{FF2B5EF4-FFF2-40B4-BE49-F238E27FC236}">
              <a16:creationId xmlns:a16="http://schemas.microsoft.com/office/drawing/2014/main" id="{FA0B56F4-8C02-40C7-823A-7AD76E5A990F}"/>
            </a:ext>
          </a:extLst>
        </xdr:cNvPr>
        <xdr:cNvCxnSpPr/>
      </xdr:nvCxnSpPr>
      <xdr:spPr>
        <a:xfrm flipV="1">
          <a:off x="78815142" y="70504050"/>
          <a:ext cx="564092" cy="12467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117474</xdr:colOff>
      <xdr:row>1</xdr:row>
      <xdr:rowOff>247650</xdr:rowOff>
    </xdr:from>
    <xdr:to>
      <xdr:col>87</xdr:col>
      <xdr:colOff>1015999</xdr:colOff>
      <xdr:row>4</xdr:row>
      <xdr:rowOff>179917</xdr:rowOff>
    </xdr:to>
    <xdr:sp macro="" textlink="">
      <xdr:nvSpPr>
        <xdr:cNvPr id="10" name="Down Arrow 35">
          <a:extLst>
            <a:ext uri="{FF2B5EF4-FFF2-40B4-BE49-F238E27FC236}">
              <a16:creationId xmlns:a16="http://schemas.microsoft.com/office/drawing/2014/main" id="{31F23CB3-8A2B-46D2-A938-79E8076DCABF}"/>
            </a:ext>
          </a:extLst>
        </xdr:cNvPr>
        <xdr:cNvSpPr/>
      </xdr:nvSpPr>
      <xdr:spPr>
        <a:xfrm>
          <a:off x="93481524" y="504825"/>
          <a:ext cx="898525" cy="703792"/>
        </a:xfrm>
        <a:prstGeom prst="down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74</xdr:col>
      <xdr:colOff>52917</xdr:colOff>
      <xdr:row>269</xdr:row>
      <xdr:rowOff>0</xdr:rowOff>
    </xdr:from>
    <xdr:to>
      <xdr:col>74</xdr:col>
      <xdr:colOff>484718</xdr:colOff>
      <xdr:row>269</xdr:row>
      <xdr:rowOff>42333</xdr:rowOff>
    </xdr:to>
    <xdr:sp macro="" textlink="">
      <xdr:nvSpPr>
        <xdr:cNvPr id="11" name="Right Arrow 7">
          <a:extLst>
            <a:ext uri="{FF2B5EF4-FFF2-40B4-BE49-F238E27FC236}">
              <a16:creationId xmlns:a16="http://schemas.microsoft.com/office/drawing/2014/main" id="{C34B1009-EDBC-40C0-B569-0FFBEBF161AA}"/>
            </a:ext>
          </a:extLst>
        </xdr:cNvPr>
        <xdr:cNvSpPr/>
      </xdr:nvSpPr>
      <xdr:spPr>
        <a:xfrm>
          <a:off x="80882067" y="70123050"/>
          <a:ext cx="431801" cy="423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90</xdr:col>
      <xdr:colOff>366345</xdr:colOff>
      <xdr:row>268</xdr:row>
      <xdr:rowOff>85481</xdr:rowOff>
    </xdr:from>
    <xdr:to>
      <xdr:col>91</xdr:col>
      <xdr:colOff>197089</xdr:colOff>
      <xdr:row>268</xdr:row>
      <xdr:rowOff>415193</xdr:rowOff>
    </xdr:to>
    <xdr:sp macro="" textlink="">
      <xdr:nvSpPr>
        <xdr:cNvPr id="12" name="Oval 14">
          <a:extLst>
            <a:ext uri="{FF2B5EF4-FFF2-40B4-BE49-F238E27FC236}">
              <a16:creationId xmlns:a16="http://schemas.microsoft.com/office/drawing/2014/main" id="{E149CB7D-D8C1-4CC1-A43C-CB31ACD408C6}"/>
            </a:ext>
          </a:extLst>
        </xdr:cNvPr>
        <xdr:cNvSpPr/>
      </xdr:nvSpPr>
      <xdr:spPr>
        <a:xfrm>
          <a:off x="96902220" y="69722756"/>
          <a:ext cx="1269019" cy="329712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72575</xdr:colOff>
      <xdr:row>268</xdr:row>
      <xdr:rowOff>48169</xdr:rowOff>
    </xdr:from>
    <xdr:to>
      <xdr:col>74</xdr:col>
      <xdr:colOff>29943</xdr:colOff>
      <xdr:row>268</xdr:row>
      <xdr:rowOff>442125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F91397A-74DC-4A8B-9446-921A0AB20864}"/>
            </a:ext>
          </a:extLst>
        </xdr:cNvPr>
        <xdr:cNvSpPr/>
      </xdr:nvSpPr>
      <xdr:spPr>
        <a:xfrm>
          <a:off x="79958750" y="69685444"/>
          <a:ext cx="900343" cy="393956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86784</xdr:colOff>
      <xdr:row>3</xdr:row>
      <xdr:rowOff>93133</xdr:rowOff>
    </xdr:from>
    <xdr:to>
      <xdr:col>44</xdr:col>
      <xdr:colOff>740834</xdr:colOff>
      <xdr:row>5</xdr:row>
      <xdr:rowOff>140758</xdr:rowOff>
    </xdr:to>
    <xdr:sp macro="" textlink="">
      <xdr:nvSpPr>
        <xdr:cNvPr id="14" name="Down Arrow 16">
          <a:extLst>
            <a:ext uri="{FF2B5EF4-FFF2-40B4-BE49-F238E27FC236}">
              <a16:creationId xmlns:a16="http://schemas.microsoft.com/office/drawing/2014/main" id="{BB3A81CD-1F22-4537-A976-AE603F1EF49D}"/>
            </a:ext>
          </a:extLst>
        </xdr:cNvPr>
        <xdr:cNvSpPr/>
      </xdr:nvSpPr>
      <xdr:spPr>
        <a:xfrm>
          <a:off x="49407234" y="864658"/>
          <a:ext cx="654050" cy="561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878416</xdr:colOff>
      <xdr:row>270</xdr:row>
      <xdr:rowOff>373593</xdr:rowOff>
    </xdr:from>
    <xdr:to>
      <xdr:col>73</xdr:col>
      <xdr:colOff>503766</xdr:colOff>
      <xdr:row>271</xdr:row>
      <xdr:rowOff>328084</xdr:rowOff>
    </xdr:to>
    <xdr:cxnSp macro="">
      <xdr:nvCxnSpPr>
        <xdr:cNvPr id="15" name="Straight Arrow Connector 5">
          <a:extLst>
            <a:ext uri="{FF2B5EF4-FFF2-40B4-BE49-F238E27FC236}">
              <a16:creationId xmlns:a16="http://schemas.microsoft.com/office/drawing/2014/main" id="{0B10CB9E-EAB6-4090-8137-00765EF876CE}"/>
            </a:ext>
          </a:extLst>
        </xdr:cNvPr>
        <xdr:cNvCxnSpPr/>
      </xdr:nvCxnSpPr>
      <xdr:spPr>
        <a:xfrm flipV="1">
          <a:off x="79612066" y="70877643"/>
          <a:ext cx="777875" cy="3069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95250</xdr:colOff>
      <xdr:row>269</xdr:row>
      <xdr:rowOff>284691</xdr:rowOff>
    </xdr:from>
    <xdr:to>
      <xdr:col>46</xdr:col>
      <xdr:colOff>704851</xdr:colOff>
      <xdr:row>271</xdr:row>
      <xdr:rowOff>31750</xdr:rowOff>
    </xdr:to>
    <xdr:sp macro="" textlink="">
      <xdr:nvSpPr>
        <xdr:cNvPr id="16" name="Right Arrow 7">
          <a:extLst>
            <a:ext uri="{FF2B5EF4-FFF2-40B4-BE49-F238E27FC236}">
              <a16:creationId xmlns:a16="http://schemas.microsoft.com/office/drawing/2014/main" id="{B938EDF8-E809-4248-843C-E20F0E5A58A1}"/>
            </a:ext>
          </a:extLst>
        </xdr:cNvPr>
        <xdr:cNvSpPr/>
      </xdr:nvSpPr>
      <xdr:spPr>
        <a:xfrm>
          <a:off x="51101625" y="70407741"/>
          <a:ext cx="609601" cy="54715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81492</xdr:colOff>
      <xdr:row>271</xdr:row>
      <xdr:rowOff>317499</xdr:rowOff>
    </xdr:from>
    <xdr:to>
      <xdr:col>72</xdr:col>
      <xdr:colOff>645584</xdr:colOff>
      <xdr:row>276</xdr:row>
      <xdr:rowOff>56092</xdr:rowOff>
    </xdr:to>
    <xdr:cxnSp macro="">
      <xdr:nvCxnSpPr>
        <xdr:cNvPr id="17" name="Straight Arrow Connector 10">
          <a:extLst>
            <a:ext uri="{FF2B5EF4-FFF2-40B4-BE49-F238E27FC236}">
              <a16:creationId xmlns:a16="http://schemas.microsoft.com/office/drawing/2014/main" id="{0AEC6242-FC68-43CE-9815-2F0A25BAD378}"/>
            </a:ext>
          </a:extLst>
        </xdr:cNvPr>
        <xdr:cNvCxnSpPr/>
      </xdr:nvCxnSpPr>
      <xdr:spPr>
        <a:xfrm flipV="1">
          <a:off x="78815142" y="71183499"/>
          <a:ext cx="564092" cy="10816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97692</xdr:colOff>
      <xdr:row>268</xdr:row>
      <xdr:rowOff>85480</xdr:rowOff>
    </xdr:from>
    <xdr:to>
      <xdr:col>48</xdr:col>
      <xdr:colOff>36635</xdr:colOff>
      <xdr:row>268</xdr:row>
      <xdr:rowOff>402980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18D2124-B4B6-4D56-A2EB-8ED223ADC464}"/>
            </a:ext>
          </a:extLst>
        </xdr:cNvPr>
        <xdr:cNvSpPr/>
      </xdr:nvSpPr>
      <xdr:spPr>
        <a:xfrm>
          <a:off x="52189917" y="69722755"/>
          <a:ext cx="9866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43962</xdr:colOff>
      <xdr:row>1</xdr:row>
      <xdr:rowOff>249116</xdr:rowOff>
    </xdr:from>
    <xdr:to>
      <xdr:col>74</xdr:col>
      <xdr:colOff>2198</xdr:colOff>
      <xdr:row>4</xdr:row>
      <xdr:rowOff>181383</xdr:rowOff>
    </xdr:to>
    <xdr:sp macro="" textlink="">
      <xdr:nvSpPr>
        <xdr:cNvPr id="19" name="Down Arrow 27">
          <a:extLst>
            <a:ext uri="{FF2B5EF4-FFF2-40B4-BE49-F238E27FC236}">
              <a16:creationId xmlns:a16="http://schemas.microsoft.com/office/drawing/2014/main" id="{56AC021D-8FC2-40EC-B26A-8491FC90C432}"/>
            </a:ext>
          </a:extLst>
        </xdr:cNvPr>
        <xdr:cNvSpPr/>
      </xdr:nvSpPr>
      <xdr:spPr>
        <a:xfrm>
          <a:off x="79930137" y="506291"/>
          <a:ext cx="901211" cy="703792"/>
        </a:xfrm>
        <a:prstGeom prst="down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117474</xdr:colOff>
      <xdr:row>1</xdr:row>
      <xdr:rowOff>247650</xdr:rowOff>
    </xdr:from>
    <xdr:to>
      <xdr:col>87</xdr:col>
      <xdr:colOff>1015999</xdr:colOff>
      <xdr:row>4</xdr:row>
      <xdr:rowOff>179917</xdr:rowOff>
    </xdr:to>
    <xdr:sp macro="" textlink="">
      <xdr:nvSpPr>
        <xdr:cNvPr id="20" name="Down Arrow 28">
          <a:extLst>
            <a:ext uri="{FF2B5EF4-FFF2-40B4-BE49-F238E27FC236}">
              <a16:creationId xmlns:a16="http://schemas.microsoft.com/office/drawing/2014/main" id="{36F77977-65D8-406E-AB9F-D16BD3623FD6}"/>
            </a:ext>
          </a:extLst>
        </xdr:cNvPr>
        <xdr:cNvSpPr/>
      </xdr:nvSpPr>
      <xdr:spPr>
        <a:xfrm>
          <a:off x="93481524" y="504825"/>
          <a:ext cx="898525" cy="703792"/>
        </a:xfrm>
        <a:prstGeom prst="down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74</xdr:col>
      <xdr:colOff>52917</xdr:colOff>
      <xdr:row>269</xdr:row>
      <xdr:rowOff>295274</xdr:rowOff>
    </xdr:from>
    <xdr:to>
      <xdr:col>74</xdr:col>
      <xdr:colOff>647211</xdr:colOff>
      <xdr:row>271</xdr:row>
      <xdr:rowOff>42333</xdr:rowOff>
    </xdr:to>
    <xdr:sp macro="" textlink="">
      <xdr:nvSpPr>
        <xdr:cNvPr id="21" name="Right Arrow 7">
          <a:extLst>
            <a:ext uri="{FF2B5EF4-FFF2-40B4-BE49-F238E27FC236}">
              <a16:creationId xmlns:a16="http://schemas.microsoft.com/office/drawing/2014/main" id="{01AF136B-F584-4260-A9DE-1FE03C1AA93E}"/>
            </a:ext>
          </a:extLst>
        </xdr:cNvPr>
        <xdr:cNvSpPr/>
      </xdr:nvSpPr>
      <xdr:spPr>
        <a:xfrm>
          <a:off x="80882067" y="70418324"/>
          <a:ext cx="594294" cy="54715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91</xdr:col>
      <xdr:colOff>1123461</xdr:colOff>
      <xdr:row>269</xdr:row>
      <xdr:rowOff>271096</xdr:rowOff>
    </xdr:from>
    <xdr:to>
      <xdr:col>93</xdr:col>
      <xdr:colOff>160456</xdr:colOff>
      <xdr:row>271</xdr:row>
      <xdr:rowOff>109130</xdr:rowOff>
    </xdr:to>
    <xdr:sp macro="" textlink="">
      <xdr:nvSpPr>
        <xdr:cNvPr id="22" name="Oval 14">
          <a:extLst>
            <a:ext uri="{FF2B5EF4-FFF2-40B4-BE49-F238E27FC236}">
              <a16:creationId xmlns:a16="http://schemas.microsoft.com/office/drawing/2014/main" id="{5C43AFD8-3ECB-4041-8643-EBE1EDBDD22B}"/>
            </a:ext>
          </a:extLst>
        </xdr:cNvPr>
        <xdr:cNvSpPr/>
      </xdr:nvSpPr>
      <xdr:spPr>
        <a:xfrm>
          <a:off x="99097611" y="70394146"/>
          <a:ext cx="1484920" cy="63813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878416</xdr:colOff>
      <xdr:row>270</xdr:row>
      <xdr:rowOff>0</xdr:rowOff>
    </xdr:from>
    <xdr:to>
      <xdr:col>73</xdr:col>
      <xdr:colOff>503766</xdr:colOff>
      <xdr:row>270</xdr:row>
      <xdr:rowOff>328084</xdr:rowOff>
    </xdr:to>
    <xdr:cxnSp macro="">
      <xdr:nvCxnSpPr>
        <xdr:cNvPr id="23" name="Straight Arrow Connector 5">
          <a:extLst>
            <a:ext uri="{FF2B5EF4-FFF2-40B4-BE49-F238E27FC236}">
              <a16:creationId xmlns:a16="http://schemas.microsoft.com/office/drawing/2014/main" id="{7E41471D-7922-4412-91A5-21426C27251A}"/>
            </a:ext>
          </a:extLst>
        </xdr:cNvPr>
        <xdr:cNvCxnSpPr/>
      </xdr:nvCxnSpPr>
      <xdr:spPr>
        <a:xfrm flipV="1">
          <a:off x="79612066" y="70504050"/>
          <a:ext cx="777875" cy="3280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60</xdr:col>
      <xdr:colOff>1043835</xdr:colOff>
      <xdr:row>280</xdr:row>
      <xdr:rowOff>65239</xdr:rowOff>
    </xdr:from>
    <xdr:to>
      <xdr:col>63</xdr:col>
      <xdr:colOff>0</xdr:colOff>
      <xdr:row>291</xdr:row>
      <xdr:rowOff>168321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145A0CD-B223-4C10-B01A-A47551BDA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09160" y="73302964"/>
          <a:ext cx="2242290" cy="2932007"/>
        </a:xfrm>
        <a:prstGeom prst="rect">
          <a:avLst/>
        </a:prstGeom>
      </xdr:spPr>
    </xdr:pic>
    <xdr:clientData/>
  </xdr:twoCellAnchor>
  <xdr:twoCellAnchor editAs="oneCell">
    <xdr:from>
      <xdr:col>75</xdr:col>
      <xdr:colOff>104384</xdr:colOff>
      <xdr:row>274</xdr:row>
      <xdr:rowOff>247911</xdr:rowOff>
    </xdr:from>
    <xdr:to>
      <xdr:col>76</xdr:col>
      <xdr:colOff>643996</xdr:colOff>
      <xdr:row>282</xdr:row>
      <xdr:rowOff>217927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5149327-094F-4AC0-B6E1-0D29AB6B3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86009" y="71942586"/>
          <a:ext cx="1511162" cy="20274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</xdr:row>
      <xdr:rowOff>195719</xdr:rowOff>
    </xdr:from>
    <xdr:to>
      <xdr:col>4</xdr:col>
      <xdr:colOff>143528</xdr:colOff>
      <xdr:row>281</xdr:row>
      <xdr:rowOff>237436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7BA987E-230D-45A3-A32C-84308FF7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147569"/>
          <a:ext cx="7887353" cy="1584767"/>
        </a:xfrm>
        <a:prstGeom prst="rect">
          <a:avLst/>
        </a:prstGeom>
      </xdr:spPr>
    </xdr:pic>
    <xdr:clientData/>
  </xdr:twoCellAnchor>
  <xdr:twoCellAnchor>
    <xdr:from>
      <xdr:col>51</xdr:col>
      <xdr:colOff>97692</xdr:colOff>
      <xdr:row>268</xdr:row>
      <xdr:rowOff>85480</xdr:rowOff>
    </xdr:from>
    <xdr:to>
      <xdr:col>52</xdr:col>
      <xdr:colOff>36635</xdr:colOff>
      <xdr:row>268</xdr:row>
      <xdr:rowOff>402980</xdr:rowOff>
    </xdr:to>
    <xdr:sp macro="" textlink="">
      <xdr:nvSpPr>
        <xdr:cNvPr id="27" name="Oval 17">
          <a:extLst>
            <a:ext uri="{FF2B5EF4-FFF2-40B4-BE49-F238E27FC236}">
              <a16:creationId xmlns:a16="http://schemas.microsoft.com/office/drawing/2014/main" id="{B1B840C3-1FBD-423C-8314-CC9FA4A124B2}"/>
            </a:ext>
          </a:extLst>
        </xdr:cNvPr>
        <xdr:cNvSpPr/>
      </xdr:nvSpPr>
      <xdr:spPr>
        <a:xfrm>
          <a:off x="562666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97692</xdr:colOff>
      <xdr:row>268</xdr:row>
      <xdr:rowOff>85480</xdr:rowOff>
    </xdr:from>
    <xdr:to>
      <xdr:col>52</xdr:col>
      <xdr:colOff>36635</xdr:colOff>
      <xdr:row>268</xdr:row>
      <xdr:rowOff>402980</xdr:rowOff>
    </xdr:to>
    <xdr:sp macro="" textlink="">
      <xdr:nvSpPr>
        <xdr:cNvPr id="28" name="Oval 17">
          <a:extLst>
            <a:ext uri="{FF2B5EF4-FFF2-40B4-BE49-F238E27FC236}">
              <a16:creationId xmlns:a16="http://schemas.microsoft.com/office/drawing/2014/main" id="{B8F605D3-F6A9-46D5-B2C3-6199E9EE12E8}"/>
            </a:ext>
          </a:extLst>
        </xdr:cNvPr>
        <xdr:cNvSpPr/>
      </xdr:nvSpPr>
      <xdr:spPr>
        <a:xfrm>
          <a:off x="562666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97692</xdr:colOff>
      <xdr:row>268</xdr:row>
      <xdr:rowOff>85480</xdr:rowOff>
    </xdr:from>
    <xdr:to>
      <xdr:col>58</xdr:col>
      <xdr:colOff>36635</xdr:colOff>
      <xdr:row>268</xdr:row>
      <xdr:rowOff>402980</xdr:rowOff>
    </xdr:to>
    <xdr:sp macro="" textlink="">
      <xdr:nvSpPr>
        <xdr:cNvPr id="29" name="Oval 17">
          <a:extLst>
            <a:ext uri="{FF2B5EF4-FFF2-40B4-BE49-F238E27FC236}">
              <a16:creationId xmlns:a16="http://schemas.microsoft.com/office/drawing/2014/main" id="{F788C081-90AD-4FDA-881E-3518B0F2B880}"/>
            </a:ext>
          </a:extLst>
        </xdr:cNvPr>
        <xdr:cNvSpPr/>
      </xdr:nvSpPr>
      <xdr:spPr>
        <a:xfrm>
          <a:off x="623245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97692</xdr:colOff>
      <xdr:row>268</xdr:row>
      <xdr:rowOff>85480</xdr:rowOff>
    </xdr:from>
    <xdr:to>
      <xdr:col>58</xdr:col>
      <xdr:colOff>36635</xdr:colOff>
      <xdr:row>268</xdr:row>
      <xdr:rowOff>402980</xdr:rowOff>
    </xdr:to>
    <xdr:sp macro="" textlink="">
      <xdr:nvSpPr>
        <xdr:cNvPr id="30" name="Oval 17">
          <a:extLst>
            <a:ext uri="{FF2B5EF4-FFF2-40B4-BE49-F238E27FC236}">
              <a16:creationId xmlns:a16="http://schemas.microsoft.com/office/drawing/2014/main" id="{7ABC684B-9AA0-40FA-BDD9-9F4B3E3CE45D}"/>
            </a:ext>
          </a:extLst>
        </xdr:cNvPr>
        <xdr:cNvSpPr/>
      </xdr:nvSpPr>
      <xdr:spPr>
        <a:xfrm>
          <a:off x="623245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97692</xdr:colOff>
      <xdr:row>268</xdr:row>
      <xdr:rowOff>85480</xdr:rowOff>
    </xdr:from>
    <xdr:to>
      <xdr:col>59</xdr:col>
      <xdr:colOff>36635</xdr:colOff>
      <xdr:row>268</xdr:row>
      <xdr:rowOff>402980</xdr:rowOff>
    </xdr:to>
    <xdr:sp macro="" textlink="">
      <xdr:nvSpPr>
        <xdr:cNvPr id="31" name="Oval 17">
          <a:extLst>
            <a:ext uri="{FF2B5EF4-FFF2-40B4-BE49-F238E27FC236}">
              <a16:creationId xmlns:a16="http://schemas.microsoft.com/office/drawing/2014/main" id="{FAE650D2-3773-4971-A450-90A553F22A36}"/>
            </a:ext>
          </a:extLst>
        </xdr:cNvPr>
        <xdr:cNvSpPr/>
      </xdr:nvSpPr>
      <xdr:spPr>
        <a:xfrm>
          <a:off x="6333416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97692</xdr:colOff>
      <xdr:row>268</xdr:row>
      <xdr:rowOff>85480</xdr:rowOff>
    </xdr:from>
    <xdr:to>
      <xdr:col>59</xdr:col>
      <xdr:colOff>36635</xdr:colOff>
      <xdr:row>268</xdr:row>
      <xdr:rowOff>402980</xdr:rowOff>
    </xdr:to>
    <xdr:sp macro="" textlink="">
      <xdr:nvSpPr>
        <xdr:cNvPr id="32" name="Oval 17">
          <a:extLst>
            <a:ext uri="{FF2B5EF4-FFF2-40B4-BE49-F238E27FC236}">
              <a16:creationId xmlns:a16="http://schemas.microsoft.com/office/drawing/2014/main" id="{4577DBF8-28FB-4E00-8D17-201E9F40B04B}"/>
            </a:ext>
          </a:extLst>
        </xdr:cNvPr>
        <xdr:cNvSpPr/>
      </xdr:nvSpPr>
      <xdr:spPr>
        <a:xfrm>
          <a:off x="6333416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97692</xdr:colOff>
      <xdr:row>268</xdr:row>
      <xdr:rowOff>85480</xdr:rowOff>
    </xdr:from>
    <xdr:to>
      <xdr:col>60</xdr:col>
      <xdr:colOff>36635</xdr:colOff>
      <xdr:row>268</xdr:row>
      <xdr:rowOff>402980</xdr:rowOff>
    </xdr:to>
    <xdr:sp macro="" textlink="">
      <xdr:nvSpPr>
        <xdr:cNvPr id="33" name="Oval 17">
          <a:extLst>
            <a:ext uri="{FF2B5EF4-FFF2-40B4-BE49-F238E27FC236}">
              <a16:creationId xmlns:a16="http://schemas.microsoft.com/office/drawing/2014/main" id="{51EC9999-0E95-4AE3-9FBD-AB3242BA438C}"/>
            </a:ext>
          </a:extLst>
        </xdr:cNvPr>
        <xdr:cNvSpPr/>
      </xdr:nvSpPr>
      <xdr:spPr>
        <a:xfrm>
          <a:off x="64343817" y="69722755"/>
          <a:ext cx="115814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97692</xdr:colOff>
      <xdr:row>268</xdr:row>
      <xdr:rowOff>85480</xdr:rowOff>
    </xdr:from>
    <xdr:to>
      <xdr:col>52</xdr:col>
      <xdr:colOff>36635</xdr:colOff>
      <xdr:row>268</xdr:row>
      <xdr:rowOff>402980</xdr:rowOff>
    </xdr:to>
    <xdr:sp macro="" textlink="">
      <xdr:nvSpPr>
        <xdr:cNvPr id="34" name="Oval 17">
          <a:extLst>
            <a:ext uri="{FF2B5EF4-FFF2-40B4-BE49-F238E27FC236}">
              <a16:creationId xmlns:a16="http://schemas.microsoft.com/office/drawing/2014/main" id="{93D50965-7692-4658-A767-82DA2E05C824}"/>
            </a:ext>
          </a:extLst>
        </xdr:cNvPr>
        <xdr:cNvSpPr/>
      </xdr:nvSpPr>
      <xdr:spPr>
        <a:xfrm>
          <a:off x="562666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97692</xdr:colOff>
      <xdr:row>268</xdr:row>
      <xdr:rowOff>85480</xdr:rowOff>
    </xdr:from>
    <xdr:to>
      <xdr:col>52</xdr:col>
      <xdr:colOff>36635</xdr:colOff>
      <xdr:row>268</xdr:row>
      <xdr:rowOff>402980</xdr:rowOff>
    </xdr:to>
    <xdr:sp macro="" textlink="">
      <xdr:nvSpPr>
        <xdr:cNvPr id="35" name="Oval 17">
          <a:extLst>
            <a:ext uri="{FF2B5EF4-FFF2-40B4-BE49-F238E27FC236}">
              <a16:creationId xmlns:a16="http://schemas.microsoft.com/office/drawing/2014/main" id="{419CADD0-85AE-4CF1-A7FF-1E83F03B1785}"/>
            </a:ext>
          </a:extLst>
        </xdr:cNvPr>
        <xdr:cNvSpPr/>
      </xdr:nvSpPr>
      <xdr:spPr>
        <a:xfrm>
          <a:off x="562666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56</xdr:col>
      <xdr:colOff>97692</xdr:colOff>
      <xdr:row>268</xdr:row>
      <xdr:rowOff>85480</xdr:rowOff>
    </xdr:from>
    <xdr:to>
      <xdr:col>57</xdr:col>
      <xdr:colOff>36635</xdr:colOff>
      <xdr:row>268</xdr:row>
      <xdr:rowOff>402980</xdr:rowOff>
    </xdr:to>
    <xdr:sp macro="" textlink="">
      <xdr:nvSpPr>
        <xdr:cNvPr id="36" name="Oval 17">
          <a:extLst>
            <a:ext uri="{FF2B5EF4-FFF2-40B4-BE49-F238E27FC236}">
              <a16:creationId xmlns:a16="http://schemas.microsoft.com/office/drawing/2014/main" id="{527106BF-3329-4E3E-AD4B-8681ADE14CFB}"/>
            </a:ext>
          </a:extLst>
        </xdr:cNvPr>
        <xdr:cNvSpPr/>
      </xdr:nvSpPr>
      <xdr:spPr>
        <a:xfrm>
          <a:off x="6131486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97692</xdr:colOff>
      <xdr:row>268</xdr:row>
      <xdr:rowOff>85480</xdr:rowOff>
    </xdr:from>
    <xdr:to>
      <xdr:col>58</xdr:col>
      <xdr:colOff>36635</xdr:colOff>
      <xdr:row>268</xdr:row>
      <xdr:rowOff>402980</xdr:rowOff>
    </xdr:to>
    <xdr:sp macro="" textlink="">
      <xdr:nvSpPr>
        <xdr:cNvPr id="37" name="Oval 17">
          <a:extLst>
            <a:ext uri="{FF2B5EF4-FFF2-40B4-BE49-F238E27FC236}">
              <a16:creationId xmlns:a16="http://schemas.microsoft.com/office/drawing/2014/main" id="{4D3F1FFC-0D35-4C09-9E7C-BA5E9DDAC8BE}"/>
            </a:ext>
          </a:extLst>
        </xdr:cNvPr>
        <xdr:cNvSpPr/>
      </xdr:nvSpPr>
      <xdr:spPr>
        <a:xfrm>
          <a:off x="623245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97692</xdr:colOff>
      <xdr:row>268</xdr:row>
      <xdr:rowOff>85480</xdr:rowOff>
    </xdr:from>
    <xdr:to>
      <xdr:col>58</xdr:col>
      <xdr:colOff>36635</xdr:colOff>
      <xdr:row>268</xdr:row>
      <xdr:rowOff>402980</xdr:rowOff>
    </xdr:to>
    <xdr:sp macro="" textlink="">
      <xdr:nvSpPr>
        <xdr:cNvPr id="38" name="Oval 17">
          <a:extLst>
            <a:ext uri="{FF2B5EF4-FFF2-40B4-BE49-F238E27FC236}">
              <a16:creationId xmlns:a16="http://schemas.microsoft.com/office/drawing/2014/main" id="{1BDC6C00-27AD-443B-A8C8-057847494197}"/>
            </a:ext>
          </a:extLst>
        </xdr:cNvPr>
        <xdr:cNvSpPr/>
      </xdr:nvSpPr>
      <xdr:spPr>
        <a:xfrm>
          <a:off x="6232451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97692</xdr:colOff>
      <xdr:row>268</xdr:row>
      <xdr:rowOff>85480</xdr:rowOff>
    </xdr:from>
    <xdr:to>
      <xdr:col>59</xdr:col>
      <xdr:colOff>36635</xdr:colOff>
      <xdr:row>268</xdr:row>
      <xdr:rowOff>402980</xdr:rowOff>
    </xdr:to>
    <xdr:sp macro="" textlink="">
      <xdr:nvSpPr>
        <xdr:cNvPr id="39" name="Oval 17">
          <a:extLst>
            <a:ext uri="{FF2B5EF4-FFF2-40B4-BE49-F238E27FC236}">
              <a16:creationId xmlns:a16="http://schemas.microsoft.com/office/drawing/2014/main" id="{CEE13484-7C4D-470D-BEB2-5ECF11D38F14}"/>
            </a:ext>
          </a:extLst>
        </xdr:cNvPr>
        <xdr:cNvSpPr/>
      </xdr:nvSpPr>
      <xdr:spPr>
        <a:xfrm>
          <a:off x="6333416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97692</xdr:colOff>
      <xdr:row>268</xdr:row>
      <xdr:rowOff>85480</xdr:rowOff>
    </xdr:from>
    <xdr:to>
      <xdr:col>59</xdr:col>
      <xdr:colOff>36635</xdr:colOff>
      <xdr:row>268</xdr:row>
      <xdr:rowOff>402980</xdr:rowOff>
    </xdr:to>
    <xdr:sp macro="" textlink="">
      <xdr:nvSpPr>
        <xdr:cNvPr id="40" name="Oval 17">
          <a:extLst>
            <a:ext uri="{FF2B5EF4-FFF2-40B4-BE49-F238E27FC236}">
              <a16:creationId xmlns:a16="http://schemas.microsoft.com/office/drawing/2014/main" id="{D0C073EA-0FCD-4E42-80E1-2EE27AEF0CB0}"/>
            </a:ext>
          </a:extLst>
        </xdr:cNvPr>
        <xdr:cNvSpPr/>
      </xdr:nvSpPr>
      <xdr:spPr>
        <a:xfrm>
          <a:off x="63334167" y="69722755"/>
          <a:ext cx="94859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97692</xdr:colOff>
      <xdr:row>268</xdr:row>
      <xdr:rowOff>85480</xdr:rowOff>
    </xdr:from>
    <xdr:to>
      <xdr:col>60</xdr:col>
      <xdr:colOff>36635</xdr:colOff>
      <xdr:row>268</xdr:row>
      <xdr:rowOff>402980</xdr:rowOff>
    </xdr:to>
    <xdr:sp macro="" textlink="">
      <xdr:nvSpPr>
        <xdr:cNvPr id="41" name="Oval 17">
          <a:extLst>
            <a:ext uri="{FF2B5EF4-FFF2-40B4-BE49-F238E27FC236}">
              <a16:creationId xmlns:a16="http://schemas.microsoft.com/office/drawing/2014/main" id="{808D2E4F-900F-43AB-B9D9-F7B5BD3EA6C4}"/>
            </a:ext>
          </a:extLst>
        </xdr:cNvPr>
        <xdr:cNvSpPr/>
      </xdr:nvSpPr>
      <xdr:spPr>
        <a:xfrm>
          <a:off x="64343817" y="69722755"/>
          <a:ext cx="1158143" cy="317500"/>
        </a:xfrm>
        <a:prstGeom prst="ellipse">
          <a:avLst/>
        </a:prstGeom>
        <a:noFill/>
        <a:ln>
          <a:solidFill>
            <a:srgbClr val="00206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49481</xdr:colOff>
      <xdr:row>1</xdr:row>
      <xdr:rowOff>29688</xdr:rowOff>
    </xdr:from>
    <xdr:to>
      <xdr:col>15</xdr:col>
      <xdr:colOff>564078</xdr:colOff>
      <xdr:row>2</xdr:row>
      <xdr:rowOff>128650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47EEF553-4898-426A-B909-A210135AD3D2}"/>
            </a:ext>
          </a:extLst>
        </xdr:cNvPr>
        <xdr:cNvSpPr/>
      </xdr:nvSpPr>
      <xdr:spPr>
        <a:xfrm>
          <a:off x="15775256" y="239238"/>
          <a:ext cx="514597" cy="32756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Finance%20Department\FINANCE\08%20FINANCE%20PYR\Salaires\Sal.2025\04\04%202025%20Salaire%20+%20Sce%20charge%20On%20going.xlsx" TargetMode="External"/><Relationship Id="rId1" Type="http://schemas.openxmlformats.org/officeDocument/2006/relationships/externalLinkPath" Target="04%202025%20Salaire%20+%20Sce%20charge%20On%20go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Avenants"/>
      <sheetName val="Sheet1"/>
      <sheetName val="Nlle CLASSIFIC."/>
      <sheetName val="STAT"/>
      <sheetName val="CCenter"/>
      <sheetName val="All attendance"/>
      <sheetName val="Bulletin Paie-"/>
      <sheetName val="BDD M-1"/>
      <sheetName val="New Pay slip"/>
      <sheetName val="SMIG LEGAL"/>
      <sheetName val="BDD-Avk Tx"/>
      <sheetName val="% Alloc.SC"/>
      <sheetName val="Bienvenu"/>
      <sheetName val="Check ID"/>
      <sheetName val="P.Csse"/>
      <sheetName val="Chart1"/>
      <sheetName val="ID Check SVC"/>
      <sheetName val="Sce Charge"/>
      <sheetName val="SVC Casuals"/>
      <sheetName val="VAC+13th"/>
      <sheetName val="VAC+13th (2)"/>
      <sheetName val="JV VAC+13th"/>
      <sheetName val="RESUME"/>
      <sheetName val="RESUME CC"/>
      <sheetName val="Comptab"/>
      <sheetName val="JV Payroll"/>
      <sheetName val="117110 - 117130 - 247210"/>
      <sheetName val="Check JV"/>
      <sheetName val="Paie Bque"/>
      <sheetName val="T.Bk"/>
      <sheetName val="SVC Bque"/>
      <sheetName val="Salaires-cover bk"/>
      <sheetName val="SVC-cover bk"/>
      <sheetName val="JV FTE+EPAMED"/>
      <sheetName val="Stat Hrs+Days+Arr+Dep"/>
      <sheetName val="H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A1">
            <v>52</v>
          </cell>
          <cell r="BB1">
            <v>53</v>
          </cell>
          <cell r="BC1">
            <v>54</v>
          </cell>
          <cell r="BD1">
            <v>55</v>
          </cell>
          <cell r="BE1">
            <v>56</v>
          </cell>
          <cell r="BF1">
            <v>57</v>
          </cell>
          <cell r="BG1">
            <v>58</v>
          </cell>
          <cell r="BH1">
            <v>59</v>
          </cell>
          <cell r="BI1">
            <v>60</v>
          </cell>
          <cell r="BJ1">
            <v>61</v>
          </cell>
          <cell r="BK1">
            <v>62</v>
          </cell>
          <cell r="BL1">
            <v>63</v>
          </cell>
          <cell r="BM1">
            <v>64</v>
          </cell>
          <cell r="BN1">
            <v>65</v>
          </cell>
          <cell r="BO1">
            <v>66</v>
          </cell>
          <cell r="BP1">
            <v>67</v>
          </cell>
          <cell r="BQ1">
            <v>68</v>
          </cell>
          <cell r="BR1">
            <v>69</v>
          </cell>
          <cell r="BS1">
            <v>70</v>
          </cell>
          <cell r="BT1">
            <v>71</v>
          </cell>
          <cell r="BU1">
            <v>72</v>
          </cell>
          <cell r="BV1">
            <v>73</v>
          </cell>
          <cell r="BW1">
            <v>74</v>
          </cell>
          <cell r="BX1">
            <v>75</v>
          </cell>
          <cell r="BY1">
            <v>76</v>
          </cell>
          <cell r="BZ1">
            <v>77</v>
          </cell>
          <cell r="CA1">
            <v>78</v>
          </cell>
          <cell r="CB1">
            <v>79</v>
          </cell>
          <cell r="CC1">
            <v>80</v>
          </cell>
          <cell r="CD1">
            <v>81</v>
          </cell>
          <cell r="CE1">
            <v>82</v>
          </cell>
        </row>
        <row r="3">
          <cell r="D3" t="str">
            <v xml:space="preserve">LOCAL SALARIES </v>
          </cell>
          <cell r="E3" t="str">
            <v>AVRIL 25</v>
          </cell>
          <cell r="G3" t="str">
            <v>Net à Payer to be 0 / Sabattical Year</v>
          </cell>
          <cell r="P3">
            <v>45767</v>
          </cell>
          <cell r="AQ3" t="str">
            <v xml:space="preserve"> </v>
          </cell>
          <cell r="CA3">
            <v>0</v>
          </cell>
        </row>
        <row r="4">
          <cell r="G4" t="str">
            <v>New Staff on the current Month</v>
          </cell>
        </row>
        <row r="5">
          <cell r="G5" t="str">
            <v>Cells to check every month with the hard manual attendance</v>
          </cell>
        </row>
        <row r="6">
          <cell r="C6" t="str">
            <v>* En USD</v>
          </cell>
          <cell r="U6" t="str">
            <v xml:space="preserve"> </v>
          </cell>
          <cell r="BV6">
            <v>162000</v>
          </cell>
        </row>
        <row r="7">
          <cell r="BI7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BV7">
            <v>95.103842829275905</v>
          </cell>
        </row>
        <row r="8">
          <cell r="D8" t="str">
            <v>Please fill manually the staff Outlet Name/Refer to Tab "Ccenter"</v>
          </cell>
          <cell r="AA8" t="str">
            <v>NEW</v>
          </cell>
          <cell r="AL8" t="str">
            <v>Check if all &lt;&gt;0</v>
          </cell>
          <cell r="AP8" t="str">
            <v>AVEC TAXE</v>
          </cell>
          <cell r="AW8" t="str">
            <v>ZERO.PAID BY INSS</v>
          </cell>
          <cell r="AZ8" t="str">
            <v>SANS TAXE</v>
          </cell>
          <cell r="BC8" t="str">
            <v>SANS TAXE</v>
          </cell>
          <cell r="BI8" t="str">
            <v>EMP008</v>
          </cell>
          <cell r="BN8" t="str">
            <v>CANNOT BE NEGATIVE</v>
          </cell>
          <cell r="BV8">
            <v>1790.3</v>
          </cell>
          <cell r="BW8" t="str">
            <v>Nouvelle formule</v>
          </cell>
        </row>
        <row r="9">
          <cell r="B9">
            <v>1</v>
          </cell>
          <cell r="C9">
            <v>2</v>
          </cell>
          <cell r="E9">
            <v>3</v>
          </cell>
          <cell r="F9">
            <v>4</v>
          </cell>
          <cell r="G9">
            <v>5</v>
          </cell>
          <cell r="O9">
            <v>6</v>
          </cell>
          <cell r="P9">
            <v>7</v>
          </cell>
          <cell r="Q9">
            <v>8</v>
          </cell>
          <cell r="R9">
            <v>9</v>
          </cell>
          <cell r="S9">
            <v>10</v>
          </cell>
          <cell r="T9">
            <v>11</v>
          </cell>
          <cell r="U9">
            <v>12</v>
          </cell>
          <cell r="V9">
            <v>13</v>
          </cell>
          <cell r="W9">
            <v>14</v>
          </cell>
          <cell r="X9">
            <v>15</v>
          </cell>
          <cell r="Y9">
            <v>16</v>
          </cell>
          <cell r="Z9">
            <v>17</v>
          </cell>
          <cell r="AA9">
            <v>18</v>
          </cell>
          <cell r="AB9">
            <v>19</v>
          </cell>
          <cell r="AC9">
            <v>20</v>
          </cell>
          <cell r="AD9">
            <v>21</v>
          </cell>
          <cell r="AE9">
            <v>22</v>
          </cell>
          <cell r="AF9">
            <v>23</v>
          </cell>
          <cell r="AG9">
            <v>24</v>
          </cell>
          <cell r="AH9">
            <v>25</v>
          </cell>
          <cell r="AI9">
            <v>25</v>
          </cell>
          <cell r="AJ9">
            <v>26</v>
          </cell>
          <cell r="AK9">
            <v>27</v>
          </cell>
          <cell r="AL9">
            <v>28</v>
          </cell>
          <cell r="AN9">
            <v>29</v>
          </cell>
          <cell r="AO9">
            <v>30</v>
          </cell>
          <cell r="AP9">
            <v>31</v>
          </cell>
          <cell r="AQ9">
            <v>32</v>
          </cell>
          <cell r="AR9">
            <v>33</v>
          </cell>
          <cell r="AS9">
            <v>34</v>
          </cell>
          <cell r="AT9">
            <v>35</v>
          </cell>
          <cell r="AU9">
            <v>36</v>
          </cell>
          <cell r="AV9">
            <v>37</v>
          </cell>
          <cell r="AW9">
            <v>38</v>
          </cell>
          <cell r="AX9">
            <v>39</v>
          </cell>
          <cell r="AY9">
            <v>40</v>
          </cell>
          <cell r="AZ9">
            <v>41</v>
          </cell>
          <cell r="BB9">
            <v>42</v>
          </cell>
          <cell r="BC9">
            <v>43</v>
          </cell>
          <cell r="BD9">
            <v>44</v>
          </cell>
          <cell r="BE9">
            <v>45</v>
          </cell>
          <cell r="BF9">
            <v>46</v>
          </cell>
          <cell r="BG9">
            <v>47</v>
          </cell>
          <cell r="BH9">
            <v>48</v>
          </cell>
          <cell r="BI9">
            <v>49</v>
          </cell>
          <cell r="BJ9">
            <v>50</v>
          </cell>
          <cell r="BK9">
            <v>51</v>
          </cell>
          <cell r="BL9">
            <v>52</v>
          </cell>
          <cell r="BM9">
            <v>53</v>
          </cell>
          <cell r="BN9">
            <v>54</v>
          </cell>
          <cell r="BO9">
            <v>55</v>
          </cell>
          <cell r="BP9">
            <v>56</v>
          </cell>
          <cell r="BQ9">
            <v>57</v>
          </cell>
          <cell r="BR9">
            <v>58</v>
          </cell>
          <cell r="BS9">
            <v>59</v>
          </cell>
          <cell r="BT9">
            <v>60</v>
          </cell>
          <cell r="BU9">
            <v>61</v>
          </cell>
          <cell r="BV9">
            <v>62</v>
          </cell>
          <cell r="BW9">
            <v>63</v>
          </cell>
          <cell r="BX9">
            <v>64</v>
          </cell>
          <cell r="BY9">
            <v>65</v>
          </cell>
          <cell r="BZ9">
            <v>66</v>
          </cell>
          <cell r="CA9">
            <v>67</v>
          </cell>
          <cell r="CB9">
            <v>68</v>
          </cell>
          <cell r="CC9">
            <v>69</v>
          </cell>
          <cell r="CD9">
            <v>70</v>
          </cell>
          <cell r="CE9">
            <v>71</v>
          </cell>
        </row>
        <row r="10">
          <cell r="R10" t="str">
            <v>DE 19H à 5H</v>
          </cell>
          <cell r="AV10" t="str">
            <v>HR to update as per CNSS kids lists</v>
          </cell>
        </row>
        <row r="11">
          <cell r="B11" t="str">
            <v>ID</v>
          </cell>
          <cell r="C11" t="str">
            <v>Nom</v>
          </cell>
          <cell r="D11" t="str">
            <v xml:space="preserve">Département </v>
          </cell>
          <cell r="E11" t="str">
            <v xml:space="preserve">NUMERO DE COMPTE </v>
          </cell>
          <cell r="F11" t="str">
            <v>NUMERO CNSS</v>
          </cell>
          <cell r="G11" t="str">
            <v>POSITION</v>
          </cell>
          <cell r="H11" t="str">
            <v>&lt;=Min</v>
          </cell>
          <cell r="I11" t="str">
            <v>&gt;=Max</v>
          </cell>
          <cell r="J11" t="str">
            <v>Tx Journalier REVISE</v>
          </cell>
          <cell r="K11" t="str">
            <v>CODE</v>
          </cell>
          <cell r="L11" t="str">
            <v>NOUVELLE CATEGORIE</v>
          </cell>
          <cell r="M11" t="str">
            <v>CATEGORIE PREAVIS DECOMPTE</v>
          </cell>
          <cell r="N11" t="str">
            <v>DESCRIPTION-CLASSE-ECHELLON</v>
          </cell>
          <cell r="O11" t="str">
            <v>NEW STAFF</v>
          </cell>
          <cell r="P11" t="str">
            <v>STARTING DATE</v>
          </cell>
          <cell r="Q11" t="str">
            <v>Hres Prestés Normales</v>
          </cell>
          <cell r="R11" t="str">
            <v>Heures Prestés NIGHT SHIFT</v>
          </cell>
          <cell r="S11" t="str">
            <v>Total Heures Prestées</v>
          </cell>
          <cell r="T11" t="str">
            <v>Jours prestés NORMAUX</v>
          </cell>
          <cell r="U11" t="str">
            <v>Jours Prestés NIGHT SHIFT</v>
          </cell>
          <cell r="V11" t="str">
            <v>Jours Suspension Contrat</v>
          </cell>
          <cell r="W11" t="str">
            <v>Jours récuperés</v>
          </cell>
          <cell r="X11" t="str">
            <v>Conge Maladie</v>
          </cell>
          <cell r="Y11" t="str">
            <v>Conge paye entier</v>
          </cell>
          <cell r="Z11" t="str">
            <v>Congé Maternity</v>
          </cell>
          <cell r="AA11" t="str">
            <v>Congé Sans Solde</v>
          </cell>
          <cell r="AB11" t="str">
            <v>PH/Congé Circonstance</v>
          </cell>
          <cell r="AC11" t="str">
            <v>Jours Service Minumum</v>
          </cell>
          <cell r="AD11" t="str">
            <v xml:space="preserve">Les heures supplimentaires </v>
          </cell>
          <cell r="AE11" t="str">
            <v xml:space="preserve">Salaire de base </v>
          </cell>
          <cell r="AF11" t="str">
            <v>Salaire de prestation NORMALE</v>
          </cell>
          <cell r="AG11" t="str">
            <v>Salaire de prestation NIGHT SHIFT</v>
          </cell>
          <cell r="AH11" t="str">
            <v>Salaire de récupération</v>
          </cell>
          <cell r="AI11" t="str">
            <v>Salaire Conge Paye</v>
          </cell>
          <cell r="AJ11" t="str">
            <v>Maternity</v>
          </cell>
          <cell r="AK11" t="str">
            <v>Salaire PH + CC</v>
          </cell>
          <cell r="AL11" t="str">
            <v>Conge Maladie2</v>
          </cell>
          <cell r="AM11" t="str">
            <v>Salaire Jours SM</v>
          </cell>
          <cell r="AN11" t="str">
            <v>Prime des heures supplimentaires</v>
          </cell>
          <cell r="AO11" t="str">
            <v xml:space="preserve">prime de caisse </v>
          </cell>
          <cell r="AP11" t="str">
            <v>Rappel</v>
          </cell>
          <cell r="AQ11" t="str">
            <v>Upsell</v>
          </cell>
          <cell r="AR11" t="str">
            <v>Gross salary</v>
          </cell>
          <cell r="AS11" t="str">
            <v>Transport</v>
          </cell>
          <cell r="AT11" t="str">
            <v>Transport prestés</v>
          </cell>
          <cell r="AU11" t="str">
            <v xml:space="preserve"> Logement</v>
          </cell>
          <cell r="AV11" t="str">
            <v>Nbre enfants</v>
          </cell>
          <cell r="AW11" t="str">
            <v>Allocation familiale</v>
          </cell>
          <cell r="AX11" t="str">
            <v>Prime Alimentaire</v>
          </cell>
          <cell r="AY11" t="str">
            <v>TOTAL ALLOCATION</v>
          </cell>
          <cell r="AZ11" t="str">
            <v>Rappel2</v>
          </cell>
          <cell r="BA11" t="str">
            <v>Nouveau  Rappel 2</v>
          </cell>
          <cell r="BB11" t="str">
            <v>% Allocation Suspension Contrat</v>
          </cell>
          <cell r="BC11" t="str">
            <v>Telephone Allowance</v>
          </cell>
          <cell r="BD11" t="str">
            <v xml:space="preserve"> Masse salaire</v>
          </cell>
          <cell r="BE11" t="str">
            <v>5%INSS (Employé)</v>
          </cell>
          <cell r="BF11" t="str">
            <v>IPR</v>
          </cell>
          <cell r="BG11" t="str">
            <v>Salary Advance</v>
          </cell>
          <cell r="BH11" t="str">
            <v>HR Deduction</v>
          </cell>
          <cell r="BI11" t="str">
            <v>F&amp;B Employee Charges</v>
          </cell>
          <cell r="BJ11" t="str">
            <v>Other Deductions</v>
          </cell>
          <cell r="BK11" t="str">
            <v>BE Donation</v>
          </cell>
          <cell r="BL11" t="str">
            <v>Deductions Totales</v>
          </cell>
          <cell r="BM11" t="str">
            <v>TOTAL RETENUES (Deductions+Impots)</v>
          </cell>
          <cell r="BN11" t="str">
            <v>NET A PAYER</v>
          </cell>
          <cell r="BO11" t="str">
            <v>INPP (2%)</v>
          </cell>
          <cell r="BP11" t="str">
            <v>ONEM Taxes 0.02%</v>
          </cell>
          <cell r="BQ11" t="str">
            <v>13%INSS (Patronale)-5% INSS +6.5% AL.FAM+1.5% R.PROF</v>
          </cell>
          <cell r="BR11" t="str">
            <v>SVC BANQUE</v>
          </cell>
          <cell r="BS11" t="str">
            <v>SVC CAISSE</v>
          </cell>
          <cell r="BT11" t="str">
            <v>TOTAL SERVICE CHARGE</v>
          </cell>
          <cell r="BU11" t="str">
            <v>IPR USD/ NET IMPOT</v>
          </cell>
          <cell r="BV11" t="str">
            <v>IPR CDF</v>
          </cell>
          <cell r="BW11" t="str">
            <v>IPR par tranche Salariale CDF</v>
          </cell>
          <cell r="BX11" t="str">
            <v>IPR par tranche Salariale USD2</v>
          </cell>
          <cell r="BY11" t="str">
            <v>Deduction Enfant</v>
          </cell>
          <cell r="BZ11" t="str">
            <v>TYPE DE CONTRAT</v>
          </cell>
          <cell r="CA11" t="str">
            <v>CDI Date</v>
          </cell>
          <cell r="CB11" t="str">
            <v>Mois CDI</v>
          </cell>
          <cell r="CC11" t="str">
            <v>CAISSE/BANQUE</v>
          </cell>
          <cell r="CD11" t="str">
            <v>DPT CODE</v>
          </cell>
          <cell r="CE11" t="str">
            <v>NAV. COST CENTER</v>
          </cell>
        </row>
        <row r="12">
          <cell r="B12" t="str">
            <v>03035</v>
          </cell>
          <cell r="C12" t="str">
            <v>KIWIDI SALABISALA CHRISTIAN</v>
          </cell>
          <cell r="D12" t="str">
            <v>Accounting</v>
          </cell>
          <cell r="E12" t="str">
            <v>00018000360001132120069</v>
          </cell>
          <cell r="F12" t="str">
            <v>108518005150W</v>
          </cell>
          <cell r="G12" t="str">
            <v>Income Auditor</v>
          </cell>
          <cell r="H12">
            <v>21.1</v>
          </cell>
          <cell r="I12">
            <v>24.4</v>
          </cell>
          <cell r="J12">
            <v>24.4</v>
          </cell>
          <cell r="K12" t="str">
            <v>MAT3-12.M</v>
          </cell>
          <cell r="L12" t="str">
            <v>MAITRISE</v>
          </cell>
          <cell r="M12" t="str">
            <v>MAITRISE</v>
          </cell>
          <cell r="N12" t="str">
            <v>MAITRISES, Echellon 3, Classe 12</v>
          </cell>
          <cell r="P12">
            <v>41563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W12" t="e">
            <v>#N/A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 t="e">
            <v>#N/A</v>
          </cell>
          <cell r="AC12" t="e">
            <v>#N/A</v>
          </cell>
          <cell r="AE12">
            <v>634.4</v>
          </cell>
          <cell r="AF12" t="e">
            <v>#N/A</v>
          </cell>
          <cell r="AG12" t="e">
            <v>#N/A</v>
          </cell>
          <cell r="AH12" t="e">
            <v>#N/A</v>
          </cell>
          <cell r="AI12" t="e">
            <v>#N/A</v>
          </cell>
          <cell r="AJ12" t="e">
            <v>#N/A</v>
          </cell>
          <cell r="AK12" t="e">
            <v>#N/A</v>
          </cell>
          <cell r="AL12" t="e">
            <v>#N/A</v>
          </cell>
          <cell r="AM12" t="e">
            <v>#N/A</v>
          </cell>
          <cell r="AN12">
            <v>0</v>
          </cell>
          <cell r="AR12" t="e">
            <v>#N/A</v>
          </cell>
          <cell r="AS12">
            <v>153</v>
          </cell>
          <cell r="AT12" t="e">
            <v>#N/A</v>
          </cell>
          <cell r="AU12">
            <v>160.6</v>
          </cell>
          <cell r="AV12">
            <v>1</v>
          </cell>
          <cell r="AX12">
            <v>0</v>
          </cell>
          <cell r="AY12" t="e">
            <v>#N/A</v>
          </cell>
          <cell r="BA12">
            <v>1.06000000000006</v>
          </cell>
          <cell r="BB12" t="e">
            <v>#N/A</v>
          </cell>
          <cell r="BC12">
            <v>20</v>
          </cell>
          <cell r="BD12" t="e">
            <v>#N/A</v>
          </cell>
          <cell r="BE12" t="e">
            <v>#N/A</v>
          </cell>
          <cell r="BF12" t="e">
            <v>#N/A</v>
          </cell>
          <cell r="BL12">
            <v>0</v>
          </cell>
          <cell r="BM12" t="e">
            <v>#N/A</v>
          </cell>
          <cell r="BN12" t="e">
            <v>#N/A</v>
          </cell>
          <cell r="BO12" t="e">
            <v>#N/A</v>
          </cell>
          <cell r="BP12" t="e">
            <v>#N/A</v>
          </cell>
          <cell r="BQ12" t="e">
            <v>#N/A</v>
          </cell>
          <cell r="BR12">
            <v>-0.38784232365145227</v>
          </cell>
          <cell r="BT12">
            <v>-0.38784232365145227</v>
          </cell>
          <cell r="BU12" t="e">
            <v>#N/A</v>
          </cell>
          <cell r="BV12" t="e">
            <v>#N/A</v>
          </cell>
          <cell r="BW12" t="e">
            <v>#N/A</v>
          </cell>
          <cell r="BX12" t="e">
            <v>#N/A</v>
          </cell>
          <cell r="BY12" t="e">
            <v>#N/A</v>
          </cell>
          <cell r="BZ12" t="str">
            <v>CDI</v>
          </cell>
          <cell r="CA12" t="str">
            <v/>
          </cell>
          <cell r="CB12" t="str">
            <v/>
          </cell>
          <cell r="CC12" t="str">
            <v>BANQUE</v>
          </cell>
          <cell r="CD12" t="str">
            <v>620-Accounting</v>
          </cell>
          <cell r="CE12">
            <v>620</v>
          </cell>
        </row>
        <row r="13">
          <cell r="B13" t="str">
            <v>03047</v>
          </cell>
          <cell r="C13" t="str">
            <v>KITENGIE KAPENGA GAUTHIER</v>
          </cell>
          <cell r="D13" t="str">
            <v>Accounting</v>
          </cell>
          <cell r="E13" t="str">
            <v>00018000360184159120005</v>
          </cell>
          <cell r="F13" t="str">
            <v>107328406020G</v>
          </cell>
          <cell r="G13" t="str">
            <v>Credit Manager</v>
          </cell>
          <cell r="H13">
            <v>43.4</v>
          </cell>
          <cell r="I13">
            <v>50</v>
          </cell>
          <cell r="J13">
            <v>50.884615384615387</v>
          </cell>
          <cell r="K13" t="str">
            <v>CAC4-17.CC</v>
          </cell>
          <cell r="L13" t="str">
            <v>CADRE DE COLLABORATION</v>
          </cell>
          <cell r="M13" t="str">
            <v>CADRE DE COLLABORATION</v>
          </cell>
          <cell r="N13" t="str">
            <v>CADRE DE COLLABORATION, Echellon 4, Classe 17</v>
          </cell>
          <cell r="P13">
            <v>42065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W13" t="e">
            <v>#N/A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 t="e">
            <v>#N/A</v>
          </cell>
          <cell r="AC13" t="e">
            <v>#N/A</v>
          </cell>
          <cell r="AE13">
            <v>1323</v>
          </cell>
          <cell r="AF13" t="e">
            <v>#N/A</v>
          </cell>
          <cell r="AG13" t="e">
            <v>#N/A</v>
          </cell>
          <cell r="AH13" t="e">
            <v>#N/A</v>
          </cell>
          <cell r="AI13" t="e">
            <v>#N/A</v>
          </cell>
          <cell r="AJ13" t="e">
            <v>#N/A</v>
          </cell>
          <cell r="AK13" t="e">
            <v>#N/A</v>
          </cell>
          <cell r="AL13" t="e">
            <v>#N/A</v>
          </cell>
          <cell r="AM13" t="e">
            <v>#N/A</v>
          </cell>
          <cell r="AN13">
            <v>0</v>
          </cell>
          <cell r="AR13" t="e">
            <v>#N/A</v>
          </cell>
          <cell r="AS13">
            <v>100</v>
          </cell>
          <cell r="AT13" t="e">
            <v>#N/A</v>
          </cell>
          <cell r="AU13">
            <v>370</v>
          </cell>
          <cell r="AV13">
            <v>3</v>
          </cell>
          <cell r="AX13">
            <v>0</v>
          </cell>
          <cell r="AY13" t="e">
            <v>#N/A</v>
          </cell>
          <cell r="BA13">
            <v>0</v>
          </cell>
          <cell r="BB13" t="e">
            <v>#N/A</v>
          </cell>
          <cell r="BC13">
            <v>30</v>
          </cell>
          <cell r="BD13" t="e">
            <v>#N/A</v>
          </cell>
          <cell r="BE13" t="e">
            <v>#N/A</v>
          </cell>
          <cell r="BF13" t="e">
            <v>#N/A</v>
          </cell>
          <cell r="BL13">
            <v>0</v>
          </cell>
          <cell r="BM13" t="e">
            <v>#N/A</v>
          </cell>
          <cell r="BN13" t="e">
            <v>#N/A</v>
          </cell>
          <cell r="BO13" t="e">
            <v>#N/A</v>
          </cell>
          <cell r="BP13" t="e">
            <v>#N/A</v>
          </cell>
          <cell r="BQ13" t="e">
            <v>#N/A</v>
          </cell>
          <cell r="BR13">
            <v>-0.38784232365145227</v>
          </cell>
          <cell r="BT13">
            <v>-0.38784232365145227</v>
          </cell>
          <cell r="BU13" t="e">
            <v>#N/A</v>
          </cell>
          <cell r="BV13" t="e">
            <v>#N/A</v>
          </cell>
          <cell r="BW13" t="e">
            <v>#N/A</v>
          </cell>
          <cell r="BX13" t="e">
            <v>#N/A</v>
          </cell>
          <cell r="BY13" t="e">
            <v>#N/A</v>
          </cell>
          <cell r="BZ13" t="str">
            <v>CDI</v>
          </cell>
          <cell r="CA13" t="str">
            <v/>
          </cell>
          <cell r="CB13" t="str">
            <v/>
          </cell>
          <cell r="CC13" t="str">
            <v>BANQUE</v>
          </cell>
          <cell r="CD13" t="str">
            <v>620-Accounting</v>
          </cell>
          <cell r="CE13">
            <v>620</v>
          </cell>
        </row>
        <row r="14">
          <cell r="B14" t="str">
            <v>04209</v>
          </cell>
          <cell r="C14" t="str">
            <v>NGANI ANGONO STEPHANIE</v>
          </cell>
          <cell r="D14" t="str">
            <v>Accounting</v>
          </cell>
          <cell r="E14" t="str">
            <v>00018000360001193120071</v>
          </cell>
          <cell r="F14" t="str">
            <v>208538008310M</v>
          </cell>
          <cell r="G14" t="str">
            <v>Payroll Accountant</v>
          </cell>
          <cell r="H14">
            <v>37.6</v>
          </cell>
          <cell r="I14">
            <v>43.4</v>
          </cell>
          <cell r="J14">
            <v>43.400000000000006</v>
          </cell>
          <cell r="K14" t="str">
            <v>CAC3-16.CC</v>
          </cell>
          <cell r="L14" t="str">
            <v>CADRE DE COLLABORATION</v>
          </cell>
          <cell r="M14" t="str">
            <v>CADRE DE COLLABORATION</v>
          </cell>
          <cell r="N14" t="str">
            <v>CADRE DE COLLABORATION, Echellon 3, Classe 16</v>
          </cell>
          <cell r="P14">
            <v>41201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W14" t="e">
            <v>#N/A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 t="e">
            <v>#N/A</v>
          </cell>
          <cell r="AC14" t="e">
            <v>#N/A</v>
          </cell>
          <cell r="AE14">
            <v>1128.4000000000001</v>
          </cell>
          <cell r="AF14" t="e">
            <v>#N/A</v>
          </cell>
          <cell r="AG14" t="e">
            <v>#N/A</v>
          </cell>
          <cell r="AH14" t="e">
            <v>#N/A</v>
          </cell>
          <cell r="AI14" t="e">
            <v>#N/A</v>
          </cell>
          <cell r="AJ14" t="e">
            <v>#N/A</v>
          </cell>
          <cell r="AK14" t="e">
            <v>#N/A</v>
          </cell>
          <cell r="AL14" t="e">
            <v>#N/A</v>
          </cell>
          <cell r="AM14" t="e">
            <v>#N/A</v>
          </cell>
          <cell r="AN14">
            <v>0</v>
          </cell>
          <cell r="AO14">
            <v>50</v>
          </cell>
          <cell r="AR14" t="e">
            <v>#N/A</v>
          </cell>
          <cell r="AS14">
            <v>95</v>
          </cell>
          <cell r="AT14" t="e">
            <v>#N/A</v>
          </cell>
          <cell r="AU14">
            <v>275.60000000000002</v>
          </cell>
          <cell r="AV14">
            <v>2</v>
          </cell>
          <cell r="AX14">
            <v>0</v>
          </cell>
          <cell r="AY14" t="e">
            <v>#N/A</v>
          </cell>
          <cell r="AZ14">
            <v>126.5</v>
          </cell>
          <cell r="BA14">
            <v>15.6600000000001</v>
          </cell>
          <cell r="BB14" t="e">
            <v>#N/A</v>
          </cell>
          <cell r="BC14">
            <v>10</v>
          </cell>
          <cell r="BD14" t="e">
            <v>#N/A</v>
          </cell>
          <cell r="BE14" t="e">
            <v>#N/A</v>
          </cell>
          <cell r="BF14" t="e">
            <v>#N/A</v>
          </cell>
          <cell r="BL14">
            <v>0</v>
          </cell>
          <cell r="BM14" t="e">
            <v>#N/A</v>
          </cell>
          <cell r="BN14" t="e">
            <v>#N/A</v>
          </cell>
          <cell r="BO14" t="e">
            <v>#N/A</v>
          </cell>
          <cell r="BP14" t="e">
            <v>#N/A</v>
          </cell>
          <cell r="BQ14" t="e">
            <v>#N/A</v>
          </cell>
          <cell r="BR14">
            <v>-0.38784232365145227</v>
          </cell>
          <cell r="BT14">
            <v>-0.38784232365145227</v>
          </cell>
          <cell r="BU14" t="e">
            <v>#N/A</v>
          </cell>
          <cell r="BV14" t="e">
            <v>#N/A</v>
          </cell>
          <cell r="BW14" t="e">
            <v>#N/A</v>
          </cell>
          <cell r="BX14" t="e">
            <v>#N/A</v>
          </cell>
          <cell r="BY14" t="e">
            <v>#N/A</v>
          </cell>
          <cell r="BZ14" t="str">
            <v>CDI</v>
          </cell>
          <cell r="CA14" t="str">
            <v/>
          </cell>
          <cell r="CB14" t="str">
            <v/>
          </cell>
          <cell r="CC14" t="str">
            <v>BANQUE</v>
          </cell>
          <cell r="CD14" t="str">
            <v>620-Accounting</v>
          </cell>
          <cell r="CE14">
            <v>620</v>
          </cell>
        </row>
        <row r="15">
          <cell r="B15" t="str">
            <v>04019</v>
          </cell>
          <cell r="C15" t="str">
            <v>MAKUNTIMA MAMBUENE COUCOU</v>
          </cell>
          <cell r="D15" t="str">
            <v>Front Office</v>
          </cell>
          <cell r="E15" t="str">
            <v>00018000360001293120087</v>
          </cell>
          <cell r="F15" t="str">
            <v>109428210140W</v>
          </cell>
          <cell r="G15" t="str">
            <v>Concierge Supervisor</v>
          </cell>
          <cell r="H15">
            <v>7.7</v>
          </cell>
          <cell r="I15">
            <v>8.9</v>
          </cell>
          <cell r="J15">
            <v>8.9</v>
          </cell>
          <cell r="K15" t="str">
            <v>TSQ2-5.III</v>
          </cell>
          <cell r="L15" t="str">
            <v>TRAVAILLEUR SEMI QUALIFIE</v>
          </cell>
          <cell r="M15" t="str">
            <v>CATEGORIE 1 A 5</v>
          </cell>
          <cell r="N15" t="str">
            <v>TRAVAILLEUR SEMI QUALIFIE (TSQ), Echellon 2, Classe 5</v>
          </cell>
          <cell r="P15">
            <v>41153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 t="e">
            <v>#N/A</v>
          </cell>
          <cell r="AC15" t="e">
            <v>#N/A</v>
          </cell>
          <cell r="AE15">
            <v>231.4</v>
          </cell>
          <cell r="AF15" t="e">
            <v>#N/A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AK15" t="e">
            <v>#N/A</v>
          </cell>
          <cell r="AL15" t="e">
            <v>#N/A</v>
          </cell>
          <cell r="AM15" t="e">
            <v>#N/A</v>
          </cell>
          <cell r="AN15">
            <v>0</v>
          </cell>
          <cell r="AO15">
            <v>30</v>
          </cell>
          <cell r="AR15" t="e">
            <v>#N/A</v>
          </cell>
          <cell r="AS15">
            <v>67.5</v>
          </cell>
          <cell r="AT15" t="e">
            <v>#N/A</v>
          </cell>
          <cell r="AU15">
            <v>67.599999999999994</v>
          </cell>
          <cell r="AV15">
            <v>4</v>
          </cell>
          <cell r="AX15">
            <v>0</v>
          </cell>
          <cell r="AY15" t="e">
            <v>#N/A</v>
          </cell>
          <cell r="AZ15">
            <v>77</v>
          </cell>
          <cell r="BA15">
            <v>0.21000000000003599</v>
          </cell>
          <cell r="BB15" t="e">
            <v>#N/A</v>
          </cell>
          <cell r="BC15">
            <v>0</v>
          </cell>
          <cell r="BD15" t="e">
            <v>#N/A</v>
          </cell>
          <cell r="BE15" t="e">
            <v>#N/A</v>
          </cell>
          <cell r="BF15" t="e">
            <v>#N/A</v>
          </cell>
          <cell r="BL15">
            <v>0</v>
          </cell>
          <cell r="BM15" t="e">
            <v>#N/A</v>
          </cell>
          <cell r="BN15" t="e">
            <v>#N/A</v>
          </cell>
          <cell r="BO15" t="e">
            <v>#N/A</v>
          </cell>
          <cell r="BP15" t="e">
            <v>#N/A</v>
          </cell>
          <cell r="BQ15" t="e">
            <v>#N/A</v>
          </cell>
          <cell r="BR15">
            <v>-0.38784232365145227</v>
          </cell>
          <cell r="BT15">
            <v>-0.38784232365145227</v>
          </cell>
          <cell r="BU15" t="e">
            <v>#N/A</v>
          </cell>
          <cell r="BV15" t="e">
            <v>#N/A</v>
          </cell>
          <cell r="BW15" t="e">
            <v>#N/A</v>
          </cell>
          <cell r="BX15" t="e">
            <v>#N/A</v>
          </cell>
          <cell r="BY15" t="e">
            <v>#N/A</v>
          </cell>
          <cell r="BZ15" t="str">
            <v>CDI</v>
          </cell>
          <cell r="CA15" t="str">
            <v/>
          </cell>
          <cell r="CB15" t="str">
            <v/>
          </cell>
          <cell r="CC15" t="str">
            <v>BANQUE</v>
          </cell>
          <cell r="CD15" t="str">
            <v>120-Front Office</v>
          </cell>
          <cell r="CE15">
            <v>120</v>
          </cell>
        </row>
        <row r="16">
          <cell r="B16" t="str">
            <v>04020</v>
          </cell>
          <cell r="C16" t="str">
            <v>NSUMBU KAYEMBE GIRESSE</v>
          </cell>
          <cell r="D16" t="str">
            <v>Front Office</v>
          </cell>
          <cell r="E16" t="str">
            <v>00018000360001202120022</v>
          </cell>
          <cell r="F16" t="str">
            <v>108338205230D</v>
          </cell>
          <cell r="G16" t="str">
            <v>Receptionist</v>
          </cell>
          <cell r="H16">
            <v>7.7</v>
          </cell>
          <cell r="I16">
            <v>8.9</v>
          </cell>
          <cell r="J16">
            <v>8.9</v>
          </cell>
          <cell r="K16" t="str">
            <v>TSQ2-5.III</v>
          </cell>
          <cell r="L16" t="str">
            <v>TRAVAILLEUR SEMI QUALIFIE</v>
          </cell>
          <cell r="M16" t="str">
            <v>CATEGORIE 1 A 5</v>
          </cell>
          <cell r="N16" t="str">
            <v>TRAVAILLEUR SEMI QUALIFIE (TSQ), Echellon 2, Classe 5</v>
          </cell>
          <cell r="P16">
            <v>41153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W16" t="e">
            <v>#N/A</v>
          </cell>
          <cell r="X16" t="e">
            <v>#N/A</v>
          </cell>
          <cell r="Y16" t="e">
            <v>#N/A</v>
          </cell>
          <cell r="Z16" t="e">
            <v>#N/A</v>
          </cell>
          <cell r="AA16" t="e">
            <v>#N/A</v>
          </cell>
          <cell r="AB16" t="e">
            <v>#N/A</v>
          </cell>
          <cell r="AC16" t="e">
            <v>#N/A</v>
          </cell>
          <cell r="AE16">
            <v>231.4</v>
          </cell>
          <cell r="AF16" t="e">
            <v>#N/A</v>
          </cell>
          <cell r="AG16" t="e">
            <v>#N/A</v>
          </cell>
          <cell r="AH16" t="e">
            <v>#N/A</v>
          </cell>
          <cell r="AI16" t="e">
            <v>#N/A</v>
          </cell>
          <cell r="AJ16" t="e">
            <v>#N/A</v>
          </cell>
          <cell r="AK16" t="e">
            <v>#N/A</v>
          </cell>
          <cell r="AL16" t="e">
            <v>#N/A</v>
          </cell>
          <cell r="AM16" t="e">
            <v>#N/A</v>
          </cell>
          <cell r="AN16">
            <v>0</v>
          </cell>
          <cell r="AO16">
            <v>30</v>
          </cell>
          <cell r="AR16" t="e">
            <v>#N/A</v>
          </cell>
          <cell r="AS16">
            <v>60.8</v>
          </cell>
          <cell r="AT16" t="e">
            <v>#N/A</v>
          </cell>
          <cell r="AU16">
            <v>33.6</v>
          </cell>
          <cell r="AV16">
            <v>0</v>
          </cell>
          <cell r="AX16">
            <v>0</v>
          </cell>
          <cell r="AY16" t="e">
            <v>#N/A</v>
          </cell>
          <cell r="BA16">
            <v>1.66999999999996</v>
          </cell>
          <cell r="BB16" t="e">
            <v>#N/A</v>
          </cell>
          <cell r="BC16">
            <v>0</v>
          </cell>
          <cell r="BD16" t="e">
            <v>#N/A</v>
          </cell>
          <cell r="BE16" t="e">
            <v>#N/A</v>
          </cell>
          <cell r="BF16" t="e">
            <v>#N/A</v>
          </cell>
          <cell r="BL16">
            <v>0</v>
          </cell>
          <cell r="BM16" t="e">
            <v>#N/A</v>
          </cell>
          <cell r="BN16" t="e">
            <v>#N/A</v>
          </cell>
          <cell r="BO16" t="e">
            <v>#N/A</v>
          </cell>
          <cell r="BP16" t="e">
            <v>#N/A</v>
          </cell>
          <cell r="BQ16" t="e">
            <v>#N/A</v>
          </cell>
          <cell r="BR16">
            <v>-0.38784232365145227</v>
          </cell>
          <cell r="BT16">
            <v>-0.38784232365145227</v>
          </cell>
          <cell r="BU16" t="e">
            <v>#N/A</v>
          </cell>
          <cell r="BV16" t="e">
            <v>#N/A</v>
          </cell>
          <cell r="BW16" t="e">
            <v>#N/A</v>
          </cell>
          <cell r="BX16" t="e">
            <v>#N/A</v>
          </cell>
          <cell r="BY16" t="e">
            <v>#N/A</v>
          </cell>
          <cell r="BZ16" t="str">
            <v>CDI</v>
          </cell>
          <cell r="CA16" t="str">
            <v/>
          </cell>
          <cell r="CB16" t="str">
            <v/>
          </cell>
          <cell r="CC16" t="str">
            <v>BANQUE</v>
          </cell>
          <cell r="CD16" t="str">
            <v>120-Front Office</v>
          </cell>
          <cell r="CE16">
            <v>120</v>
          </cell>
        </row>
        <row r="17">
          <cell r="B17" t="str">
            <v>04035</v>
          </cell>
          <cell r="C17" t="str">
            <v>TSHIMANGA MUKADI DIDIER</v>
          </cell>
          <cell r="D17" t="str">
            <v>Front Office</v>
          </cell>
          <cell r="E17" t="str">
            <v>00018000360160413120074</v>
          </cell>
          <cell r="F17" t="str">
            <v>107557206110P</v>
          </cell>
          <cell r="G17" t="str">
            <v>Assistant Front Office Manager</v>
          </cell>
          <cell r="H17">
            <v>24.4</v>
          </cell>
          <cell r="I17">
            <v>28.2</v>
          </cell>
          <cell r="J17">
            <v>28.200000000000003</v>
          </cell>
          <cell r="K17" t="str">
            <v>MAT4-13.M</v>
          </cell>
          <cell r="L17" t="str">
            <v>MAITRISE</v>
          </cell>
          <cell r="M17" t="str">
            <v>MAITRISE</v>
          </cell>
          <cell r="N17" t="str">
            <v>MAITRISES, Echellon 4, Classe 13</v>
          </cell>
          <cell r="P17">
            <v>41153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 t="e">
            <v>#N/A</v>
          </cell>
          <cell r="AC17" t="e">
            <v>#N/A</v>
          </cell>
          <cell r="AE17">
            <v>733.2</v>
          </cell>
          <cell r="AF17" t="e">
            <v>#N/A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AK17" t="e">
            <v>#N/A</v>
          </cell>
          <cell r="AL17" t="e">
            <v>#N/A</v>
          </cell>
          <cell r="AM17" t="e">
            <v>#N/A</v>
          </cell>
          <cell r="AN17">
            <v>0</v>
          </cell>
          <cell r="AO17">
            <v>30</v>
          </cell>
          <cell r="AR17" t="e">
            <v>#N/A</v>
          </cell>
          <cell r="AS17">
            <v>90</v>
          </cell>
          <cell r="AT17" t="e">
            <v>#N/A</v>
          </cell>
          <cell r="AU17">
            <v>176.8</v>
          </cell>
          <cell r="AV17">
            <v>1</v>
          </cell>
          <cell r="AX17">
            <v>0</v>
          </cell>
          <cell r="AY17" t="e">
            <v>#N/A</v>
          </cell>
          <cell r="BA17">
            <v>5.13</v>
          </cell>
          <cell r="BB17" t="e">
            <v>#N/A</v>
          </cell>
          <cell r="BC17">
            <v>30</v>
          </cell>
          <cell r="BD17" t="e">
            <v>#N/A</v>
          </cell>
          <cell r="BE17" t="e">
            <v>#N/A</v>
          </cell>
          <cell r="BF17" t="e">
            <v>#N/A</v>
          </cell>
          <cell r="BL17">
            <v>0</v>
          </cell>
          <cell r="BM17" t="e">
            <v>#N/A</v>
          </cell>
          <cell r="BN17" t="e">
            <v>#N/A</v>
          </cell>
          <cell r="BO17" t="e">
            <v>#N/A</v>
          </cell>
          <cell r="BP17" t="e">
            <v>#N/A</v>
          </cell>
          <cell r="BQ17" t="e">
            <v>#N/A</v>
          </cell>
          <cell r="BR17">
            <v>-0.38784232365145227</v>
          </cell>
          <cell r="BT17">
            <v>-0.38784232365145227</v>
          </cell>
          <cell r="BU17" t="e">
            <v>#N/A</v>
          </cell>
          <cell r="BV17" t="e">
            <v>#N/A</v>
          </cell>
          <cell r="BW17" t="e">
            <v>#N/A</v>
          </cell>
          <cell r="BX17" t="e">
            <v>#N/A</v>
          </cell>
          <cell r="BY17" t="e">
            <v>#N/A</v>
          </cell>
          <cell r="BZ17" t="str">
            <v>CDI</v>
          </cell>
          <cell r="CA17" t="str">
            <v/>
          </cell>
          <cell r="CB17" t="str">
            <v/>
          </cell>
          <cell r="CC17" t="str">
            <v>BANQUE</v>
          </cell>
          <cell r="CD17" t="str">
            <v>120-Front Office</v>
          </cell>
          <cell r="CE17">
            <v>120</v>
          </cell>
        </row>
        <row r="18">
          <cell r="B18" t="str">
            <v>04151</v>
          </cell>
          <cell r="C18" t="str">
            <v>MUNTUNU KILUMU DESCARTES</v>
          </cell>
          <cell r="D18" t="str">
            <v>Front Office</v>
          </cell>
          <cell r="E18" t="str">
            <v>00018000360001306120027</v>
          </cell>
          <cell r="F18" t="str">
            <v>109428903120M</v>
          </cell>
          <cell r="G18" t="str">
            <v>Night Shift Supervisor</v>
          </cell>
          <cell r="H18">
            <v>11.85</v>
          </cell>
          <cell r="I18">
            <v>13.7</v>
          </cell>
          <cell r="J18">
            <v>13.7</v>
          </cell>
          <cell r="K18" t="str">
            <v>TRQ2-8.IV</v>
          </cell>
          <cell r="L18" t="str">
            <v>TRAVAILLEUR QUALIFIE</v>
          </cell>
          <cell r="M18" t="str">
            <v>CATEGORIE 1 A 5</v>
          </cell>
          <cell r="N18" t="str">
            <v>TRAVAILLEUR QUALIFIE (TQ), Echellon 2, Classe 8</v>
          </cell>
          <cell r="P18">
            <v>41153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W18" t="e">
            <v>#N/A</v>
          </cell>
          <cell r="X18" t="e">
            <v>#N/A</v>
          </cell>
          <cell r="Y18" t="e">
            <v>#N/A</v>
          </cell>
          <cell r="Z18" t="e">
            <v>#N/A</v>
          </cell>
          <cell r="AA18" t="e">
            <v>#N/A</v>
          </cell>
          <cell r="AB18" t="e">
            <v>#N/A</v>
          </cell>
          <cell r="AC18" t="e">
            <v>#N/A</v>
          </cell>
          <cell r="AE18">
            <v>356.2</v>
          </cell>
          <cell r="AF18" t="e">
            <v>#N/A</v>
          </cell>
          <cell r="AG18" t="e">
            <v>#N/A</v>
          </cell>
          <cell r="AH18" t="e">
            <v>#N/A</v>
          </cell>
          <cell r="AI18" t="e">
            <v>#N/A</v>
          </cell>
          <cell r="AJ18" t="e">
            <v>#N/A</v>
          </cell>
          <cell r="AK18" t="e">
            <v>#N/A</v>
          </cell>
          <cell r="AL18" t="e">
            <v>#N/A</v>
          </cell>
          <cell r="AM18" t="e">
            <v>#N/A</v>
          </cell>
          <cell r="AN18">
            <v>0</v>
          </cell>
          <cell r="AO18">
            <v>30</v>
          </cell>
          <cell r="AR18" t="e">
            <v>#N/A</v>
          </cell>
          <cell r="AS18">
            <v>67.5</v>
          </cell>
          <cell r="AT18" t="e">
            <v>#N/A</v>
          </cell>
          <cell r="AU18">
            <v>92.3</v>
          </cell>
          <cell r="AV18">
            <v>0</v>
          </cell>
          <cell r="AX18">
            <v>0</v>
          </cell>
          <cell r="AY18" t="e">
            <v>#N/A</v>
          </cell>
          <cell r="BA18">
            <v>0.87000000000000499</v>
          </cell>
          <cell r="BB18" t="e">
            <v>#N/A</v>
          </cell>
          <cell r="BC18">
            <v>0</v>
          </cell>
          <cell r="BD18" t="e">
            <v>#N/A</v>
          </cell>
          <cell r="BE18" t="e">
            <v>#N/A</v>
          </cell>
          <cell r="BF18" t="e">
            <v>#N/A</v>
          </cell>
          <cell r="BL18">
            <v>0</v>
          </cell>
          <cell r="BM18" t="e">
            <v>#N/A</v>
          </cell>
          <cell r="BN18" t="e">
            <v>#N/A</v>
          </cell>
          <cell r="BO18" t="e">
            <v>#N/A</v>
          </cell>
          <cell r="BP18" t="e">
            <v>#N/A</v>
          </cell>
          <cell r="BQ18" t="e">
            <v>#N/A</v>
          </cell>
          <cell r="BR18">
            <v>-0.38784232365145227</v>
          </cell>
          <cell r="BT18">
            <v>-0.38784232365145227</v>
          </cell>
          <cell r="BU18" t="e">
            <v>#N/A</v>
          </cell>
          <cell r="BV18" t="e">
            <v>#N/A</v>
          </cell>
          <cell r="BW18" t="e">
            <v>#N/A</v>
          </cell>
          <cell r="BX18" t="e">
            <v>#N/A</v>
          </cell>
          <cell r="BY18" t="e">
            <v>#N/A</v>
          </cell>
          <cell r="BZ18" t="str">
            <v>CDI</v>
          </cell>
          <cell r="CA18" t="str">
            <v/>
          </cell>
          <cell r="CB18" t="str">
            <v/>
          </cell>
          <cell r="CC18" t="str">
            <v>BANQUE</v>
          </cell>
          <cell r="CD18" t="str">
            <v>120-Front Office</v>
          </cell>
          <cell r="CE18">
            <v>120</v>
          </cell>
        </row>
        <row r="19">
          <cell r="B19" t="str">
            <v>04177</v>
          </cell>
          <cell r="C19" t="str">
            <v>NDONGO NDONGO LARRY</v>
          </cell>
          <cell r="D19" t="str">
            <v>Front Office</v>
          </cell>
          <cell r="E19" t="str">
            <v>00018000360001304120081</v>
          </cell>
          <cell r="F19" t="str">
            <v>108536812280G</v>
          </cell>
          <cell r="G19" t="str">
            <v>Bell Boy</v>
          </cell>
          <cell r="H19">
            <v>6.65</v>
          </cell>
          <cell r="I19">
            <v>7.7</v>
          </cell>
          <cell r="J19">
            <v>7.6999999999999993</v>
          </cell>
          <cell r="K19" t="str">
            <v>TSQ1-4.III</v>
          </cell>
          <cell r="L19" t="str">
            <v>TRAVAILLEUR SEMI QUALIFIE</v>
          </cell>
          <cell r="M19" t="str">
            <v>CATEGORIE 1 A 5</v>
          </cell>
          <cell r="N19" t="str">
            <v>TRAVAILLEUR SEMI QUALIFIE (TSQ), Echellon 1, Classe 4</v>
          </cell>
          <cell r="P19">
            <v>41153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 t="e">
            <v>#N/A</v>
          </cell>
          <cell r="AC19" t="e">
            <v>#N/A</v>
          </cell>
          <cell r="AE19">
            <v>200.2</v>
          </cell>
          <cell r="AF19" t="e">
            <v>#N/A</v>
          </cell>
          <cell r="AG19" t="e">
            <v>#N/A</v>
          </cell>
          <cell r="AH19" t="e">
            <v>#N/A</v>
          </cell>
          <cell r="AI19" t="e">
            <v>#N/A</v>
          </cell>
          <cell r="AJ19" t="e">
            <v>#N/A</v>
          </cell>
          <cell r="AK19" t="e">
            <v>#N/A</v>
          </cell>
          <cell r="AL19" t="e">
            <v>#N/A</v>
          </cell>
          <cell r="AM19" t="e">
            <v>#N/A</v>
          </cell>
          <cell r="AN19">
            <v>0</v>
          </cell>
          <cell r="AR19" t="e">
            <v>#N/A</v>
          </cell>
          <cell r="AS19">
            <v>60.8</v>
          </cell>
          <cell r="AT19" t="e">
            <v>#N/A</v>
          </cell>
          <cell r="AU19">
            <v>45.5</v>
          </cell>
          <cell r="AV19">
            <v>3</v>
          </cell>
          <cell r="AX19">
            <v>0</v>
          </cell>
          <cell r="AY19" t="e">
            <v>#N/A</v>
          </cell>
          <cell r="BA19">
            <v>1.9500000000000499</v>
          </cell>
          <cell r="BB19" t="e">
            <v>#N/A</v>
          </cell>
          <cell r="BC19">
            <v>0</v>
          </cell>
          <cell r="BD19" t="e">
            <v>#N/A</v>
          </cell>
          <cell r="BE19" t="e">
            <v>#N/A</v>
          </cell>
          <cell r="BF19" t="e">
            <v>#N/A</v>
          </cell>
          <cell r="BL19">
            <v>0</v>
          </cell>
          <cell r="BM19" t="e">
            <v>#N/A</v>
          </cell>
          <cell r="BN19" t="e">
            <v>#N/A</v>
          </cell>
          <cell r="BO19" t="e">
            <v>#N/A</v>
          </cell>
          <cell r="BP19" t="e">
            <v>#N/A</v>
          </cell>
          <cell r="BQ19" t="e">
            <v>#N/A</v>
          </cell>
          <cell r="BR19">
            <v>-0.38784232365145227</v>
          </cell>
          <cell r="BT19">
            <v>-0.38784232365145227</v>
          </cell>
          <cell r="BU19" t="e">
            <v>#N/A</v>
          </cell>
          <cell r="BV19" t="e">
            <v>#N/A</v>
          </cell>
          <cell r="BW19" t="e">
            <v>#N/A</v>
          </cell>
          <cell r="BX19" t="e">
            <v>#N/A</v>
          </cell>
          <cell r="BY19" t="e">
            <v>#N/A</v>
          </cell>
          <cell r="BZ19" t="str">
            <v>CDI</v>
          </cell>
          <cell r="CA19" t="str">
            <v/>
          </cell>
          <cell r="CB19" t="str">
            <v/>
          </cell>
          <cell r="CC19" t="str">
            <v>BANQUE</v>
          </cell>
          <cell r="CD19" t="str">
            <v>120-Front Office</v>
          </cell>
          <cell r="CE19">
            <v>120</v>
          </cell>
        </row>
        <row r="20">
          <cell r="B20" t="str">
            <v>04221</v>
          </cell>
          <cell r="C20" t="str">
            <v>DUNGIKA NGUNGA CHRISTOPHE</v>
          </cell>
          <cell r="D20" t="str">
            <v>Business Centre</v>
          </cell>
          <cell r="E20" t="str">
            <v>00018000360001081120088</v>
          </cell>
          <cell r="F20" t="str">
            <v>108418305120B</v>
          </cell>
          <cell r="G20" t="str">
            <v>Business Center Agent</v>
          </cell>
          <cell r="H20">
            <v>7.7</v>
          </cell>
          <cell r="I20">
            <v>8.9</v>
          </cell>
          <cell r="J20">
            <v>8.9</v>
          </cell>
          <cell r="K20" t="str">
            <v>TSQ2-5.III</v>
          </cell>
          <cell r="L20" t="str">
            <v>TRAVAILLEUR SEMI QUALIFIE</v>
          </cell>
          <cell r="M20" t="str">
            <v>CATEGORIE 1 A 5</v>
          </cell>
          <cell r="N20" t="str">
            <v>TRAVAILLEUR SEMI QUALIFIE (TSQ), Echellon 2, Classe 5</v>
          </cell>
          <cell r="P20">
            <v>41800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W20" t="e">
            <v>#N/A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 t="e">
            <v>#N/A</v>
          </cell>
          <cell r="AC20" t="e">
            <v>#N/A</v>
          </cell>
          <cell r="AE20">
            <v>231.4</v>
          </cell>
          <cell r="AF20" t="e">
            <v>#N/A</v>
          </cell>
          <cell r="AG20" t="e">
            <v>#N/A</v>
          </cell>
          <cell r="AH20" t="e">
            <v>#N/A</v>
          </cell>
          <cell r="AI20" t="e">
            <v>#N/A</v>
          </cell>
          <cell r="AJ20" t="e">
            <v>#N/A</v>
          </cell>
          <cell r="AK20" t="e">
            <v>#N/A</v>
          </cell>
          <cell r="AL20" t="e">
            <v>#N/A</v>
          </cell>
          <cell r="AM20" t="e">
            <v>#N/A</v>
          </cell>
          <cell r="AN20">
            <v>0</v>
          </cell>
          <cell r="AO20">
            <v>30</v>
          </cell>
          <cell r="AR20" t="e">
            <v>#N/A</v>
          </cell>
          <cell r="AS20">
            <v>60</v>
          </cell>
          <cell r="AT20" t="e">
            <v>#N/A</v>
          </cell>
          <cell r="AU20">
            <v>34.4</v>
          </cell>
          <cell r="AV20">
            <v>2</v>
          </cell>
          <cell r="AX20">
            <v>0</v>
          </cell>
          <cell r="AY20" t="e">
            <v>#N/A</v>
          </cell>
          <cell r="BA20">
            <v>3.6700000000000199</v>
          </cell>
          <cell r="BB20" t="e">
            <v>#N/A</v>
          </cell>
          <cell r="BC20">
            <v>0</v>
          </cell>
          <cell r="BD20" t="e">
            <v>#N/A</v>
          </cell>
          <cell r="BE20" t="e">
            <v>#N/A</v>
          </cell>
          <cell r="BF20" t="e">
            <v>#N/A</v>
          </cell>
          <cell r="BL20">
            <v>0</v>
          </cell>
          <cell r="BM20" t="e">
            <v>#N/A</v>
          </cell>
          <cell r="BN20" t="e">
            <v>#N/A</v>
          </cell>
          <cell r="BO20" t="e">
            <v>#N/A</v>
          </cell>
          <cell r="BP20" t="e">
            <v>#N/A</v>
          </cell>
          <cell r="BQ20" t="e">
            <v>#N/A</v>
          </cell>
          <cell r="BR20">
            <v>-0.38784232365145227</v>
          </cell>
          <cell r="BT20">
            <v>-0.38784232365145227</v>
          </cell>
          <cell r="BU20" t="e">
            <v>#N/A</v>
          </cell>
          <cell r="BV20" t="e">
            <v>#N/A</v>
          </cell>
          <cell r="BW20" t="e">
            <v>#N/A</v>
          </cell>
          <cell r="BX20" t="e">
            <v>#N/A</v>
          </cell>
          <cell r="BY20" t="e">
            <v>#N/A</v>
          </cell>
          <cell r="BZ20" t="str">
            <v>CDI</v>
          </cell>
          <cell r="CA20" t="str">
            <v/>
          </cell>
          <cell r="CB20" t="str">
            <v/>
          </cell>
          <cell r="CC20" t="str">
            <v>BANQUE</v>
          </cell>
          <cell r="CD20" t="str">
            <v>420-Business Centre</v>
          </cell>
          <cell r="CE20">
            <v>420</v>
          </cell>
        </row>
        <row r="21">
          <cell r="B21" t="str">
            <v>04087</v>
          </cell>
          <cell r="C21" t="str">
            <v>BONGONDO EALE DADDY</v>
          </cell>
          <cell r="D21" t="str">
            <v>Guest Laundry</v>
          </cell>
          <cell r="E21" t="str">
            <v>00018000360103814120012</v>
          </cell>
          <cell r="F21" t="str">
            <v>102867912300C</v>
          </cell>
          <cell r="G21" t="str">
            <v>Laundry Manager</v>
          </cell>
          <cell r="H21">
            <v>37.6</v>
          </cell>
          <cell r="I21">
            <v>43.4</v>
          </cell>
          <cell r="J21">
            <v>43.400000000000006</v>
          </cell>
          <cell r="K21" t="str">
            <v>CAC3-16.CC</v>
          </cell>
          <cell r="L21" t="str">
            <v>CADRE DE COLLABORATION</v>
          </cell>
          <cell r="M21" t="str">
            <v>CADRE DE COLLABORATION</v>
          </cell>
          <cell r="N21" t="str">
            <v>CADRE DE COLLABORATION, Echellon 3, Classe 16</v>
          </cell>
          <cell r="P21">
            <v>41153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W21" t="e">
            <v>#N/A</v>
          </cell>
          <cell r="X21" t="e">
            <v>#N/A</v>
          </cell>
          <cell r="Y21" t="e">
            <v>#N/A</v>
          </cell>
          <cell r="Z21" t="e">
            <v>#N/A</v>
          </cell>
          <cell r="AA21" t="e">
            <v>#N/A</v>
          </cell>
          <cell r="AB21" t="e">
            <v>#N/A</v>
          </cell>
          <cell r="AC21" t="e">
            <v>#N/A</v>
          </cell>
          <cell r="AE21">
            <v>1128.4000000000001</v>
          </cell>
          <cell r="AF21" t="e">
            <v>#N/A</v>
          </cell>
          <cell r="AG21" t="e">
            <v>#N/A</v>
          </cell>
          <cell r="AH21" t="e">
            <v>#N/A</v>
          </cell>
          <cell r="AI21" t="e">
            <v>#N/A</v>
          </cell>
          <cell r="AJ21" t="e">
            <v>#N/A</v>
          </cell>
          <cell r="AK21" t="e">
            <v>#N/A</v>
          </cell>
          <cell r="AL21" t="e">
            <v>#N/A</v>
          </cell>
          <cell r="AM21" t="e">
            <v>#N/A</v>
          </cell>
          <cell r="AN21">
            <v>0</v>
          </cell>
          <cell r="AR21" t="e">
            <v>#N/A</v>
          </cell>
          <cell r="AS21">
            <v>150</v>
          </cell>
          <cell r="AT21" t="e">
            <v>#N/A</v>
          </cell>
          <cell r="AU21">
            <v>171.6</v>
          </cell>
          <cell r="AV21">
            <v>3</v>
          </cell>
          <cell r="AX21">
            <v>20</v>
          </cell>
          <cell r="AY21" t="e">
            <v>#N/A</v>
          </cell>
          <cell r="AZ21">
            <v>300</v>
          </cell>
          <cell r="BA21">
            <v>162.01</v>
          </cell>
          <cell r="BB21" t="e">
            <v>#N/A</v>
          </cell>
          <cell r="BC21">
            <v>30</v>
          </cell>
          <cell r="BD21" t="e">
            <v>#N/A</v>
          </cell>
          <cell r="BE21" t="e">
            <v>#N/A</v>
          </cell>
          <cell r="BF21" t="e">
            <v>#N/A</v>
          </cell>
          <cell r="BI21">
            <v>22</v>
          </cell>
          <cell r="BL21">
            <v>22</v>
          </cell>
          <cell r="BM21" t="e">
            <v>#N/A</v>
          </cell>
          <cell r="BN21" t="e">
            <v>#N/A</v>
          </cell>
          <cell r="BO21" t="e">
            <v>#N/A</v>
          </cell>
          <cell r="BP21" t="e">
            <v>#N/A</v>
          </cell>
          <cell r="BQ21" t="e">
            <v>#N/A</v>
          </cell>
          <cell r="BR21">
            <v>-0.38784232365145227</v>
          </cell>
          <cell r="BT21">
            <v>-0.38784232365145227</v>
          </cell>
          <cell r="BU21" t="e">
            <v>#N/A</v>
          </cell>
          <cell r="BV21" t="e">
            <v>#N/A</v>
          </cell>
          <cell r="BW21" t="e">
            <v>#N/A</v>
          </cell>
          <cell r="BX21" t="e">
            <v>#N/A</v>
          </cell>
          <cell r="BY21" t="e">
            <v>#N/A</v>
          </cell>
          <cell r="BZ21" t="str">
            <v>CDI</v>
          </cell>
          <cell r="CA21" t="str">
            <v/>
          </cell>
          <cell r="CB21" t="str">
            <v/>
          </cell>
          <cell r="CC21" t="str">
            <v>BANQUE</v>
          </cell>
          <cell r="CD21" t="str">
            <v>460-Guest Laundry</v>
          </cell>
          <cell r="CE21">
            <v>460</v>
          </cell>
        </row>
        <row r="22">
          <cell r="B22" t="str">
            <v>04088</v>
          </cell>
          <cell r="C22" t="str">
            <v>MUNGWA NTSHUE SERGE</v>
          </cell>
          <cell r="D22" t="str">
            <v>Guest Laundry</v>
          </cell>
          <cell r="E22" t="str">
            <v>00018000360001179120061</v>
          </cell>
          <cell r="F22" t="str">
            <v>109448101230W</v>
          </cell>
          <cell r="G22" t="str">
            <v>Uniform Room Attendant</v>
          </cell>
          <cell r="H22">
            <v>10.3</v>
          </cell>
          <cell r="I22">
            <v>11.85</v>
          </cell>
          <cell r="J22">
            <v>11.850000000000001</v>
          </cell>
          <cell r="K22" t="str">
            <v>TRQ1-7.IV</v>
          </cell>
          <cell r="L22" t="str">
            <v>TRAVAILLEUR QUALIFIE</v>
          </cell>
          <cell r="M22" t="str">
            <v>CATEGORIE 1 A 5</v>
          </cell>
          <cell r="N22" t="str">
            <v>TRAVAILLEUR QUALIFIE (TQ), Echellon 1, Classe 7</v>
          </cell>
          <cell r="P22">
            <v>41153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 t="e">
            <v>#N/A</v>
          </cell>
          <cell r="AC22" t="e">
            <v>#N/A</v>
          </cell>
          <cell r="AE22">
            <v>308.10000000000002</v>
          </cell>
          <cell r="AF22" t="e">
            <v>#N/A</v>
          </cell>
          <cell r="AG22" t="e">
            <v>#N/A</v>
          </cell>
          <cell r="AH22" t="e">
            <v>#N/A</v>
          </cell>
          <cell r="AI22" t="e">
            <v>#N/A</v>
          </cell>
          <cell r="AJ22" t="e">
            <v>#N/A</v>
          </cell>
          <cell r="AK22" t="e">
            <v>#N/A</v>
          </cell>
          <cell r="AL22" t="e">
            <v>#N/A</v>
          </cell>
          <cell r="AM22" t="e">
            <v>#N/A</v>
          </cell>
          <cell r="AN22">
            <v>0</v>
          </cell>
          <cell r="AR22" t="e">
            <v>#N/A</v>
          </cell>
          <cell r="AS22">
            <v>60</v>
          </cell>
          <cell r="AT22" t="e">
            <v>#N/A</v>
          </cell>
          <cell r="AU22">
            <v>61.62</v>
          </cell>
          <cell r="AV22">
            <v>4</v>
          </cell>
          <cell r="AX22">
            <v>20</v>
          </cell>
          <cell r="AY22" t="e">
            <v>#N/A</v>
          </cell>
          <cell r="BA22">
            <v>4.88</v>
          </cell>
          <cell r="BB22" t="e">
            <v>#N/A</v>
          </cell>
          <cell r="BC22">
            <v>0</v>
          </cell>
          <cell r="BD22" t="e">
            <v>#N/A</v>
          </cell>
          <cell r="BE22" t="e">
            <v>#N/A</v>
          </cell>
          <cell r="BF22" t="e">
            <v>#N/A</v>
          </cell>
          <cell r="BL22">
            <v>0</v>
          </cell>
          <cell r="BM22" t="e">
            <v>#N/A</v>
          </cell>
          <cell r="BN22" t="e">
            <v>#N/A</v>
          </cell>
          <cell r="BO22" t="e">
            <v>#N/A</v>
          </cell>
          <cell r="BP22" t="e">
            <v>#N/A</v>
          </cell>
          <cell r="BQ22" t="e">
            <v>#N/A</v>
          </cell>
          <cell r="BR22">
            <v>-0.38784232365145227</v>
          </cell>
          <cell r="BT22">
            <v>-0.38784232365145227</v>
          </cell>
          <cell r="BU22" t="e">
            <v>#N/A</v>
          </cell>
          <cell r="BV22" t="e">
            <v>#N/A</v>
          </cell>
          <cell r="BW22" t="e">
            <v>#N/A</v>
          </cell>
          <cell r="BX22" t="e">
            <v>#N/A</v>
          </cell>
          <cell r="BY22" t="e">
            <v>#N/A</v>
          </cell>
          <cell r="BZ22" t="str">
            <v>CDI</v>
          </cell>
          <cell r="CA22" t="str">
            <v/>
          </cell>
          <cell r="CB22" t="str">
            <v/>
          </cell>
          <cell r="CC22" t="str">
            <v>BANQUE</v>
          </cell>
          <cell r="CD22" t="str">
            <v>460-Guest Laundry</v>
          </cell>
          <cell r="CE22">
            <v>460</v>
          </cell>
        </row>
        <row r="23">
          <cell r="B23" t="str">
            <v>04102</v>
          </cell>
          <cell r="C23" t="str">
            <v>NSIMBA LUFOKO PLATINI</v>
          </cell>
          <cell r="D23" t="str">
            <v>Guest Laundry</v>
          </cell>
          <cell r="E23" t="str">
            <v>00018000360001199120006</v>
          </cell>
          <cell r="F23" t="str">
            <v>108538712280W</v>
          </cell>
          <cell r="G23" t="str">
            <v>Laundry Attendant</v>
          </cell>
          <cell r="H23">
            <v>6.65</v>
          </cell>
          <cell r="I23">
            <v>7.7</v>
          </cell>
          <cell r="J23">
            <v>7.6999999999999993</v>
          </cell>
          <cell r="K23" t="str">
            <v>TSQ1-4.III</v>
          </cell>
          <cell r="L23" t="str">
            <v>TRAVAILLEUR SEMI QUALIFIE</v>
          </cell>
          <cell r="M23" t="str">
            <v>CATEGORIE 1 A 5</v>
          </cell>
          <cell r="N23" t="str">
            <v>TRAVAILLEUR SEMI QUALIFIE (TSQ), Echellon 1, Classe 4</v>
          </cell>
          <cell r="P23">
            <v>41153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  <cell r="X23" t="e">
            <v>#N/A</v>
          </cell>
          <cell r="Y23" t="e">
            <v>#N/A</v>
          </cell>
          <cell r="Z23" t="e">
            <v>#N/A</v>
          </cell>
          <cell r="AA23" t="e">
            <v>#N/A</v>
          </cell>
          <cell r="AB23" t="e">
            <v>#N/A</v>
          </cell>
          <cell r="AC23" t="e">
            <v>#N/A</v>
          </cell>
          <cell r="AE23">
            <v>200.2</v>
          </cell>
          <cell r="AF23" t="e">
            <v>#N/A</v>
          </cell>
          <cell r="AG23" t="e">
            <v>#N/A</v>
          </cell>
          <cell r="AH23" t="e">
            <v>#N/A</v>
          </cell>
          <cell r="AI23" t="e">
            <v>#N/A</v>
          </cell>
          <cell r="AJ23" t="e">
            <v>#N/A</v>
          </cell>
          <cell r="AK23" t="e">
            <v>#N/A</v>
          </cell>
          <cell r="AL23" t="e">
            <v>#N/A</v>
          </cell>
          <cell r="AM23" t="e">
            <v>#N/A</v>
          </cell>
          <cell r="AN23">
            <v>0</v>
          </cell>
          <cell r="AR23" t="e">
            <v>#N/A</v>
          </cell>
          <cell r="AS23">
            <v>60</v>
          </cell>
          <cell r="AT23" t="e">
            <v>#N/A</v>
          </cell>
          <cell r="AU23">
            <v>22.15</v>
          </cell>
          <cell r="AV23">
            <v>0</v>
          </cell>
          <cell r="AX23">
            <v>20</v>
          </cell>
          <cell r="AY23" t="e">
            <v>#N/A</v>
          </cell>
          <cell r="BA23">
            <v>5.19</v>
          </cell>
          <cell r="BB23" t="e">
            <v>#N/A</v>
          </cell>
          <cell r="BD23" t="e">
            <v>#N/A</v>
          </cell>
          <cell r="BE23" t="e">
            <v>#N/A</v>
          </cell>
          <cell r="BF23" t="e">
            <v>#N/A</v>
          </cell>
          <cell r="BL23">
            <v>0</v>
          </cell>
          <cell r="BM23" t="e">
            <v>#N/A</v>
          </cell>
          <cell r="BN23" t="e">
            <v>#N/A</v>
          </cell>
          <cell r="BO23" t="e">
            <v>#N/A</v>
          </cell>
          <cell r="BP23" t="e">
            <v>#N/A</v>
          </cell>
          <cell r="BQ23" t="e">
            <v>#N/A</v>
          </cell>
          <cell r="BR23">
            <v>-0.38784232365145227</v>
          </cell>
          <cell r="BT23">
            <v>-0.38784232365145227</v>
          </cell>
          <cell r="BU23" t="e">
            <v>#N/A</v>
          </cell>
          <cell r="BV23" t="e">
            <v>#N/A</v>
          </cell>
          <cell r="BW23" t="e">
            <v>#N/A</v>
          </cell>
          <cell r="BX23" t="e">
            <v>#N/A</v>
          </cell>
          <cell r="BY23" t="e">
            <v>#N/A</v>
          </cell>
          <cell r="BZ23" t="str">
            <v>CDI</v>
          </cell>
          <cell r="CA23" t="str">
            <v/>
          </cell>
          <cell r="CB23" t="str">
            <v/>
          </cell>
          <cell r="CC23" t="str">
            <v>BANQUE</v>
          </cell>
          <cell r="CD23" t="str">
            <v>460-Guest Laundry</v>
          </cell>
          <cell r="CE23">
            <v>460</v>
          </cell>
        </row>
        <row r="24">
          <cell r="B24" t="str">
            <v>05226</v>
          </cell>
          <cell r="C24" t="str">
            <v>BIEMOMO GHISLAIN</v>
          </cell>
          <cell r="D24" t="str">
            <v>La Riviera</v>
          </cell>
          <cell r="E24" t="str">
            <v>00018000360001064120062</v>
          </cell>
          <cell r="F24" t="str">
            <v>111038909160D</v>
          </cell>
          <cell r="G24" t="str">
            <v>Assistant Rest.Manager</v>
          </cell>
          <cell r="H24">
            <v>15.85</v>
          </cell>
          <cell r="I24">
            <v>18.3</v>
          </cell>
          <cell r="J24">
            <v>18.3</v>
          </cell>
          <cell r="K24" t="str">
            <v>MAT1-10.M</v>
          </cell>
          <cell r="L24" t="str">
            <v>MAITRISE</v>
          </cell>
          <cell r="M24" t="str">
            <v>MAITRISE</v>
          </cell>
          <cell r="N24" t="str">
            <v>MAITRISES, Echellon 1, Classe 10</v>
          </cell>
          <cell r="P24">
            <v>41403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 t="e">
            <v>#N/A</v>
          </cell>
          <cell r="AC24" t="e">
            <v>#N/A</v>
          </cell>
          <cell r="AE24">
            <v>475.8</v>
          </cell>
          <cell r="AF24" t="e">
            <v>#N/A</v>
          </cell>
          <cell r="AG24" t="e">
            <v>#N/A</v>
          </cell>
          <cell r="AH24" t="e">
            <v>#N/A</v>
          </cell>
          <cell r="AI24" t="e">
            <v>#N/A</v>
          </cell>
          <cell r="AJ24" t="e">
            <v>#N/A</v>
          </cell>
          <cell r="AK24" t="e">
            <v>#N/A</v>
          </cell>
          <cell r="AL24" t="e">
            <v>#N/A</v>
          </cell>
          <cell r="AM24" t="e">
            <v>#N/A</v>
          </cell>
          <cell r="AN24">
            <v>0</v>
          </cell>
          <cell r="AO24">
            <v>30</v>
          </cell>
          <cell r="AR24" t="e">
            <v>#N/A</v>
          </cell>
          <cell r="AS24">
            <v>60</v>
          </cell>
          <cell r="AT24" t="e">
            <v>#N/A</v>
          </cell>
          <cell r="AU24">
            <v>118.95</v>
          </cell>
          <cell r="AV24">
            <v>2</v>
          </cell>
          <cell r="AX24">
            <v>0</v>
          </cell>
          <cell r="AY24" t="e">
            <v>#N/A</v>
          </cell>
          <cell r="BA24">
            <v>3.54000000000002</v>
          </cell>
          <cell r="BB24" t="e">
            <v>#N/A</v>
          </cell>
          <cell r="BC24">
            <v>0</v>
          </cell>
          <cell r="BD24" t="e">
            <v>#N/A</v>
          </cell>
          <cell r="BE24" t="e">
            <v>#N/A</v>
          </cell>
          <cell r="BF24" t="e">
            <v>#N/A</v>
          </cell>
          <cell r="BL24">
            <v>0</v>
          </cell>
          <cell r="BM24" t="e">
            <v>#N/A</v>
          </cell>
          <cell r="BN24" t="e">
            <v>#N/A</v>
          </cell>
          <cell r="BO24" t="e">
            <v>#N/A</v>
          </cell>
          <cell r="BP24" t="e">
            <v>#N/A</v>
          </cell>
          <cell r="BQ24" t="e">
            <v>#N/A</v>
          </cell>
          <cell r="BR24">
            <v>-0.38784232365145227</v>
          </cell>
          <cell r="BT24">
            <v>-0.38784232365145227</v>
          </cell>
          <cell r="BU24" t="e">
            <v>#N/A</v>
          </cell>
          <cell r="BV24" t="e">
            <v>#N/A</v>
          </cell>
          <cell r="BW24" t="e">
            <v>#N/A</v>
          </cell>
          <cell r="BX24" t="e">
            <v>#N/A</v>
          </cell>
          <cell r="BY24" t="e">
            <v>#N/A</v>
          </cell>
          <cell r="BZ24" t="str">
            <v>CDI</v>
          </cell>
          <cell r="CA24" t="str">
            <v/>
          </cell>
          <cell r="CB24" t="str">
            <v/>
          </cell>
          <cell r="CC24" t="str">
            <v>BANQUE</v>
          </cell>
          <cell r="CD24" t="str">
            <v>212-La Riviera</v>
          </cell>
          <cell r="CE24">
            <v>212</v>
          </cell>
        </row>
        <row r="25">
          <cell r="B25" t="str">
            <v>05299</v>
          </cell>
          <cell r="C25" t="str">
            <v>NGATEY THUMU BRUNO</v>
          </cell>
          <cell r="D25" t="str">
            <v>Hevea</v>
          </cell>
          <cell r="E25" t="str">
            <v>00018000360001194120044</v>
          </cell>
          <cell r="F25" t="str">
            <v>109419212170U</v>
          </cell>
          <cell r="G25" t="str">
            <v>Restaurant Supervisor</v>
          </cell>
          <cell r="H25">
            <v>10.3</v>
          </cell>
          <cell r="I25">
            <v>11.85</v>
          </cell>
          <cell r="J25">
            <v>11.850000000000001</v>
          </cell>
          <cell r="K25" t="str">
            <v>TRQ1-7.IV</v>
          </cell>
          <cell r="L25" t="str">
            <v>TRAVAILLEUR QUALIFIE</v>
          </cell>
          <cell r="M25" t="str">
            <v>CATEGORIE 1 A 5</v>
          </cell>
          <cell r="N25" t="str">
            <v>TRAVAILLEUR QUALIFIE (TQ), Echellon 1, Classe 7</v>
          </cell>
          <cell r="P25">
            <v>41795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  <cell r="X25" t="e">
            <v>#N/A</v>
          </cell>
          <cell r="Y25" t="e">
            <v>#N/A</v>
          </cell>
          <cell r="Z25" t="e">
            <v>#N/A</v>
          </cell>
          <cell r="AA25" t="e">
            <v>#N/A</v>
          </cell>
          <cell r="AB25" t="e">
            <v>#N/A</v>
          </cell>
          <cell r="AC25" t="e">
            <v>#N/A</v>
          </cell>
          <cell r="AE25">
            <v>308.10000000000002</v>
          </cell>
          <cell r="AF25" t="e">
            <v>#N/A</v>
          </cell>
          <cell r="AG25" t="e">
            <v>#N/A</v>
          </cell>
          <cell r="AH25" t="e">
            <v>#N/A</v>
          </cell>
          <cell r="AI25" t="e">
            <v>#N/A</v>
          </cell>
          <cell r="AJ25" t="e">
            <v>#N/A</v>
          </cell>
          <cell r="AK25" t="e">
            <v>#N/A</v>
          </cell>
          <cell r="AL25" t="e">
            <v>#N/A</v>
          </cell>
          <cell r="AM25" t="e">
            <v>#N/A</v>
          </cell>
          <cell r="AN25">
            <v>0</v>
          </cell>
          <cell r="AR25" t="e">
            <v>#N/A</v>
          </cell>
          <cell r="AS25">
            <v>86</v>
          </cell>
          <cell r="AT25" t="e">
            <v>#N/A</v>
          </cell>
          <cell r="AU25">
            <v>55.9</v>
          </cell>
          <cell r="AV25">
            <v>3</v>
          </cell>
          <cell r="AX25">
            <v>0</v>
          </cell>
          <cell r="AY25" t="e">
            <v>#N/A</v>
          </cell>
          <cell r="BA25">
            <v>5.1700000000000204</v>
          </cell>
          <cell r="BB25" t="e">
            <v>#N/A</v>
          </cell>
          <cell r="BC25">
            <v>0</v>
          </cell>
          <cell r="BD25" t="e">
            <v>#N/A</v>
          </cell>
          <cell r="BE25" t="e">
            <v>#N/A</v>
          </cell>
          <cell r="BF25" t="e">
            <v>#N/A</v>
          </cell>
          <cell r="BL25">
            <v>0</v>
          </cell>
          <cell r="BM25" t="e">
            <v>#N/A</v>
          </cell>
          <cell r="BN25" t="e">
            <v>#N/A</v>
          </cell>
          <cell r="BO25" t="e">
            <v>#N/A</v>
          </cell>
          <cell r="BP25" t="e">
            <v>#N/A</v>
          </cell>
          <cell r="BQ25" t="e">
            <v>#N/A</v>
          </cell>
          <cell r="BR25">
            <v>-0.38784232365145227</v>
          </cell>
          <cell r="BT25">
            <v>-0.38784232365145227</v>
          </cell>
          <cell r="BU25" t="e">
            <v>#N/A</v>
          </cell>
          <cell r="BV25" t="e">
            <v>#N/A</v>
          </cell>
          <cell r="BW25" t="e">
            <v>#N/A</v>
          </cell>
          <cell r="BX25" t="e">
            <v>#N/A</v>
          </cell>
          <cell r="BY25" t="e">
            <v>#N/A</v>
          </cell>
          <cell r="BZ25" t="str">
            <v>CDI</v>
          </cell>
          <cell r="CA25" t="str">
            <v/>
          </cell>
          <cell r="CB25" t="str">
            <v/>
          </cell>
          <cell r="CC25" t="str">
            <v>BANQUE</v>
          </cell>
          <cell r="CD25" t="str">
            <v>216-Hevea</v>
          </cell>
          <cell r="CE25">
            <v>216</v>
          </cell>
        </row>
        <row r="26">
          <cell r="B26" t="str">
            <v>07128</v>
          </cell>
          <cell r="C26" t="str">
            <v>MAYALA KANDA FULGENCE</v>
          </cell>
          <cell r="D26" t="str">
            <v>La Riviera</v>
          </cell>
          <cell r="E26" t="str">
            <v>00018000360001296120006</v>
          </cell>
          <cell r="F26" t="str">
            <v>108537702151H</v>
          </cell>
          <cell r="G26" t="str">
            <v>Waitress/Cashier</v>
          </cell>
          <cell r="H26">
            <v>5.8</v>
          </cell>
          <cell r="I26">
            <v>6.65</v>
          </cell>
          <cell r="J26">
            <v>6.65</v>
          </cell>
          <cell r="K26" t="str">
            <v>TSP0-3.II</v>
          </cell>
          <cell r="L26" t="str">
            <v>TRAVAILLEUR SPECIALISE</v>
          </cell>
          <cell r="M26" t="str">
            <v>CATEGORIE 1 A 5</v>
          </cell>
          <cell r="N26" t="str">
            <v>TRAVAILLEUR SPECIALISE (TS), Echellon 0 , Classe 3</v>
          </cell>
          <cell r="P26">
            <v>42429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  <cell r="X26" t="e">
            <v>#N/A</v>
          </cell>
          <cell r="Y26" t="e">
            <v>#N/A</v>
          </cell>
          <cell r="Z26" t="e">
            <v>#N/A</v>
          </cell>
          <cell r="AA26" t="e">
            <v>#N/A</v>
          </cell>
          <cell r="AB26" t="e">
            <v>#N/A</v>
          </cell>
          <cell r="AC26" t="e">
            <v>#N/A</v>
          </cell>
          <cell r="AE26">
            <v>172.9</v>
          </cell>
          <cell r="AF26" t="e">
            <v>#N/A</v>
          </cell>
          <cell r="AG26" t="e">
            <v>#N/A</v>
          </cell>
          <cell r="AH26" t="e">
            <v>#N/A</v>
          </cell>
          <cell r="AI26" t="e">
            <v>#N/A</v>
          </cell>
          <cell r="AJ26" t="e">
            <v>#N/A</v>
          </cell>
          <cell r="AK26" t="e">
            <v>#N/A</v>
          </cell>
          <cell r="AL26" t="e">
            <v>#N/A</v>
          </cell>
          <cell r="AM26" t="e">
            <v>#N/A</v>
          </cell>
          <cell r="AN26">
            <v>0</v>
          </cell>
          <cell r="AR26" t="e">
            <v>#N/A</v>
          </cell>
          <cell r="AS26">
            <v>60</v>
          </cell>
          <cell r="AT26" t="e">
            <v>#N/A</v>
          </cell>
          <cell r="AU26">
            <v>27.1</v>
          </cell>
          <cell r="AV26">
            <v>4</v>
          </cell>
          <cell r="AX26">
            <v>0</v>
          </cell>
          <cell r="AY26" t="e">
            <v>#N/A</v>
          </cell>
          <cell r="BA26">
            <v>1.52000000000001</v>
          </cell>
          <cell r="BB26" t="e">
            <v>#N/A</v>
          </cell>
          <cell r="BC26">
            <v>0</v>
          </cell>
          <cell r="BD26" t="e">
            <v>#N/A</v>
          </cell>
          <cell r="BE26" t="e">
            <v>#N/A</v>
          </cell>
          <cell r="BF26" t="e">
            <v>#N/A</v>
          </cell>
          <cell r="BL26">
            <v>0</v>
          </cell>
          <cell r="BM26" t="e">
            <v>#N/A</v>
          </cell>
          <cell r="BN26" t="e">
            <v>#N/A</v>
          </cell>
          <cell r="BO26" t="e">
            <v>#N/A</v>
          </cell>
          <cell r="BP26" t="e">
            <v>#N/A</v>
          </cell>
          <cell r="BQ26" t="e">
            <v>#N/A</v>
          </cell>
          <cell r="BR26">
            <v>-0.38784232365145227</v>
          </cell>
          <cell r="BT26">
            <v>-0.38784232365145227</v>
          </cell>
          <cell r="BU26" t="e">
            <v>#N/A</v>
          </cell>
          <cell r="BV26" t="e">
            <v>#N/A</v>
          </cell>
          <cell r="BW26" t="e">
            <v>#N/A</v>
          </cell>
          <cell r="BX26" t="e">
            <v>#N/A</v>
          </cell>
          <cell r="BY26" t="e">
            <v>#N/A</v>
          </cell>
          <cell r="BZ26" t="str">
            <v>CDI</v>
          </cell>
          <cell r="CA26" t="str">
            <v/>
          </cell>
          <cell r="CB26" t="str">
            <v/>
          </cell>
          <cell r="CC26" t="str">
            <v>BANQUE</v>
          </cell>
          <cell r="CD26" t="str">
            <v>212-La Riviera</v>
          </cell>
          <cell r="CE26">
            <v>212</v>
          </cell>
        </row>
        <row r="27">
          <cell r="B27" t="str">
            <v>04042</v>
          </cell>
          <cell r="C27" t="str">
            <v>NTUMBA NKONGOLO ANNIE</v>
          </cell>
          <cell r="D27" t="str">
            <v>House Laundry</v>
          </cell>
          <cell r="E27" t="str">
            <v>00018000360127352120030</v>
          </cell>
          <cell r="F27" t="str">
            <v>103358508050C</v>
          </cell>
          <cell r="G27" t="str">
            <v>Floor Supervisor</v>
          </cell>
          <cell r="H27">
            <v>13.7</v>
          </cell>
          <cell r="I27">
            <v>15.85</v>
          </cell>
          <cell r="J27">
            <v>15.850000000000001</v>
          </cell>
          <cell r="K27" t="str">
            <v>THQ0-9.V</v>
          </cell>
          <cell r="L27" t="str">
            <v>TRAVAILLEUR HAUTEMENT QUALIFIE</v>
          </cell>
          <cell r="M27" t="str">
            <v>CATEGORIE 1 A 5</v>
          </cell>
          <cell r="N27" t="str">
            <v>TRAVAILLEUR HAUTEMENT QUALIFIE (THQ), Echellon 0, Classe 9</v>
          </cell>
          <cell r="P27">
            <v>41153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 t="e">
            <v>#N/A</v>
          </cell>
          <cell r="AC27" t="e">
            <v>#N/A</v>
          </cell>
          <cell r="AE27">
            <v>412.1</v>
          </cell>
          <cell r="AF27" t="e">
            <v>#N/A</v>
          </cell>
          <cell r="AG27" t="e">
            <v>#N/A</v>
          </cell>
          <cell r="AH27" t="e">
            <v>#N/A</v>
          </cell>
          <cell r="AI27" t="e">
            <v>#N/A</v>
          </cell>
          <cell r="AJ27" t="e">
            <v>#N/A</v>
          </cell>
          <cell r="AK27" t="e">
            <v>#N/A</v>
          </cell>
          <cell r="AL27" t="e">
            <v>#N/A</v>
          </cell>
          <cell r="AM27" t="e">
            <v>#N/A</v>
          </cell>
          <cell r="AN27">
            <v>0</v>
          </cell>
          <cell r="AR27" t="e">
            <v>#N/A</v>
          </cell>
          <cell r="AS27">
            <v>65</v>
          </cell>
          <cell r="AT27" t="e">
            <v>#N/A</v>
          </cell>
          <cell r="AU27">
            <v>54.4</v>
          </cell>
          <cell r="AV27">
            <v>1</v>
          </cell>
          <cell r="AX27">
            <v>20</v>
          </cell>
          <cell r="AY27" t="e">
            <v>#N/A</v>
          </cell>
          <cell r="BA27">
            <v>8.4600000000000399</v>
          </cell>
          <cell r="BB27" t="e">
            <v>#N/A</v>
          </cell>
          <cell r="BC27">
            <v>0</v>
          </cell>
          <cell r="BD27" t="e">
            <v>#N/A</v>
          </cell>
          <cell r="BE27" t="e">
            <v>#N/A</v>
          </cell>
          <cell r="BF27" t="e">
            <v>#N/A</v>
          </cell>
          <cell r="BL27">
            <v>0</v>
          </cell>
          <cell r="BM27" t="e">
            <v>#N/A</v>
          </cell>
          <cell r="BN27" t="e">
            <v>#N/A</v>
          </cell>
          <cell r="BO27" t="e">
            <v>#N/A</v>
          </cell>
          <cell r="BP27" t="e">
            <v>#N/A</v>
          </cell>
          <cell r="BQ27" t="e">
            <v>#N/A</v>
          </cell>
          <cell r="BR27">
            <v>-0.38784232365145227</v>
          </cell>
          <cell r="BT27">
            <v>-0.38784232365145227</v>
          </cell>
          <cell r="BU27" t="e">
            <v>#N/A</v>
          </cell>
          <cell r="BV27" t="e">
            <v>#N/A</v>
          </cell>
          <cell r="BW27" t="e">
            <v>#N/A</v>
          </cell>
          <cell r="BX27" t="e">
            <v>#N/A</v>
          </cell>
          <cell r="BY27" t="e">
            <v>#N/A</v>
          </cell>
          <cell r="BZ27" t="str">
            <v>CDI</v>
          </cell>
          <cell r="CA27" t="str">
            <v/>
          </cell>
          <cell r="CB27" t="str">
            <v/>
          </cell>
          <cell r="CC27" t="str">
            <v>BANQUE</v>
          </cell>
          <cell r="CD27" t="str">
            <v>972-House Laundry</v>
          </cell>
          <cell r="CE27">
            <v>972</v>
          </cell>
        </row>
        <row r="28">
          <cell r="B28" t="str">
            <v>04052</v>
          </cell>
          <cell r="C28" t="str">
            <v>EFEFA ITENDOLA ELVIS</v>
          </cell>
          <cell r="D28" t="str">
            <v>House Laundry</v>
          </cell>
          <cell r="E28" t="str">
            <v>00018000360001241120036</v>
          </cell>
          <cell r="F28" t="str">
            <v>102448502051U</v>
          </cell>
          <cell r="G28" t="str">
            <v>Laundry Attendant</v>
          </cell>
          <cell r="H28">
            <v>6.65</v>
          </cell>
          <cell r="I28">
            <v>7.7</v>
          </cell>
          <cell r="J28">
            <v>7.6999999999999993</v>
          </cell>
          <cell r="K28" t="str">
            <v>TSQ1-4.III</v>
          </cell>
          <cell r="L28" t="str">
            <v>TRAVAILLEUR SEMI QUALIFIE</v>
          </cell>
          <cell r="M28" t="str">
            <v>CATEGORIE 1 A 5</v>
          </cell>
          <cell r="N28" t="str">
            <v>TRAVAILLEUR SEMI QUALIFIE (TSQ), Echellon 1, Classe 4</v>
          </cell>
          <cell r="P28">
            <v>41153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 t="e">
            <v>#N/A</v>
          </cell>
          <cell r="AC28" t="e">
            <v>#N/A</v>
          </cell>
          <cell r="AE28">
            <v>200.2</v>
          </cell>
          <cell r="AF28" t="e">
            <v>#N/A</v>
          </cell>
          <cell r="AG28" t="e">
            <v>#N/A</v>
          </cell>
          <cell r="AH28" t="e">
            <v>#N/A</v>
          </cell>
          <cell r="AI28" t="e">
            <v>#N/A</v>
          </cell>
          <cell r="AJ28" t="e">
            <v>#N/A</v>
          </cell>
          <cell r="AK28" t="e">
            <v>#N/A</v>
          </cell>
          <cell r="AL28" t="e">
            <v>#N/A</v>
          </cell>
          <cell r="AM28" t="e">
            <v>#N/A</v>
          </cell>
          <cell r="AN28">
            <v>0</v>
          </cell>
          <cell r="AR28" t="e">
            <v>#N/A</v>
          </cell>
          <cell r="AS28">
            <v>60</v>
          </cell>
          <cell r="AT28" t="e">
            <v>#N/A</v>
          </cell>
          <cell r="AU28">
            <v>22.15</v>
          </cell>
          <cell r="AV28">
            <v>3</v>
          </cell>
          <cell r="AX28">
            <v>20</v>
          </cell>
          <cell r="AY28" t="e">
            <v>#N/A</v>
          </cell>
          <cell r="BA28">
            <v>4.7099999999999804</v>
          </cell>
          <cell r="BB28" t="e">
            <v>#N/A</v>
          </cell>
          <cell r="BC28">
            <v>0</v>
          </cell>
          <cell r="BD28" t="e">
            <v>#N/A</v>
          </cell>
          <cell r="BE28" t="e">
            <v>#N/A</v>
          </cell>
          <cell r="BF28" t="e">
            <v>#N/A</v>
          </cell>
          <cell r="BL28">
            <v>0</v>
          </cell>
          <cell r="BM28" t="e">
            <v>#N/A</v>
          </cell>
          <cell r="BN28" t="e">
            <v>#N/A</v>
          </cell>
          <cell r="BO28" t="e">
            <v>#N/A</v>
          </cell>
          <cell r="BP28" t="e">
            <v>#N/A</v>
          </cell>
          <cell r="BQ28" t="e">
            <v>#N/A</v>
          </cell>
          <cell r="BR28">
            <v>-0.38784232365145227</v>
          </cell>
          <cell r="BT28">
            <v>-0.38784232365145227</v>
          </cell>
          <cell r="BU28" t="e">
            <v>#N/A</v>
          </cell>
          <cell r="BV28" t="e">
            <v>#N/A</v>
          </cell>
          <cell r="BW28" t="e">
            <v>#N/A</v>
          </cell>
          <cell r="BX28" t="e">
            <v>#N/A</v>
          </cell>
          <cell r="BY28" t="e">
            <v>#N/A</v>
          </cell>
          <cell r="BZ28" t="str">
            <v>CDI</v>
          </cell>
          <cell r="CA28" t="str">
            <v/>
          </cell>
          <cell r="CB28" t="str">
            <v/>
          </cell>
          <cell r="CC28" t="str">
            <v>BANQUE</v>
          </cell>
          <cell r="CD28" t="str">
            <v>972-House Laundry</v>
          </cell>
          <cell r="CE28">
            <v>972</v>
          </cell>
        </row>
        <row r="29">
          <cell r="B29" t="str">
            <v>04054</v>
          </cell>
          <cell r="C29" t="str">
            <v>IKULU KITOKO HERITIER</v>
          </cell>
          <cell r="D29" t="str">
            <v>House Laundry</v>
          </cell>
          <cell r="E29" t="str">
            <v>00018000360106196120009</v>
          </cell>
          <cell r="F29" t="str">
            <v>109448210030J</v>
          </cell>
          <cell r="G29" t="str">
            <v>Laundry Attendant</v>
          </cell>
          <cell r="H29">
            <v>11.85</v>
          </cell>
          <cell r="I29">
            <v>13.7</v>
          </cell>
          <cell r="J29">
            <v>13.692307692307692</v>
          </cell>
          <cell r="K29" t="str">
            <v>TRQ2-8.IV</v>
          </cell>
          <cell r="L29" t="str">
            <v>TRAVAILLEUR QUALIFIE</v>
          </cell>
          <cell r="M29" t="str">
            <v>CATEGORIE 1 A 5</v>
          </cell>
          <cell r="N29" t="str">
            <v>TRAVAILLEUR QUALIFIE (TQ), Echellon 2, Classe 8</v>
          </cell>
          <cell r="P29">
            <v>41153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X29" t="e">
            <v>#N/A</v>
          </cell>
          <cell r="Y29" t="e">
            <v>#N/A</v>
          </cell>
          <cell r="Z29" t="e">
            <v>#N/A</v>
          </cell>
          <cell r="AA29" t="e">
            <v>#N/A</v>
          </cell>
          <cell r="AB29" t="e">
            <v>#N/A</v>
          </cell>
          <cell r="AC29" t="e">
            <v>#N/A</v>
          </cell>
          <cell r="AE29">
            <v>356</v>
          </cell>
          <cell r="AF29" t="e">
            <v>#N/A</v>
          </cell>
          <cell r="AG29" t="e">
            <v>#N/A</v>
          </cell>
          <cell r="AH29" t="e">
            <v>#N/A</v>
          </cell>
          <cell r="AI29" t="e">
            <v>#N/A</v>
          </cell>
          <cell r="AJ29" t="e">
            <v>#N/A</v>
          </cell>
          <cell r="AK29" t="e">
            <v>#N/A</v>
          </cell>
          <cell r="AL29" t="e">
            <v>#N/A</v>
          </cell>
          <cell r="AM29" t="e">
            <v>#N/A</v>
          </cell>
          <cell r="AN29">
            <v>0</v>
          </cell>
          <cell r="AR29" t="e">
            <v>#N/A</v>
          </cell>
          <cell r="AS29">
            <v>60</v>
          </cell>
          <cell r="AT29" t="e">
            <v>#N/A</v>
          </cell>
          <cell r="AU29">
            <v>71.2</v>
          </cell>
          <cell r="AV29">
            <v>2</v>
          </cell>
          <cell r="AX29">
            <v>20</v>
          </cell>
          <cell r="AY29" t="e">
            <v>#N/A</v>
          </cell>
          <cell r="BA29">
            <v>5.0100000000000504</v>
          </cell>
          <cell r="BB29" t="e">
            <v>#N/A</v>
          </cell>
          <cell r="BC29">
            <v>0</v>
          </cell>
          <cell r="BD29" t="e">
            <v>#N/A</v>
          </cell>
          <cell r="BE29" t="e">
            <v>#N/A</v>
          </cell>
          <cell r="BF29" t="e">
            <v>#N/A</v>
          </cell>
          <cell r="BL29">
            <v>0</v>
          </cell>
          <cell r="BM29" t="e">
            <v>#N/A</v>
          </cell>
          <cell r="BN29" t="e">
            <v>#N/A</v>
          </cell>
          <cell r="BO29" t="e">
            <v>#N/A</v>
          </cell>
          <cell r="BP29" t="e">
            <v>#N/A</v>
          </cell>
          <cell r="BQ29" t="e">
            <v>#N/A</v>
          </cell>
          <cell r="BR29">
            <v>-0.38784232365145227</v>
          </cell>
          <cell r="BT29">
            <v>-0.38784232365145227</v>
          </cell>
          <cell r="BU29" t="e">
            <v>#N/A</v>
          </cell>
          <cell r="BV29" t="e">
            <v>#N/A</v>
          </cell>
          <cell r="BW29" t="e">
            <v>#N/A</v>
          </cell>
          <cell r="BX29" t="e">
            <v>#N/A</v>
          </cell>
          <cell r="BY29" t="e">
            <v>#N/A</v>
          </cell>
          <cell r="BZ29" t="str">
            <v>CDI</v>
          </cell>
          <cell r="CA29" t="str">
            <v/>
          </cell>
          <cell r="CB29" t="str">
            <v/>
          </cell>
          <cell r="CC29" t="str">
            <v>BANQUE</v>
          </cell>
          <cell r="CD29" t="str">
            <v>972-House Laundry</v>
          </cell>
          <cell r="CE29">
            <v>972</v>
          </cell>
        </row>
        <row r="30">
          <cell r="B30" t="str">
            <v>04056</v>
          </cell>
          <cell r="C30" t="str">
            <v>KAPINGA MASANKA MAMY MIRANDA</v>
          </cell>
          <cell r="D30" t="str">
            <v>House Laundry</v>
          </cell>
          <cell r="E30" t="str">
            <v>00018000360137109120043</v>
          </cell>
          <cell r="F30" t="str">
            <v>206438510050L</v>
          </cell>
          <cell r="G30" t="str">
            <v>Laundry Attendant</v>
          </cell>
          <cell r="H30">
            <v>6.65</v>
          </cell>
          <cell r="I30">
            <v>7.7</v>
          </cell>
          <cell r="J30">
            <v>7.6999999999999993</v>
          </cell>
          <cell r="K30" t="str">
            <v>TSQ1-4.III</v>
          </cell>
          <cell r="L30" t="str">
            <v>TRAVAILLEUR SEMI QUALIFIE</v>
          </cell>
          <cell r="M30" t="str">
            <v>CATEGORIE 1 A 5</v>
          </cell>
          <cell r="N30" t="str">
            <v>TRAVAILLEUR SEMI QUALIFIE (TSQ), Echellon 1, Classe 4</v>
          </cell>
          <cell r="P30">
            <v>41153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 t="e">
            <v>#N/A</v>
          </cell>
          <cell r="AC30" t="e">
            <v>#N/A</v>
          </cell>
          <cell r="AE30">
            <v>200.2</v>
          </cell>
          <cell r="AF30" t="e">
            <v>#N/A</v>
          </cell>
          <cell r="AG30" t="e">
            <v>#N/A</v>
          </cell>
          <cell r="AH30" t="e">
            <v>#N/A</v>
          </cell>
          <cell r="AI30" t="e">
            <v>#N/A</v>
          </cell>
          <cell r="AJ30" t="e">
            <v>#N/A</v>
          </cell>
          <cell r="AK30" t="e">
            <v>#N/A</v>
          </cell>
          <cell r="AL30" t="e">
            <v>#N/A</v>
          </cell>
          <cell r="AM30" t="e">
            <v>#N/A</v>
          </cell>
          <cell r="AN30">
            <v>0</v>
          </cell>
          <cell r="AR30" t="e">
            <v>#N/A</v>
          </cell>
          <cell r="AS30">
            <v>60</v>
          </cell>
          <cell r="AT30" t="e">
            <v>#N/A</v>
          </cell>
          <cell r="AU30">
            <v>22.15</v>
          </cell>
          <cell r="AV30">
            <v>0</v>
          </cell>
          <cell r="AX30">
            <v>20</v>
          </cell>
          <cell r="AY30" t="e">
            <v>#N/A</v>
          </cell>
          <cell r="BA30">
            <v>5.19</v>
          </cell>
          <cell r="BB30" t="e">
            <v>#N/A</v>
          </cell>
          <cell r="BC30">
            <v>0</v>
          </cell>
          <cell r="BD30" t="e">
            <v>#N/A</v>
          </cell>
          <cell r="BE30" t="e">
            <v>#N/A</v>
          </cell>
          <cell r="BF30" t="e">
            <v>#N/A</v>
          </cell>
          <cell r="BL30">
            <v>0</v>
          </cell>
          <cell r="BM30" t="e">
            <v>#N/A</v>
          </cell>
          <cell r="BN30" t="e">
            <v>#N/A</v>
          </cell>
          <cell r="BO30" t="e">
            <v>#N/A</v>
          </cell>
          <cell r="BP30" t="e">
            <v>#N/A</v>
          </cell>
          <cell r="BQ30" t="e">
            <v>#N/A</v>
          </cell>
          <cell r="BR30">
            <v>-0.38784232365145227</v>
          </cell>
          <cell r="BT30">
            <v>-0.38784232365145227</v>
          </cell>
          <cell r="BU30" t="e">
            <v>#N/A</v>
          </cell>
          <cell r="BV30" t="e">
            <v>#N/A</v>
          </cell>
          <cell r="BW30" t="e">
            <v>#N/A</v>
          </cell>
          <cell r="BX30" t="e">
            <v>#N/A</v>
          </cell>
          <cell r="BY30" t="e">
            <v>#N/A</v>
          </cell>
          <cell r="BZ30" t="str">
            <v>CDI</v>
          </cell>
          <cell r="CA30" t="str">
            <v/>
          </cell>
          <cell r="CB30" t="str">
            <v/>
          </cell>
          <cell r="CC30" t="str">
            <v>BANQUE</v>
          </cell>
          <cell r="CD30" t="str">
            <v>972-House Laundry</v>
          </cell>
          <cell r="CE30">
            <v>972</v>
          </cell>
        </row>
        <row r="31">
          <cell r="B31" t="str">
            <v>04082</v>
          </cell>
          <cell r="C31" t="str">
            <v>MBAKI MBUNGU JEAN</v>
          </cell>
          <cell r="D31" t="str">
            <v>House Laundry</v>
          </cell>
          <cell r="E31" t="str">
            <v>00018000360001157120073</v>
          </cell>
          <cell r="F31" t="str">
            <v>106358410100A</v>
          </cell>
          <cell r="G31" t="str">
            <v>Tailor</v>
          </cell>
          <cell r="H31">
            <v>6.65</v>
          </cell>
          <cell r="I31">
            <v>7.7</v>
          </cell>
          <cell r="J31">
            <v>7.6999999999999993</v>
          </cell>
          <cell r="K31" t="str">
            <v>TSQ1-4.III</v>
          </cell>
          <cell r="L31" t="str">
            <v>TRAVAILLEUR SEMI QUALIFIE</v>
          </cell>
          <cell r="M31" t="str">
            <v>CATEGORIE 1 A 5</v>
          </cell>
          <cell r="N31" t="str">
            <v>TRAVAILLEUR SEMI QUALIFIE (TSQ), Echellon 1, Classe 4</v>
          </cell>
          <cell r="P31">
            <v>41153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 t="e">
            <v>#N/A</v>
          </cell>
          <cell r="AC31" t="e">
            <v>#N/A</v>
          </cell>
          <cell r="AE31">
            <v>200.2</v>
          </cell>
          <cell r="AF31" t="e">
            <v>#N/A</v>
          </cell>
          <cell r="AG31" t="e">
            <v>#N/A</v>
          </cell>
          <cell r="AH31" t="e">
            <v>#N/A</v>
          </cell>
          <cell r="AI31" t="e">
            <v>#N/A</v>
          </cell>
          <cell r="AJ31" t="e">
            <v>#N/A</v>
          </cell>
          <cell r="AK31" t="e">
            <v>#N/A</v>
          </cell>
          <cell r="AL31" t="e">
            <v>#N/A</v>
          </cell>
          <cell r="AM31" t="e">
            <v>#N/A</v>
          </cell>
          <cell r="AN31">
            <v>0</v>
          </cell>
          <cell r="AR31" t="e">
            <v>#N/A</v>
          </cell>
          <cell r="AS31">
            <v>60</v>
          </cell>
          <cell r="AT31" t="e">
            <v>#N/A</v>
          </cell>
          <cell r="AU31">
            <v>22.15</v>
          </cell>
          <cell r="AV31">
            <v>8</v>
          </cell>
          <cell r="AX31">
            <v>20</v>
          </cell>
          <cell r="AY31" t="e">
            <v>#N/A</v>
          </cell>
          <cell r="BA31">
            <v>4.88</v>
          </cell>
          <cell r="BB31" t="e">
            <v>#N/A</v>
          </cell>
          <cell r="BC31">
            <v>0</v>
          </cell>
          <cell r="BD31" t="e">
            <v>#N/A</v>
          </cell>
          <cell r="BE31" t="e">
            <v>#N/A</v>
          </cell>
          <cell r="BF31" t="e">
            <v>#N/A</v>
          </cell>
          <cell r="BL31">
            <v>0</v>
          </cell>
          <cell r="BM31" t="e">
            <v>#N/A</v>
          </cell>
          <cell r="BN31" t="e">
            <v>#N/A</v>
          </cell>
          <cell r="BO31" t="e">
            <v>#N/A</v>
          </cell>
          <cell r="BP31" t="e">
            <v>#N/A</v>
          </cell>
          <cell r="BQ31" t="e">
            <v>#N/A</v>
          </cell>
          <cell r="BR31">
            <v>-0.38784232365145227</v>
          </cell>
          <cell r="BT31">
            <v>-0.38784232365145227</v>
          </cell>
          <cell r="BU31" t="e">
            <v>#N/A</v>
          </cell>
          <cell r="BV31" t="e">
            <v>#N/A</v>
          </cell>
          <cell r="BW31" t="e">
            <v>#N/A</v>
          </cell>
          <cell r="BX31" t="e">
            <v>#N/A</v>
          </cell>
          <cell r="BY31" t="e">
            <v>#N/A</v>
          </cell>
          <cell r="BZ31" t="str">
            <v>CDI</v>
          </cell>
          <cell r="CA31" t="str">
            <v/>
          </cell>
          <cell r="CB31" t="str">
            <v/>
          </cell>
          <cell r="CC31" t="str">
            <v>BANQUE</v>
          </cell>
          <cell r="CD31" t="str">
            <v>972-House Laundry</v>
          </cell>
          <cell r="CE31">
            <v>972</v>
          </cell>
        </row>
        <row r="32">
          <cell r="B32" t="str">
            <v>04091</v>
          </cell>
          <cell r="C32" t="str">
            <v>KIPE MATALATALA NORBERT</v>
          </cell>
          <cell r="D32" t="str">
            <v>House Laundry</v>
          </cell>
          <cell r="E32" t="str">
            <v>00018000360001254120073</v>
          </cell>
          <cell r="F32" t="str">
            <v>109428701041L</v>
          </cell>
          <cell r="G32" t="str">
            <v>Laundry Attendant</v>
          </cell>
          <cell r="H32">
            <v>6.65</v>
          </cell>
          <cell r="I32">
            <v>7.7</v>
          </cell>
          <cell r="J32">
            <v>7.6999999999999993</v>
          </cell>
          <cell r="K32" t="str">
            <v>TSQ1-4.III</v>
          </cell>
          <cell r="L32" t="str">
            <v>TRAVAILLEUR SEMI QUALIFIE</v>
          </cell>
          <cell r="M32" t="str">
            <v>CATEGORIE 1 A 5</v>
          </cell>
          <cell r="N32" t="str">
            <v>TRAVAILLEUR SEMI QUALIFIE (TSQ), Echellon 1, Classe 4</v>
          </cell>
          <cell r="P32">
            <v>41153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E32">
            <v>200.2</v>
          </cell>
          <cell r="AF32" t="e">
            <v>#N/A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>
            <v>0</v>
          </cell>
          <cell r="AR32" t="e">
            <v>#N/A</v>
          </cell>
          <cell r="AS32">
            <v>60</v>
          </cell>
          <cell r="AT32" t="e">
            <v>#N/A</v>
          </cell>
          <cell r="AU32">
            <v>22.15</v>
          </cell>
          <cell r="AV32">
            <v>5</v>
          </cell>
          <cell r="AX32">
            <v>20</v>
          </cell>
          <cell r="AY32" t="e">
            <v>#N/A</v>
          </cell>
          <cell r="BA32">
            <v>4.88</v>
          </cell>
          <cell r="BB32" t="e">
            <v>#N/A</v>
          </cell>
          <cell r="BC32">
            <v>0</v>
          </cell>
          <cell r="BD32" t="e">
            <v>#N/A</v>
          </cell>
          <cell r="BE32" t="e">
            <v>#N/A</v>
          </cell>
          <cell r="BF32" t="e">
            <v>#N/A</v>
          </cell>
          <cell r="BL32">
            <v>0</v>
          </cell>
          <cell r="BM32" t="e">
            <v>#N/A</v>
          </cell>
          <cell r="BN32" t="e">
            <v>#N/A</v>
          </cell>
          <cell r="BO32" t="e">
            <v>#N/A</v>
          </cell>
          <cell r="BP32" t="e">
            <v>#N/A</v>
          </cell>
          <cell r="BQ32" t="e">
            <v>#N/A</v>
          </cell>
          <cell r="BR32">
            <v>-0.38784232365145227</v>
          </cell>
          <cell r="BT32">
            <v>-0.38784232365145227</v>
          </cell>
          <cell r="BU32" t="e">
            <v>#N/A</v>
          </cell>
          <cell r="BV32" t="e">
            <v>#N/A</v>
          </cell>
          <cell r="BW32" t="e">
            <v>#N/A</v>
          </cell>
          <cell r="BX32" t="e">
            <v>#N/A</v>
          </cell>
          <cell r="BY32" t="e">
            <v>#N/A</v>
          </cell>
          <cell r="BZ32" t="str">
            <v>CDI</v>
          </cell>
          <cell r="CA32" t="str">
            <v/>
          </cell>
          <cell r="CB32" t="str">
            <v/>
          </cell>
          <cell r="CC32" t="str">
            <v>BANQUE</v>
          </cell>
          <cell r="CD32" t="str">
            <v>972-House Laundry</v>
          </cell>
          <cell r="CE32">
            <v>972</v>
          </cell>
        </row>
        <row r="33">
          <cell r="B33" t="str">
            <v>04152</v>
          </cell>
          <cell r="C33" t="str">
            <v>YANGE ANDULU BLAISE</v>
          </cell>
          <cell r="D33" t="str">
            <v>Housekeeping</v>
          </cell>
          <cell r="E33" t="str">
            <v>00018000360001233120058</v>
          </cell>
          <cell r="F33" t="str">
            <v>109348810280D</v>
          </cell>
          <cell r="G33" t="str">
            <v>Gardener</v>
          </cell>
          <cell r="H33">
            <v>6.65</v>
          </cell>
          <cell r="I33">
            <v>7.7</v>
          </cell>
          <cell r="J33">
            <v>7.6999999999999993</v>
          </cell>
          <cell r="K33" t="str">
            <v>TSQ1-4.III</v>
          </cell>
          <cell r="L33" t="str">
            <v>TRAVAILLEUR SEMI QUALIFIE</v>
          </cell>
          <cell r="M33" t="str">
            <v>CATEGORIE 1 A 5</v>
          </cell>
          <cell r="N33" t="str">
            <v>TRAVAILLEUR SEMI QUALIFIE (TSQ), Echellon 1, Classe 4</v>
          </cell>
          <cell r="P33">
            <v>41153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E33">
            <v>200.2</v>
          </cell>
          <cell r="AF33" t="e">
            <v>#N/A</v>
          </cell>
          <cell r="AG33" t="e">
            <v>#N/A</v>
          </cell>
          <cell r="AH33" t="e">
            <v>#N/A</v>
          </cell>
          <cell r="AI33" t="e">
            <v>#N/A</v>
          </cell>
          <cell r="AJ33" t="e">
            <v>#N/A</v>
          </cell>
          <cell r="AK33" t="e">
            <v>#N/A</v>
          </cell>
          <cell r="AL33" t="e">
            <v>#N/A</v>
          </cell>
          <cell r="AM33" t="e">
            <v>#N/A</v>
          </cell>
          <cell r="AN33">
            <v>0</v>
          </cell>
          <cell r="AR33" t="e">
            <v>#N/A</v>
          </cell>
          <cell r="AS33">
            <v>60</v>
          </cell>
          <cell r="AT33" t="e">
            <v>#N/A</v>
          </cell>
          <cell r="AU33">
            <v>22.15</v>
          </cell>
          <cell r="AV33">
            <v>3</v>
          </cell>
          <cell r="AX33">
            <v>0</v>
          </cell>
          <cell r="AY33" t="e">
            <v>#N/A</v>
          </cell>
          <cell r="BA33">
            <v>7.2100000000000097</v>
          </cell>
          <cell r="BB33" t="e">
            <v>#N/A</v>
          </cell>
          <cell r="BC33">
            <v>0</v>
          </cell>
          <cell r="BD33" t="e">
            <v>#N/A</v>
          </cell>
          <cell r="BE33" t="e">
            <v>#N/A</v>
          </cell>
          <cell r="BF33" t="e">
            <v>#N/A</v>
          </cell>
          <cell r="BL33">
            <v>0</v>
          </cell>
          <cell r="BM33" t="e">
            <v>#N/A</v>
          </cell>
          <cell r="BN33" t="e">
            <v>#N/A</v>
          </cell>
          <cell r="BO33" t="e">
            <v>#N/A</v>
          </cell>
          <cell r="BP33" t="e">
            <v>#N/A</v>
          </cell>
          <cell r="BQ33" t="e">
            <v>#N/A</v>
          </cell>
          <cell r="BR33">
            <v>-0.38784232365145227</v>
          </cell>
          <cell r="BT33">
            <v>-0.38784232365145227</v>
          </cell>
          <cell r="BU33" t="e">
            <v>#N/A</v>
          </cell>
          <cell r="BV33" t="e">
            <v>#N/A</v>
          </cell>
          <cell r="BW33" t="e">
            <v>#N/A</v>
          </cell>
          <cell r="BX33" t="e">
            <v>#N/A</v>
          </cell>
          <cell r="BY33" t="e">
            <v>#N/A</v>
          </cell>
          <cell r="BZ33" t="str">
            <v>CDI</v>
          </cell>
          <cell r="CA33" t="str">
            <v/>
          </cell>
          <cell r="CB33" t="str">
            <v/>
          </cell>
          <cell r="CC33" t="str">
            <v>BANQUE</v>
          </cell>
          <cell r="CD33" t="str">
            <v>160-Housekeeping</v>
          </cell>
          <cell r="CE33">
            <v>160</v>
          </cell>
        </row>
        <row r="34">
          <cell r="B34" t="str">
            <v>07165</v>
          </cell>
          <cell r="C34" t="str">
            <v>MUANDA BLANCHE</v>
          </cell>
          <cell r="D34" t="str">
            <v>House Laundry</v>
          </cell>
          <cell r="E34" t="str">
            <v>00018000360001538120068</v>
          </cell>
          <cell r="F34" t="str">
            <v>208338510240J</v>
          </cell>
          <cell r="G34" t="str">
            <v>Laundry Attendant</v>
          </cell>
          <cell r="H34">
            <v>5.8</v>
          </cell>
          <cell r="I34">
            <v>6.65</v>
          </cell>
          <cell r="J34">
            <v>6.65</v>
          </cell>
          <cell r="K34" t="str">
            <v>TSP0-3.II</v>
          </cell>
          <cell r="L34" t="str">
            <v>TRAVAILLEUR SPECIALISE</v>
          </cell>
          <cell r="M34" t="str">
            <v>CATEGORIE 1 A 5</v>
          </cell>
          <cell r="N34" t="str">
            <v>TRAVAILLEUR SPECIALISE (TS), Echellon 0 , Classe 3</v>
          </cell>
          <cell r="P34">
            <v>43024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 t="e">
            <v>#N/A</v>
          </cell>
          <cell r="AC34" t="e">
            <v>#N/A</v>
          </cell>
          <cell r="AE34">
            <v>172.9</v>
          </cell>
          <cell r="AF34" t="e">
            <v>#N/A</v>
          </cell>
          <cell r="AG34" t="e">
            <v>#N/A</v>
          </cell>
          <cell r="AH34" t="e">
            <v>#N/A</v>
          </cell>
          <cell r="AI34" t="e">
            <v>#N/A</v>
          </cell>
          <cell r="AJ34" t="e">
            <v>#N/A</v>
          </cell>
          <cell r="AK34" t="e">
            <v>#N/A</v>
          </cell>
          <cell r="AL34" t="e">
            <v>#N/A</v>
          </cell>
          <cell r="AM34" t="e">
            <v>#N/A</v>
          </cell>
          <cell r="AN34">
            <v>0</v>
          </cell>
          <cell r="AR34" t="e">
            <v>#N/A</v>
          </cell>
          <cell r="AS34">
            <v>60.5</v>
          </cell>
          <cell r="AT34" t="e">
            <v>#N/A</v>
          </cell>
          <cell r="AU34">
            <v>41.6</v>
          </cell>
          <cell r="AV34">
            <v>7</v>
          </cell>
          <cell r="AX34">
            <v>20</v>
          </cell>
          <cell r="AY34" t="e">
            <v>#N/A</v>
          </cell>
          <cell r="BA34">
            <v>1.76999999999998</v>
          </cell>
          <cell r="BB34" t="e">
            <v>#N/A</v>
          </cell>
          <cell r="BC34">
            <v>0</v>
          </cell>
          <cell r="BD34" t="e">
            <v>#N/A</v>
          </cell>
          <cell r="BE34" t="e">
            <v>#N/A</v>
          </cell>
          <cell r="BF34" t="e">
            <v>#N/A</v>
          </cell>
          <cell r="BL34">
            <v>0</v>
          </cell>
          <cell r="BM34" t="e">
            <v>#N/A</v>
          </cell>
          <cell r="BN34" t="e">
            <v>#N/A</v>
          </cell>
          <cell r="BO34" t="e">
            <v>#N/A</v>
          </cell>
          <cell r="BP34" t="e">
            <v>#N/A</v>
          </cell>
          <cell r="BQ34" t="e">
            <v>#N/A</v>
          </cell>
          <cell r="BR34">
            <v>-0.38784232365145227</v>
          </cell>
          <cell r="BT34">
            <v>-0.38784232365145227</v>
          </cell>
          <cell r="BU34" t="e">
            <v>#N/A</v>
          </cell>
          <cell r="BV34" t="e">
            <v>#N/A</v>
          </cell>
          <cell r="BW34" t="e">
            <v>#N/A</v>
          </cell>
          <cell r="BX34" t="e">
            <v>#N/A</v>
          </cell>
          <cell r="BY34" t="e">
            <v>#N/A</v>
          </cell>
          <cell r="BZ34" t="str">
            <v>CDI</v>
          </cell>
          <cell r="CA34" t="str">
            <v/>
          </cell>
          <cell r="CB34" t="str">
            <v/>
          </cell>
          <cell r="CC34" t="str">
            <v>BANQUE</v>
          </cell>
          <cell r="CD34" t="str">
            <v>972-House Laundry</v>
          </cell>
          <cell r="CE34">
            <v>972</v>
          </cell>
        </row>
        <row r="35">
          <cell r="B35" t="str">
            <v>04039</v>
          </cell>
          <cell r="C35" t="str">
            <v>KAYINGA NZAKIMWENA RUTH</v>
          </cell>
          <cell r="D35" t="str">
            <v>Housekeeping</v>
          </cell>
          <cell r="E35" t="str">
            <v>00018000360001128120080</v>
          </cell>
          <cell r="F35" t="str">
            <v>208428404270L</v>
          </cell>
          <cell r="G35" t="str">
            <v xml:space="preserve">Housekeeping Assistant Manager </v>
          </cell>
          <cell r="H35">
            <v>21.1</v>
          </cell>
          <cell r="I35">
            <v>24.4</v>
          </cell>
          <cell r="J35">
            <v>24.4</v>
          </cell>
          <cell r="K35" t="str">
            <v>MAT3-12.M</v>
          </cell>
          <cell r="L35" t="str">
            <v>MAITRISE</v>
          </cell>
          <cell r="M35" t="str">
            <v>MAITRISE</v>
          </cell>
          <cell r="N35" t="str">
            <v>MAITRISES, Echellon 3, Classe 12</v>
          </cell>
          <cell r="P35">
            <v>41153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 t="e">
            <v>#N/A</v>
          </cell>
          <cell r="AC35" t="e">
            <v>#N/A</v>
          </cell>
          <cell r="AE35">
            <v>634.4</v>
          </cell>
          <cell r="AF35" t="e">
            <v>#N/A</v>
          </cell>
          <cell r="AG35" t="e">
            <v>#N/A</v>
          </cell>
          <cell r="AH35" t="e">
            <v>#N/A</v>
          </cell>
          <cell r="AI35" t="e">
            <v>#N/A</v>
          </cell>
          <cell r="AJ35" t="e">
            <v>#N/A</v>
          </cell>
          <cell r="AK35" t="e">
            <v>#N/A</v>
          </cell>
          <cell r="AL35" t="e">
            <v>#N/A</v>
          </cell>
          <cell r="AM35" t="e">
            <v>#N/A</v>
          </cell>
          <cell r="AN35">
            <v>0</v>
          </cell>
          <cell r="AR35" t="e">
            <v>#N/A</v>
          </cell>
          <cell r="AS35">
            <v>111</v>
          </cell>
          <cell r="AT35" t="e">
            <v>#N/A</v>
          </cell>
          <cell r="AU35">
            <v>145.6</v>
          </cell>
          <cell r="AV35">
            <v>0</v>
          </cell>
          <cell r="AY35" t="e">
            <v>#N/A</v>
          </cell>
          <cell r="AZ35">
            <v>200</v>
          </cell>
          <cell r="BA35">
            <v>8.7600000000000993</v>
          </cell>
          <cell r="BB35" t="e">
            <v>#N/A</v>
          </cell>
          <cell r="BC35">
            <v>30</v>
          </cell>
          <cell r="BD35" t="e">
            <v>#N/A</v>
          </cell>
          <cell r="BE35" t="e">
            <v>#N/A</v>
          </cell>
          <cell r="BF35" t="e">
            <v>#N/A</v>
          </cell>
          <cell r="BL35">
            <v>0</v>
          </cell>
          <cell r="BM35" t="e">
            <v>#N/A</v>
          </cell>
          <cell r="BN35" t="e">
            <v>#N/A</v>
          </cell>
          <cell r="BO35" t="e">
            <v>#N/A</v>
          </cell>
          <cell r="BP35" t="e">
            <v>#N/A</v>
          </cell>
          <cell r="BQ35" t="e">
            <v>#N/A</v>
          </cell>
          <cell r="BR35">
            <v>-0.38784232365145227</v>
          </cell>
          <cell r="BT35">
            <v>-0.38784232365145227</v>
          </cell>
          <cell r="BU35" t="e">
            <v>#N/A</v>
          </cell>
          <cell r="BV35" t="e">
            <v>#N/A</v>
          </cell>
          <cell r="BW35" t="e">
            <v>#N/A</v>
          </cell>
          <cell r="BX35" t="e">
            <v>#N/A</v>
          </cell>
          <cell r="BY35" t="e">
            <v>#N/A</v>
          </cell>
          <cell r="BZ35" t="str">
            <v>CDI</v>
          </cell>
          <cell r="CA35" t="str">
            <v/>
          </cell>
          <cell r="CB35" t="str">
            <v/>
          </cell>
          <cell r="CC35" t="str">
            <v>BANQUE</v>
          </cell>
          <cell r="CD35" t="str">
            <v>160-Housekeeping</v>
          </cell>
          <cell r="CE35">
            <v>160</v>
          </cell>
        </row>
        <row r="36">
          <cell r="B36" t="str">
            <v>04047</v>
          </cell>
          <cell r="C36" t="str">
            <v>SELUVANGIDIO MAMBOTE SANDRA</v>
          </cell>
          <cell r="D36" t="str">
            <v>F and B Administration</v>
          </cell>
          <cell r="E36" t="str">
            <v>00018000360001216120032</v>
          </cell>
          <cell r="F36" t="str">
            <v>109518708230M</v>
          </cell>
          <cell r="G36" t="str">
            <v>F&amp;B Coordinator</v>
          </cell>
          <cell r="H36">
            <v>13.7</v>
          </cell>
          <cell r="I36">
            <v>15.85</v>
          </cell>
          <cell r="J36">
            <v>15.850000000000001</v>
          </cell>
          <cell r="K36" t="str">
            <v>THQ0-9.V</v>
          </cell>
          <cell r="L36" t="str">
            <v>TRAVAILLEUR HAUTEMENT QUALIFIE</v>
          </cell>
          <cell r="M36" t="str">
            <v>CATEGORIE 1 A 5</v>
          </cell>
          <cell r="N36" t="str">
            <v>TRAVAILLEUR HAUTEMENT QUALIFIE (THQ), Echellon 0, Classe 9</v>
          </cell>
          <cell r="P36">
            <v>41153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#N/A</v>
          </cell>
          <cell r="AE36">
            <v>412.1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>
            <v>0</v>
          </cell>
          <cell r="AO36">
            <v>30</v>
          </cell>
          <cell r="AR36" t="e">
            <v>#N/A</v>
          </cell>
          <cell r="AS36">
            <v>65</v>
          </cell>
          <cell r="AT36" t="e">
            <v>#N/A</v>
          </cell>
          <cell r="AU36">
            <v>54.4</v>
          </cell>
          <cell r="AV36">
            <v>2</v>
          </cell>
          <cell r="AX36">
            <v>0</v>
          </cell>
          <cell r="AY36" t="e">
            <v>#N/A</v>
          </cell>
          <cell r="BA36">
            <v>16.7</v>
          </cell>
          <cell r="BB36" t="e">
            <v>#N/A</v>
          </cell>
          <cell r="BC36">
            <v>0</v>
          </cell>
          <cell r="BD36" t="e">
            <v>#N/A</v>
          </cell>
          <cell r="BE36" t="e">
            <v>#N/A</v>
          </cell>
          <cell r="BF36" t="e">
            <v>#N/A</v>
          </cell>
          <cell r="BL36">
            <v>0</v>
          </cell>
          <cell r="BM36" t="e">
            <v>#N/A</v>
          </cell>
          <cell r="BN36" t="e">
            <v>#N/A</v>
          </cell>
          <cell r="BO36" t="e">
            <v>#N/A</v>
          </cell>
          <cell r="BP36" t="e">
            <v>#N/A</v>
          </cell>
          <cell r="BQ36" t="e">
            <v>#N/A</v>
          </cell>
          <cell r="BR36">
            <v>-0.38784232365145227</v>
          </cell>
          <cell r="BT36">
            <v>-0.38784232365145227</v>
          </cell>
          <cell r="BU36" t="e">
            <v>#N/A</v>
          </cell>
          <cell r="BV36" t="e">
            <v>#N/A</v>
          </cell>
          <cell r="BW36" t="e">
            <v>#N/A</v>
          </cell>
          <cell r="BX36" t="e">
            <v>#N/A</v>
          </cell>
          <cell r="BY36" t="e">
            <v>#N/A</v>
          </cell>
          <cell r="BZ36" t="str">
            <v>CDI</v>
          </cell>
          <cell r="CA36" t="str">
            <v/>
          </cell>
          <cell r="CB36" t="str">
            <v/>
          </cell>
          <cell r="CC36" t="str">
            <v>BANQUE</v>
          </cell>
          <cell r="CD36" t="str">
            <v>290-F and B Administration</v>
          </cell>
          <cell r="CE36">
            <v>290</v>
          </cell>
        </row>
        <row r="37">
          <cell r="B37" t="str">
            <v>04051</v>
          </cell>
          <cell r="C37" t="str">
            <v>BOLA BATEKO PAUL</v>
          </cell>
          <cell r="D37" t="str">
            <v>Housekeeping</v>
          </cell>
          <cell r="E37" t="str">
            <v>00018000360001067120078</v>
          </cell>
          <cell r="F37" t="str">
            <v>108538511210S</v>
          </cell>
          <cell r="G37" t="str">
            <v>Floor Supervisor</v>
          </cell>
          <cell r="H37">
            <v>10.3</v>
          </cell>
          <cell r="I37">
            <v>11.85</v>
          </cell>
          <cell r="J37">
            <v>11.850000000000001</v>
          </cell>
          <cell r="K37" t="str">
            <v>TRQ1-7.IV</v>
          </cell>
          <cell r="L37" t="str">
            <v>TRAVAILLEUR QUALIFIE</v>
          </cell>
          <cell r="M37" t="str">
            <v>CATEGORIE 1 A 5</v>
          </cell>
          <cell r="N37" t="str">
            <v>TRAVAILLEUR QUALIFIE (TQ), Echellon 1, Classe 7</v>
          </cell>
          <cell r="P37">
            <v>41153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E37">
            <v>308.10000000000002</v>
          </cell>
          <cell r="AF37" t="e">
            <v>#N/A</v>
          </cell>
          <cell r="AG37" t="e">
            <v>#N/A</v>
          </cell>
          <cell r="AH37" t="e">
            <v>#N/A</v>
          </cell>
          <cell r="AI37" t="e">
            <v>#N/A</v>
          </cell>
          <cell r="AJ37" t="e">
            <v>#N/A</v>
          </cell>
          <cell r="AK37" t="e">
            <v>#N/A</v>
          </cell>
          <cell r="AL37" t="e">
            <v>#N/A</v>
          </cell>
          <cell r="AM37" t="e">
            <v>#N/A</v>
          </cell>
          <cell r="AN37">
            <v>0</v>
          </cell>
          <cell r="AR37" t="e">
            <v>#N/A</v>
          </cell>
          <cell r="AS37">
            <v>65</v>
          </cell>
          <cell r="AT37" t="e">
            <v>#N/A</v>
          </cell>
          <cell r="AU37">
            <v>61.9</v>
          </cell>
          <cell r="AV37">
            <v>1</v>
          </cell>
          <cell r="AX37">
            <v>0</v>
          </cell>
          <cell r="AY37" t="e">
            <v>#N/A</v>
          </cell>
          <cell r="BA37">
            <v>3.4300000000000099</v>
          </cell>
          <cell r="BB37" t="e">
            <v>#N/A</v>
          </cell>
          <cell r="BC37">
            <v>0</v>
          </cell>
          <cell r="BD37" t="e">
            <v>#N/A</v>
          </cell>
          <cell r="BE37" t="e">
            <v>#N/A</v>
          </cell>
          <cell r="BF37" t="e">
            <v>#N/A</v>
          </cell>
          <cell r="BL37">
            <v>0</v>
          </cell>
          <cell r="BM37" t="e">
            <v>#N/A</v>
          </cell>
          <cell r="BN37" t="e">
            <v>#N/A</v>
          </cell>
          <cell r="BO37" t="e">
            <v>#N/A</v>
          </cell>
          <cell r="BP37" t="e">
            <v>#N/A</v>
          </cell>
          <cell r="BQ37" t="e">
            <v>#N/A</v>
          </cell>
          <cell r="BR37">
            <v>-0.38784232365145227</v>
          </cell>
          <cell r="BT37">
            <v>-0.38784232365145227</v>
          </cell>
          <cell r="BU37" t="e">
            <v>#N/A</v>
          </cell>
          <cell r="BV37" t="e">
            <v>#N/A</v>
          </cell>
          <cell r="BW37" t="e">
            <v>#N/A</v>
          </cell>
          <cell r="BX37" t="e">
            <v>#N/A</v>
          </cell>
          <cell r="BY37" t="e">
            <v>#N/A</v>
          </cell>
          <cell r="BZ37" t="str">
            <v>CDI</v>
          </cell>
          <cell r="CA37" t="str">
            <v/>
          </cell>
          <cell r="CB37" t="str">
            <v/>
          </cell>
          <cell r="CC37" t="str">
            <v>BANQUE</v>
          </cell>
          <cell r="CD37" t="str">
            <v>160-Housekeeping</v>
          </cell>
          <cell r="CE37">
            <v>160</v>
          </cell>
        </row>
        <row r="38">
          <cell r="B38" t="str">
            <v>04058</v>
          </cell>
          <cell r="C38" t="str">
            <v>KAWUNDA MUNDALA JOSEPH</v>
          </cell>
          <cell r="D38" t="str">
            <v>Housekeeping</v>
          </cell>
          <cell r="E38" t="str">
            <v>00018000360001127120010</v>
          </cell>
          <cell r="F38" t="str">
            <v>2110485090901I</v>
          </cell>
          <cell r="G38" t="str">
            <v>Housekeeping Floor Supervisor</v>
          </cell>
          <cell r="H38">
            <v>11.85</v>
          </cell>
          <cell r="I38">
            <v>13.7</v>
          </cell>
          <cell r="J38">
            <v>13.7</v>
          </cell>
          <cell r="K38" t="str">
            <v>TRQ2-8.IV</v>
          </cell>
          <cell r="L38" t="str">
            <v>TRAVAILLEUR QUALIFIE</v>
          </cell>
          <cell r="M38" t="str">
            <v>CATEGORIE 1 A 5</v>
          </cell>
          <cell r="N38" t="str">
            <v>TRAVAILLEUR QUALIFIE (TQ), Echellon 2, Classe 8</v>
          </cell>
          <cell r="P38">
            <v>41153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E38">
            <v>356.2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>
            <v>0</v>
          </cell>
          <cell r="AR38" t="e">
            <v>#N/A</v>
          </cell>
          <cell r="AS38">
            <v>80</v>
          </cell>
          <cell r="AT38" t="e">
            <v>#N/A</v>
          </cell>
          <cell r="AU38">
            <v>83.8</v>
          </cell>
          <cell r="AV38">
            <v>2</v>
          </cell>
          <cell r="AX38">
            <v>0</v>
          </cell>
          <cell r="AY38" t="e">
            <v>#N/A</v>
          </cell>
          <cell r="BA38">
            <v>0.66000000000002501</v>
          </cell>
          <cell r="BB38" t="e">
            <v>#N/A</v>
          </cell>
          <cell r="BC38">
            <v>0</v>
          </cell>
          <cell r="BD38" t="e">
            <v>#N/A</v>
          </cell>
          <cell r="BE38" t="e">
            <v>#N/A</v>
          </cell>
          <cell r="BF38" t="e">
            <v>#N/A</v>
          </cell>
          <cell r="BL38">
            <v>0</v>
          </cell>
          <cell r="BM38" t="e">
            <v>#N/A</v>
          </cell>
          <cell r="BN38" t="e">
            <v>#N/A</v>
          </cell>
          <cell r="BO38" t="e">
            <v>#N/A</v>
          </cell>
          <cell r="BP38" t="e">
            <v>#N/A</v>
          </cell>
          <cell r="BQ38" t="e">
            <v>#N/A</v>
          </cell>
          <cell r="BR38">
            <v>-0.38784232365145227</v>
          </cell>
          <cell r="BT38">
            <v>-0.38784232365145227</v>
          </cell>
          <cell r="BU38" t="e">
            <v>#N/A</v>
          </cell>
          <cell r="BV38" t="e">
            <v>#N/A</v>
          </cell>
          <cell r="BW38" t="e">
            <v>#N/A</v>
          </cell>
          <cell r="BX38" t="e">
            <v>#N/A</v>
          </cell>
          <cell r="BY38" t="e">
            <v>#N/A</v>
          </cell>
          <cell r="BZ38" t="str">
            <v>CDI</v>
          </cell>
          <cell r="CA38" t="str">
            <v/>
          </cell>
          <cell r="CB38" t="str">
            <v/>
          </cell>
          <cell r="CC38" t="str">
            <v>BANQUE</v>
          </cell>
          <cell r="CD38" t="str">
            <v>160-Housekeeping</v>
          </cell>
          <cell r="CE38">
            <v>160</v>
          </cell>
        </row>
        <row r="39">
          <cell r="B39" t="str">
            <v>04060</v>
          </cell>
          <cell r="C39" t="str">
            <v>KIANGI MASONGELE PATCHELY</v>
          </cell>
          <cell r="D39" t="str">
            <v>Housekeeping</v>
          </cell>
          <cell r="E39" t="str">
            <v>00018000360149432120032</v>
          </cell>
          <cell r="F39" t="str">
            <v>208338508260H</v>
          </cell>
          <cell r="G39" t="str">
            <v>Room Attendant</v>
          </cell>
          <cell r="H39">
            <v>5.8</v>
          </cell>
          <cell r="I39">
            <v>6.65</v>
          </cell>
          <cell r="J39">
            <v>6.65</v>
          </cell>
          <cell r="K39" t="str">
            <v>TSP0-3.II</v>
          </cell>
          <cell r="L39" t="str">
            <v>TRAVAILLEUR SPECIALISE</v>
          </cell>
          <cell r="M39" t="str">
            <v>CATEGORIE 1 A 5</v>
          </cell>
          <cell r="N39" t="str">
            <v>TRAVAILLEUR SPECIALISE (TS), Echellon 0 , Classe 3</v>
          </cell>
          <cell r="P39">
            <v>41153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 t="e">
            <v>#N/A</v>
          </cell>
          <cell r="AC39" t="e">
            <v>#N/A</v>
          </cell>
          <cell r="AE39">
            <v>172.9</v>
          </cell>
          <cell r="AF39" t="e">
            <v>#N/A</v>
          </cell>
          <cell r="AG39" t="e">
            <v>#N/A</v>
          </cell>
          <cell r="AH39" t="e">
            <v>#N/A</v>
          </cell>
          <cell r="AI39" t="e">
            <v>#N/A</v>
          </cell>
          <cell r="AJ39" t="e">
            <v>#N/A</v>
          </cell>
          <cell r="AK39" t="e">
            <v>#N/A</v>
          </cell>
          <cell r="AL39" t="e">
            <v>#N/A</v>
          </cell>
          <cell r="AM39" t="e">
            <v>#N/A</v>
          </cell>
          <cell r="AN39">
            <v>0</v>
          </cell>
          <cell r="AR39" t="e">
            <v>#N/A</v>
          </cell>
          <cell r="AS39">
            <v>59</v>
          </cell>
          <cell r="AT39" t="e">
            <v>#N/A</v>
          </cell>
          <cell r="AU39">
            <v>25.45</v>
          </cell>
          <cell r="AV39">
            <v>1</v>
          </cell>
          <cell r="AX39">
            <v>0</v>
          </cell>
          <cell r="AY39" t="e">
            <v>#N/A</v>
          </cell>
          <cell r="BA39">
            <v>2.2100000000000102</v>
          </cell>
          <cell r="BB39" t="e">
            <v>#N/A</v>
          </cell>
          <cell r="BD39" t="e">
            <v>#N/A</v>
          </cell>
          <cell r="BE39" t="e">
            <v>#N/A</v>
          </cell>
          <cell r="BF39" t="e">
            <v>#N/A</v>
          </cell>
          <cell r="BL39">
            <v>0</v>
          </cell>
          <cell r="BM39" t="e">
            <v>#N/A</v>
          </cell>
          <cell r="BN39" t="e">
            <v>#N/A</v>
          </cell>
          <cell r="BO39" t="e">
            <v>#N/A</v>
          </cell>
          <cell r="BP39" t="e">
            <v>#N/A</v>
          </cell>
          <cell r="BQ39" t="e">
            <v>#N/A</v>
          </cell>
          <cell r="BR39">
            <v>-0.38784232365145227</v>
          </cell>
          <cell r="BT39">
            <v>-0.38784232365145227</v>
          </cell>
          <cell r="BU39" t="e">
            <v>#N/A</v>
          </cell>
          <cell r="BV39" t="e">
            <v>#N/A</v>
          </cell>
          <cell r="BW39" t="e">
            <v>#N/A</v>
          </cell>
          <cell r="BX39" t="e">
            <v>#N/A</v>
          </cell>
          <cell r="BY39" t="e">
            <v>#N/A</v>
          </cell>
          <cell r="BZ39" t="str">
            <v>CDI</v>
          </cell>
          <cell r="CA39" t="str">
            <v/>
          </cell>
          <cell r="CB39" t="str">
            <v/>
          </cell>
          <cell r="CC39" t="str">
            <v>BANQUE</v>
          </cell>
          <cell r="CD39" t="str">
            <v>160-Housekeeping</v>
          </cell>
          <cell r="CE39">
            <v>160</v>
          </cell>
        </row>
        <row r="40">
          <cell r="B40" t="str">
            <v>04062</v>
          </cell>
          <cell r="C40" t="str">
            <v>MAKOLA MAPUYA ERIC</v>
          </cell>
          <cell r="D40" t="str">
            <v>Housekeeping</v>
          </cell>
          <cell r="E40" t="str">
            <v>00018000360001146120079</v>
          </cell>
          <cell r="F40" t="str">
            <v>203147806040C</v>
          </cell>
          <cell r="G40" t="str">
            <v>Room Attendant</v>
          </cell>
          <cell r="H40">
            <v>5.8</v>
          </cell>
          <cell r="I40">
            <v>6.65</v>
          </cell>
          <cell r="J40">
            <v>6.65</v>
          </cell>
          <cell r="K40" t="str">
            <v>TSP0-3.II</v>
          </cell>
          <cell r="L40" t="str">
            <v>TRAVAILLEUR SPECIALISE</v>
          </cell>
          <cell r="M40" t="str">
            <v>CATEGORIE 1 A 5</v>
          </cell>
          <cell r="N40" t="str">
            <v>TRAVAILLEUR SPECIALISE (TS), Echellon 0 , Classe 3</v>
          </cell>
          <cell r="P40">
            <v>41153</v>
          </cell>
          <cell r="Q40" t="e">
            <v>#N/A</v>
          </cell>
          <cell r="R40" t="e">
            <v>#N/A</v>
          </cell>
          <cell r="S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E40">
            <v>172.9</v>
          </cell>
          <cell r="AF40" t="e">
            <v>#N/A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>
            <v>0</v>
          </cell>
          <cell r="AR40" t="e">
            <v>#N/A</v>
          </cell>
          <cell r="AS40">
            <v>59</v>
          </cell>
          <cell r="AT40" t="e">
            <v>#N/A</v>
          </cell>
          <cell r="AU40">
            <v>25.45</v>
          </cell>
          <cell r="AV40">
            <v>2</v>
          </cell>
          <cell r="AX40">
            <v>0</v>
          </cell>
          <cell r="AY40" t="e">
            <v>#N/A</v>
          </cell>
          <cell r="BA40">
            <v>3.47</v>
          </cell>
          <cell r="BB40" t="e">
            <v>#N/A</v>
          </cell>
          <cell r="BD40" t="e">
            <v>#N/A</v>
          </cell>
          <cell r="BE40" t="e">
            <v>#N/A</v>
          </cell>
          <cell r="BF40" t="e">
            <v>#N/A</v>
          </cell>
          <cell r="BL40">
            <v>0</v>
          </cell>
          <cell r="BM40" t="e">
            <v>#N/A</v>
          </cell>
          <cell r="BN40" t="e">
            <v>#N/A</v>
          </cell>
          <cell r="BO40" t="e">
            <v>#N/A</v>
          </cell>
          <cell r="BP40" t="e">
            <v>#N/A</v>
          </cell>
          <cell r="BQ40" t="e">
            <v>#N/A</v>
          </cell>
          <cell r="BR40">
            <v>-0.38784232365145227</v>
          </cell>
          <cell r="BT40">
            <v>-0.38784232365145227</v>
          </cell>
          <cell r="BU40" t="e">
            <v>#N/A</v>
          </cell>
          <cell r="BV40" t="e">
            <v>#N/A</v>
          </cell>
          <cell r="BW40" t="e">
            <v>#N/A</v>
          </cell>
          <cell r="BX40" t="e">
            <v>#N/A</v>
          </cell>
          <cell r="BY40" t="e">
            <v>#N/A</v>
          </cell>
          <cell r="BZ40" t="str">
            <v>CDI</v>
          </cell>
          <cell r="CA40" t="str">
            <v/>
          </cell>
          <cell r="CB40" t="str">
            <v/>
          </cell>
          <cell r="CC40" t="str">
            <v>BANQUE</v>
          </cell>
          <cell r="CD40" t="str">
            <v>160-Housekeeping</v>
          </cell>
          <cell r="CE40">
            <v>160</v>
          </cell>
        </row>
        <row r="41">
          <cell r="B41" t="str">
            <v>04063</v>
          </cell>
          <cell r="C41" t="str">
            <v>MALEMBU NZONZI MALE</v>
          </cell>
          <cell r="D41" t="str">
            <v>Housekeeping</v>
          </cell>
          <cell r="E41" t="str">
            <v>00018000360001262120051</v>
          </cell>
          <cell r="F41" t="str">
            <v>109448006060D</v>
          </cell>
          <cell r="G41" t="str">
            <v>Public Area Supervisor</v>
          </cell>
          <cell r="H41">
            <v>10.3</v>
          </cell>
          <cell r="I41">
            <v>11.85</v>
          </cell>
          <cell r="J41">
            <v>11.850000000000001</v>
          </cell>
          <cell r="K41" t="str">
            <v>TRQ1-7.IV</v>
          </cell>
          <cell r="L41" t="str">
            <v>TRAVAILLEUR QUALIFIE</v>
          </cell>
          <cell r="M41" t="str">
            <v>CATEGORIE 1 A 5</v>
          </cell>
          <cell r="N41" t="str">
            <v>TRAVAILLEUR QUALIFIE (TQ), Echellon 1, Classe 7</v>
          </cell>
          <cell r="P41">
            <v>41153</v>
          </cell>
          <cell r="Q41" t="e">
            <v>#N/A</v>
          </cell>
          <cell r="R41" t="e">
            <v>#N/A</v>
          </cell>
          <cell r="S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 t="e">
            <v>#N/A</v>
          </cell>
          <cell r="AC41" t="e">
            <v>#N/A</v>
          </cell>
          <cell r="AE41">
            <v>308.10000000000002</v>
          </cell>
          <cell r="AF41" t="e">
            <v>#N/A</v>
          </cell>
          <cell r="AG41" t="e">
            <v>#N/A</v>
          </cell>
          <cell r="AH41" t="e">
            <v>#N/A</v>
          </cell>
          <cell r="AI41" t="e">
            <v>#N/A</v>
          </cell>
          <cell r="AJ41" t="e">
            <v>#N/A</v>
          </cell>
          <cell r="AK41" t="e">
            <v>#N/A</v>
          </cell>
          <cell r="AL41" t="e">
            <v>#N/A</v>
          </cell>
          <cell r="AM41" t="e">
            <v>#N/A</v>
          </cell>
          <cell r="AN41">
            <v>0</v>
          </cell>
          <cell r="AR41" t="e">
            <v>#N/A</v>
          </cell>
          <cell r="AS41">
            <v>59</v>
          </cell>
          <cell r="AT41" t="e">
            <v>#N/A</v>
          </cell>
          <cell r="AU41">
            <v>46.21</v>
          </cell>
          <cell r="AV41">
            <v>5</v>
          </cell>
          <cell r="AX41">
            <v>0</v>
          </cell>
          <cell r="AY41" t="e">
            <v>#N/A</v>
          </cell>
          <cell r="BB41" t="e">
            <v>#N/A</v>
          </cell>
          <cell r="BC41">
            <v>0</v>
          </cell>
          <cell r="BD41" t="e">
            <v>#N/A</v>
          </cell>
          <cell r="BE41" t="e">
            <v>#N/A</v>
          </cell>
          <cell r="BF41" t="e">
            <v>#N/A</v>
          </cell>
          <cell r="BL41">
            <v>0</v>
          </cell>
          <cell r="BM41" t="e">
            <v>#N/A</v>
          </cell>
          <cell r="BN41" t="e">
            <v>#N/A</v>
          </cell>
          <cell r="BO41" t="e">
            <v>#N/A</v>
          </cell>
          <cell r="BP41" t="e">
            <v>#N/A</v>
          </cell>
          <cell r="BQ41" t="e">
            <v>#N/A</v>
          </cell>
          <cell r="BR41">
            <v>-0.38784232365145227</v>
          </cell>
          <cell r="BT41">
            <v>-0.38784232365145227</v>
          </cell>
          <cell r="BU41" t="e">
            <v>#N/A</v>
          </cell>
          <cell r="BV41" t="e">
            <v>#N/A</v>
          </cell>
          <cell r="BW41" t="e">
            <v>#N/A</v>
          </cell>
          <cell r="BX41" t="e">
            <v>#N/A</v>
          </cell>
          <cell r="BY41" t="e">
            <v>#N/A</v>
          </cell>
          <cell r="BZ41" t="str">
            <v>CDI</v>
          </cell>
          <cell r="CA41" t="str">
            <v/>
          </cell>
          <cell r="CB41" t="str">
            <v/>
          </cell>
          <cell r="CC41" t="str">
            <v>BANQUE</v>
          </cell>
          <cell r="CD41" t="str">
            <v>160-Housekeeping</v>
          </cell>
          <cell r="CE41">
            <v>160</v>
          </cell>
        </row>
        <row r="42">
          <cell r="B42" t="str">
            <v>04064</v>
          </cell>
          <cell r="C42" t="str">
            <v>MALIBA ABWAKELA ALAIN</v>
          </cell>
          <cell r="D42" t="str">
            <v>Housekeeping</v>
          </cell>
          <cell r="E42" t="str">
            <v>00018000360001148120025</v>
          </cell>
          <cell r="F42" t="str">
            <v>109438301200Q</v>
          </cell>
          <cell r="G42" t="str">
            <v>Turndown Attendant</v>
          </cell>
          <cell r="H42">
            <v>5.8</v>
          </cell>
          <cell r="I42">
            <v>6.65</v>
          </cell>
          <cell r="J42">
            <v>6.65</v>
          </cell>
          <cell r="K42" t="str">
            <v>TSP0-3.II</v>
          </cell>
          <cell r="L42" t="str">
            <v>TRAVAILLEUR SPECIALISE</v>
          </cell>
          <cell r="M42" t="str">
            <v>CATEGORIE 1 A 5</v>
          </cell>
          <cell r="N42" t="str">
            <v>TRAVAILLEUR SPECIALISE (TS), Echellon 0 , Classe 3</v>
          </cell>
          <cell r="P42">
            <v>41153</v>
          </cell>
          <cell r="Q42" t="e">
            <v>#N/A</v>
          </cell>
          <cell r="R42" t="e">
            <v>#N/A</v>
          </cell>
          <cell r="S42" t="e">
            <v>#N/A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E42">
            <v>172.9</v>
          </cell>
          <cell r="AF42" t="e">
            <v>#N/A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>
            <v>0</v>
          </cell>
          <cell r="AR42" t="e">
            <v>#N/A</v>
          </cell>
          <cell r="AS42">
            <v>59</v>
          </cell>
          <cell r="AT42" t="e">
            <v>#N/A</v>
          </cell>
          <cell r="AU42">
            <v>25.45</v>
          </cell>
          <cell r="AV42">
            <v>1</v>
          </cell>
          <cell r="AX42">
            <v>0</v>
          </cell>
          <cell r="AY42" t="e">
            <v>#N/A</v>
          </cell>
          <cell r="BA42">
            <v>2.20999999999998</v>
          </cell>
          <cell r="BB42" t="e">
            <v>#N/A</v>
          </cell>
          <cell r="BC42">
            <v>0</v>
          </cell>
          <cell r="BD42" t="e">
            <v>#N/A</v>
          </cell>
          <cell r="BE42" t="e">
            <v>#N/A</v>
          </cell>
          <cell r="BF42" t="e">
            <v>#N/A</v>
          </cell>
          <cell r="BL42">
            <v>0</v>
          </cell>
          <cell r="BM42" t="e">
            <v>#N/A</v>
          </cell>
          <cell r="BN42" t="e">
            <v>#N/A</v>
          </cell>
          <cell r="BO42" t="e">
            <v>#N/A</v>
          </cell>
          <cell r="BP42" t="e">
            <v>#N/A</v>
          </cell>
          <cell r="BQ42" t="e">
            <v>#N/A</v>
          </cell>
          <cell r="BR42">
            <v>-0.38784232365145227</v>
          </cell>
          <cell r="BT42">
            <v>-0.38784232365145227</v>
          </cell>
          <cell r="BU42" t="e">
            <v>#N/A</v>
          </cell>
          <cell r="BV42" t="e">
            <v>#N/A</v>
          </cell>
          <cell r="BW42" t="e">
            <v>#N/A</v>
          </cell>
          <cell r="BX42" t="e">
            <v>#N/A</v>
          </cell>
          <cell r="BY42" t="e">
            <v>#N/A</v>
          </cell>
          <cell r="BZ42" t="str">
            <v>CDI</v>
          </cell>
          <cell r="CA42" t="str">
            <v/>
          </cell>
          <cell r="CB42" t="str">
            <v/>
          </cell>
          <cell r="CC42" t="str">
            <v>BANQUE</v>
          </cell>
          <cell r="CD42" t="str">
            <v>160-Housekeeping</v>
          </cell>
          <cell r="CE42">
            <v>160</v>
          </cell>
        </row>
        <row r="43">
          <cell r="B43" t="str">
            <v>04070</v>
          </cell>
          <cell r="C43" t="str">
            <v>VIONGA ONASHUTU FATUMA</v>
          </cell>
          <cell r="D43" t="str">
            <v>Housekeeping</v>
          </cell>
          <cell r="E43" t="str">
            <v>00018000360001231120015</v>
          </cell>
          <cell r="F43" t="str">
            <v>107238406260O</v>
          </cell>
          <cell r="G43" t="str">
            <v>Room Attendant</v>
          </cell>
          <cell r="H43">
            <v>5.8</v>
          </cell>
          <cell r="I43">
            <v>6.65</v>
          </cell>
          <cell r="J43">
            <v>6.65</v>
          </cell>
          <cell r="K43" t="str">
            <v>TSP0-3.II</v>
          </cell>
          <cell r="L43" t="str">
            <v>TRAVAILLEUR SPECIALISE</v>
          </cell>
          <cell r="M43" t="str">
            <v>CATEGORIE 1 A 5</v>
          </cell>
          <cell r="N43" t="str">
            <v>TRAVAILLEUR SPECIALISE (TS), Echellon 0 , Classe 3</v>
          </cell>
          <cell r="P43">
            <v>41153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 t="e">
            <v>#N/A</v>
          </cell>
          <cell r="AB43" t="e">
            <v>#N/A</v>
          </cell>
          <cell r="AC43" t="e">
            <v>#N/A</v>
          </cell>
          <cell r="AE43">
            <v>172.9</v>
          </cell>
          <cell r="AF43" t="e">
            <v>#N/A</v>
          </cell>
          <cell r="AG43" t="e">
            <v>#N/A</v>
          </cell>
          <cell r="AH43" t="e">
            <v>#N/A</v>
          </cell>
          <cell r="AI43" t="e">
            <v>#N/A</v>
          </cell>
          <cell r="AJ43" t="e">
            <v>#N/A</v>
          </cell>
          <cell r="AK43" t="e">
            <v>#N/A</v>
          </cell>
          <cell r="AL43" t="e">
            <v>#N/A</v>
          </cell>
          <cell r="AM43" t="e">
            <v>#N/A</v>
          </cell>
          <cell r="AN43">
            <v>0</v>
          </cell>
          <cell r="AR43" t="e">
            <v>#N/A</v>
          </cell>
          <cell r="AS43">
            <v>59</v>
          </cell>
          <cell r="AT43" t="e">
            <v>#N/A</v>
          </cell>
          <cell r="AU43">
            <v>25.45</v>
          </cell>
          <cell r="AV43">
            <v>2</v>
          </cell>
          <cell r="AX43">
            <v>0</v>
          </cell>
          <cell r="AY43" t="e">
            <v>#N/A</v>
          </cell>
          <cell r="BA43">
            <v>3.51999999999998</v>
          </cell>
          <cell r="BB43" t="e">
            <v>#N/A</v>
          </cell>
          <cell r="BC43">
            <v>0</v>
          </cell>
          <cell r="BD43" t="e">
            <v>#N/A</v>
          </cell>
          <cell r="BE43" t="e">
            <v>#N/A</v>
          </cell>
          <cell r="BF43" t="e">
            <v>#N/A</v>
          </cell>
          <cell r="BL43">
            <v>0</v>
          </cell>
          <cell r="BM43" t="e">
            <v>#N/A</v>
          </cell>
          <cell r="BN43" t="e">
            <v>#N/A</v>
          </cell>
          <cell r="BO43" t="e">
            <v>#N/A</v>
          </cell>
          <cell r="BP43" t="e">
            <v>#N/A</v>
          </cell>
          <cell r="BQ43" t="e">
            <v>#N/A</v>
          </cell>
          <cell r="BR43">
            <v>-0.38784232365145227</v>
          </cell>
          <cell r="BT43">
            <v>-0.38784232365145227</v>
          </cell>
          <cell r="BU43" t="e">
            <v>#N/A</v>
          </cell>
          <cell r="BV43" t="e">
            <v>#N/A</v>
          </cell>
          <cell r="BW43" t="e">
            <v>#N/A</v>
          </cell>
          <cell r="BX43" t="e">
            <v>#N/A</v>
          </cell>
          <cell r="BY43" t="e">
            <v>#N/A</v>
          </cell>
          <cell r="BZ43" t="str">
            <v>CDI</v>
          </cell>
          <cell r="CA43" t="str">
            <v/>
          </cell>
          <cell r="CB43" t="str">
            <v/>
          </cell>
          <cell r="CC43" t="str">
            <v>BANQUE</v>
          </cell>
          <cell r="CD43" t="str">
            <v>160-Housekeeping</v>
          </cell>
          <cell r="CE43">
            <v>160</v>
          </cell>
        </row>
        <row r="44">
          <cell r="B44" t="str">
            <v>04092</v>
          </cell>
          <cell r="C44" t="str">
            <v>BIDUAYA MUAMBA ALAIN</v>
          </cell>
          <cell r="D44" t="str">
            <v>Housekeeping</v>
          </cell>
          <cell r="E44" t="str">
            <v>00018000360001063120089</v>
          </cell>
          <cell r="F44" t="str">
            <v>106449009050S</v>
          </cell>
          <cell r="G44" t="str">
            <v>Public Area Attendant</v>
          </cell>
          <cell r="H44">
            <v>5.8</v>
          </cell>
          <cell r="I44">
            <v>6.65</v>
          </cell>
          <cell r="J44">
            <v>6.65</v>
          </cell>
          <cell r="K44" t="str">
            <v>TSP0-3.II</v>
          </cell>
          <cell r="L44" t="str">
            <v>TRAVAILLEUR SPECIALISE</v>
          </cell>
          <cell r="M44" t="str">
            <v>CATEGORIE 1 A 5</v>
          </cell>
          <cell r="N44" t="str">
            <v>TRAVAILLEUR SPECIALISE (TS), Echellon 0 , Classe 3</v>
          </cell>
          <cell r="P44">
            <v>41153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E44">
            <v>172.9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>
            <v>0</v>
          </cell>
          <cell r="AR44" t="e">
            <v>#N/A</v>
          </cell>
          <cell r="AS44">
            <v>59</v>
          </cell>
          <cell r="AT44" t="e">
            <v>#N/A</v>
          </cell>
          <cell r="AU44">
            <v>25.45</v>
          </cell>
          <cell r="AV44">
            <v>2</v>
          </cell>
          <cell r="AX44">
            <v>0</v>
          </cell>
          <cell r="AY44" t="e">
            <v>#N/A</v>
          </cell>
          <cell r="BA44">
            <v>2.16</v>
          </cell>
          <cell r="BB44" t="e">
            <v>#N/A</v>
          </cell>
          <cell r="BC44">
            <v>0</v>
          </cell>
          <cell r="BD44" t="e">
            <v>#N/A</v>
          </cell>
          <cell r="BE44" t="e">
            <v>#N/A</v>
          </cell>
          <cell r="BF44" t="e">
            <v>#N/A</v>
          </cell>
          <cell r="BL44">
            <v>0</v>
          </cell>
          <cell r="BM44" t="e">
            <v>#N/A</v>
          </cell>
          <cell r="BN44" t="e">
            <v>#N/A</v>
          </cell>
          <cell r="BO44" t="e">
            <v>#N/A</v>
          </cell>
          <cell r="BP44" t="e">
            <v>#N/A</v>
          </cell>
          <cell r="BQ44" t="e">
            <v>#N/A</v>
          </cell>
          <cell r="BR44">
            <v>-0.38784232365145227</v>
          </cell>
          <cell r="BT44">
            <v>-0.38784232365145227</v>
          </cell>
          <cell r="BU44" t="e">
            <v>#N/A</v>
          </cell>
          <cell r="BV44" t="e">
            <v>#N/A</v>
          </cell>
          <cell r="BW44" t="e">
            <v>#N/A</v>
          </cell>
          <cell r="BX44" t="e">
            <v>#N/A</v>
          </cell>
          <cell r="BY44" t="e">
            <v>#N/A</v>
          </cell>
          <cell r="BZ44" t="str">
            <v>CDI</v>
          </cell>
          <cell r="CA44" t="str">
            <v/>
          </cell>
          <cell r="CB44" t="str">
            <v/>
          </cell>
          <cell r="CC44" t="str">
            <v>BANQUE</v>
          </cell>
          <cell r="CD44" t="str">
            <v>160-Housekeeping</v>
          </cell>
          <cell r="CE44">
            <v>160</v>
          </cell>
        </row>
        <row r="45">
          <cell r="B45" t="str">
            <v>04098</v>
          </cell>
          <cell r="C45" t="str">
            <v>MBONGO RISQUIN ARISTOTE</v>
          </cell>
          <cell r="D45" t="str">
            <v>Housekeeping</v>
          </cell>
          <cell r="E45" t="str">
            <v>00018000360001161120062</v>
          </cell>
          <cell r="F45" t="str">
            <v>107557612160A</v>
          </cell>
          <cell r="G45" t="str">
            <v>Public Area Attendant</v>
          </cell>
          <cell r="H45">
            <v>7.7</v>
          </cell>
          <cell r="I45">
            <v>8.9</v>
          </cell>
          <cell r="J45">
            <v>8.9</v>
          </cell>
          <cell r="K45" t="str">
            <v>TSQ2-5.III</v>
          </cell>
          <cell r="L45" t="str">
            <v>TRAVAILLEUR SEMI QUALIFIE</v>
          </cell>
          <cell r="M45" t="str">
            <v>CATEGORIE 1 A 5</v>
          </cell>
          <cell r="N45" t="str">
            <v>TRAVAILLEUR SEMI QUALIFIE (TSQ), Echellon 2, Classe 5</v>
          </cell>
          <cell r="P45">
            <v>41153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E45">
            <v>231.4</v>
          </cell>
          <cell r="AF45" t="e">
            <v>#N/A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>
            <v>0</v>
          </cell>
          <cell r="AR45" t="e">
            <v>#N/A</v>
          </cell>
          <cell r="AS45">
            <v>59</v>
          </cell>
          <cell r="AT45" t="e">
            <v>#N/A</v>
          </cell>
          <cell r="AU45">
            <v>16.95</v>
          </cell>
          <cell r="AV45">
            <v>0</v>
          </cell>
          <cell r="AX45">
            <v>0</v>
          </cell>
          <cell r="AY45" t="e">
            <v>#N/A</v>
          </cell>
          <cell r="BA45">
            <v>1.82000000000005</v>
          </cell>
          <cell r="BB45" t="e">
            <v>#N/A</v>
          </cell>
          <cell r="BC45">
            <v>0</v>
          </cell>
          <cell r="BD45" t="e">
            <v>#N/A</v>
          </cell>
          <cell r="BE45" t="e">
            <v>#N/A</v>
          </cell>
          <cell r="BF45" t="e">
            <v>#N/A</v>
          </cell>
          <cell r="BL45">
            <v>0</v>
          </cell>
          <cell r="BM45" t="e">
            <v>#N/A</v>
          </cell>
          <cell r="BN45" t="e">
            <v>#N/A</v>
          </cell>
          <cell r="BO45" t="e">
            <v>#N/A</v>
          </cell>
          <cell r="BP45" t="e">
            <v>#N/A</v>
          </cell>
          <cell r="BQ45" t="e">
            <v>#N/A</v>
          </cell>
          <cell r="BR45">
            <v>-0.38784232365145227</v>
          </cell>
          <cell r="BT45">
            <v>-0.38784232365145227</v>
          </cell>
          <cell r="BU45" t="e">
            <v>#N/A</v>
          </cell>
          <cell r="BV45" t="e">
            <v>#N/A</v>
          </cell>
          <cell r="BW45" t="e">
            <v>#N/A</v>
          </cell>
          <cell r="BX45" t="e">
            <v>#N/A</v>
          </cell>
          <cell r="BY45" t="e">
            <v>#N/A</v>
          </cell>
          <cell r="BZ45" t="str">
            <v>CDI</v>
          </cell>
          <cell r="CA45" t="str">
            <v/>
          </cell>
          <cell r="CB45" t="str">
            <v/>
          </cell>
          <cell r="CC45" t="str">
            <v>BANQUE</v>
          </cell>
          <cell r="CD45" t="str">
            <v>160-Housekeeping</v>
          </cell>
          <cell r="CE45">
            <v>160</v>
          </cell>
        </row>
        <row r="46">
          <cell r="B46" t="str">
            <v>04101</v>
          </cell>
          <cell r="C46" t="str">
            <v>MWAYILA MALEMBE STEVE</v>
          </cell>
          <cell r="D46" t="str">
            <v>Housekeeping</v>
          </cell>
          <cell r="E46" t="str">
            <v>00018000360001276120061</v>
          </cell>
          <cell r="F46" t="str">
            <v>109348211280P</v>
          </cell>
          <cell r="G46" t="str">
            <v>Public Area Supervisor</v>
          </cell>
          <cell r="H46">
            <v>13.7</v>
          </cell>
          <cell r="I46">
            <v>15.85</v>
          </cell>
          <cell r="J46">
            <v>15.850000000000001</v>
          </cell>
          <cell r="K46" t="str">
            <v>THQ0-9.V</v>
          </cell>
          <cell r="L46" t="str">
            <v>TRAVAILLEUR HAUTEMENT QUALIFIE</v>
          </cell>
          <cell r="M46" t="str">
            <v>CATEGORIE 1 A 5</v>
          </cell>
          <cell r="N46" t="str">
            <v>TRAVAILLEUR HAUTEMENT QUALIFIE (THQ), Echellon 0, Classe 9</v>
          </cell>
          <cell r="P46">
            <v>41153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E46">
            <v>412.1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>
            <v>0</v>
          </cell>
          <cell r="AR46" t="e">
            <v>#N/A</v>
          </cell>
          <cell r="AS46">
            <v>65</v>
          </cell>
          <cell r="AT46" t="e">
            <v>#N/A</v>
          </cell>
          <cell r="AU46">
            <v>59.03</v>
          </cell>
          <cell r="AV46">
            <v>5</v>
          </cell>
          <cell r="AX46">
            <v>0</v>
          </cell>
          <cell r="AY46" t="e">
            <v>#N/A</v>
          </cell>
          <cell r="BA46">
            <v>7.8000000000000096</v>
          </cell>
          <cell r="BB46" t="e">
            <v>#N/A</v>
          </cell>
          <cell r="BC46">
            <v>0</v>
          </cell>
          <cell r="BD46" t="e">
            <v>#N/A</v>
          </cell>
          <cell r="BE46" t="e">
            <v>#N/A</v>
          </cell>
          <cell r="BF46" t="e">
            <v>#N/A</v>
          </cell>
          <cell r="BL46">
            <v>0</v>
          </cell>
          <cell r="BM46" t="e">
            <v>#N/A</v>
          </cell>
          <cell r="BN46" t="e">
            <v>#N/A</v>
          </cell>
          <cell r="BO46" t="e">
            <v>#N/A</v>
          </cell>
          <cell r="BP46" t="e">
            <v>#N/A</v>
          </cell>
          <cell r="BQ46" t="e">
            <v>#N/A</v>
          </cell>
          <cell r="BR46">
            <v>-0.38784232365145227</v>
          </cell>
          <cell r="BT46">
            <v>-0.38784232365145227</v>
          </cell>
          <cell r="BU46" t="e">
            <v>#N/A</v>
          </cell>
          <cell r="BV46" t="e">
            <v>#N/A</v>
          </cell>
          <cell r="BW46" t="e">
            <v>#N/A</v>
          </cell>
          <cell r="BX46" t="e">
            <v>#N/A</v>
          </cell>
          <cell r="BY46" t="e">
            <v>#N/A</v>
          </cell>
          <cell r="BZ46" t="str">
            <v>CDI</v>
          </cell>
          <cell r="CA46" t="str">
            <v/>
          </cell>
          <cell r="CB46" t="str">
            <v/>
          </cell>
          <cell r="CC46" t="str">
            <v>BANQUE</v>
          </cell>
          <cell r="CD46" t="str">
            <v>160-Housekeeping</v>
          </cell>
          <cell r="CE46">
            <v>160</v>
          </cell>
        </row>
        <row r="47">
          <cell r="B47" t="str">
            <v>04103</v>
          </cell>
          <cell r="C47" t="str">
            <v>KALALA NDALA VALERIN</v>
          </cell>
          <cell r="D47" t="str">
            <v>Housekeeping</v>
          </cell>
          <cell r="E47" t="str">
            <v>00018000360001109120011</v>
          </cell>
          <cell r="F47" t="str">
            <v>209428101130I</v>
          </cell>
          <cell r="G47" t="str">
            <v>Public Area Supervisor</v>
          </cell>
          <cell r="H47">
            <v>10.3</v>
          </cell>
          <cell r="I47">
            <v>11.85</v>
          </cell>
          <cell r="J47">
            <v>11.850000000000001</v>
          </cell>
          <cell r="K47" t="str">
            <v>TRQ1-7.IV</v>
          </cell>
          <cell r="L47" t="str">
            <v>TRAVAILLEUR QUALIFIE</v>
          </cell>
          <cell r="M47" t="str">
            <v>CATEGORIE 1 A 5</v>
          </cell>
          <cell r="N47" t="str">
            <v>TRAVAILLEUR QUALIFIE (TQ), Echellon 1, Classe 7</v>
          </cell>
          <cell r="P47">
            <v>41153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E47">
            <v>308.10000000000002</v>
          </cell>
          <cell r="AF47" t="e">
            <v>#N/A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>
            <v>0</v>
          </cell>
          <cell r="AR47" t="e">
            <v>#N/A</v>
          </cell>
          <cell r="AS47">
            <v>65</v>
          </cell>
          <cell r="AT47" t="e">
            <v>#N/A</v>
          </cell>
          <cell r="AU47">
            <v>61.9</v>
          </cell>
          <cell r="AV47">
            <v>6</v>
          </cell>
          <cell r="AY47" t="e">
            <v>#N/A</v>
          </cell>
          <cell r="BA47">
            <v>1.55000000000001</v>
          </cell>
          <cell r="BB47" t="e">
            <v>#N/A</v>
          </cell>
          <cell r="BC47">
            <v>0</v>
          </cell>
          <cell r="BD47" t="e">
            <v>#N/A</v>
          </cell>
          <cell r="BE47" t="e">
            <v>#N/A</v>
          </cell>
          <cell r="BF47" t="e">
            <v>#N/A</v>
          </cell>
          <cell r="BL47">
            <v>0</v>
          </cell>
          <cell r="BM47" t="e">
            <v>#N/A</v>
          </cell>
          <cell r="BN47" t="e">
            <v>#N/A</v>
          </cell>
          <cell r="BO47" t="e">
            <v>#N/A</v>
          </cell>
          <cell r="BP47" t="e">
            <v>#N/A</v>
          </cell>
          <cell r="BQ47" t="e">
            <v>#N/A</v>
          </cell>
          <cell r="BR47">
            <v>-0.38784232365145227</v>
          </cell>
          <cell r="BT47">
            <v>-0.38784232365145227</v>
          </cell>
          <cell r="BU47" t="e">
            <v>#N/A</v>
          </cell>
          <cell r="BV47" t="e">
            <v>#N/A</v>
          </cell>
          <cell r="BW47" t="e">
            <v>#N/A</v>
          </cell>
          <cell r="BX47" t="e">
            <v>#N/A</v>
          </cell>
          <cell r="BY47" t="e">
            <v>#N/A</v>
          </cell>
          <cell r="BZ47" t="str">
            <v>CDI</v>
          </cell>
          <cell r="CA47" t="str">
            <v/>
          </cell>
          <cell r="CB47" t="str">
            <v/>
          </cell>
          <cell r="CC47" t="str">
            <v>BANQUE</v>
          </cell>
          <cell r="CD47" t="str">
            <v>160-Housekeeping</v>
          </cell>
          <cell r="CE47">
            <v>160</v>
          </cell>
        </row>
        <row r="48">
          <cell r="B48" t="str">
            <v>04104</v>
          </cell>
          <cell r="C48" t="str">
            <v>IBANDA MAYAMBA AXEL</v>
          </cell>
          <cell r="D48" t="str">
            <v>Housekeeping</v>
          </cell>
          <cell r="E48" t="str">
            <v>00018000360001090120039</v>
          </cell>
          <cell r="F48" t="str">
            <v>103219303230O</v>
          </cell>
          <cell r="G48" t="str">
            <v>Public Area Supervisor</v>
          </cell>
          <cell r="H48">
            <v>10.3</v>
          </cell>
          <cell r="I48">
            <v>11.85</v>
          </cell>
          <cell r="J48">
            <v>11.850000000000001</v>
          </cell>
          <cell r="K48" t="str">
            <v>TRQ1-7.IV</v>
          </cell>
          <cell r="L48" t="str">
            <v>TRAVAILLEUR QUALIFIE</v>
          </cell>
          <cell r="M48" t="str">
            <v>CATEGORIE 1 A 5</v>
          </cell>
          <cell r="N48" t="str">
            <v>TRAVAILLEUR QUALIFIE (TQ), Echellon 1, Classe 7</v>
          </cell>
          <cell r="P48">
            <v>41153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  <cell r="AA48" t="e">
            <v>#N/A</v>
          </cell>
          <cell r="AB48" t="e">
            <v>#N/A</v>
          </cell>
          <cell r="AC48" t="e">
            <v>#N/A</v>
          </cell>
          <cell r="AE48">
            <v>308.10000000000002</v>
          </cell>
          <cell r="AF48" t="e">
            <v>#N/A</v>
          </cell>
          <cell r="AG48" t="e">
            <v>#N/A</v>
          </cell>
          <cell r="AH48" t="e">
            <v>#N/A</v>
          </cell>
          <cell r="AI48" t="e">
            <v>#N/A</v>
          </cell>
          <cell r="AJ48" t="e">
            <v>#N/A</v>
          </cell>
          <cell r="AK48" t="e">
            <v>#N/A</v>
          </cell>
          <cell r="AL48" t="e">
            <v>#N/A</v>
          </cell>
          <cell r="AM48" t="e">
            <v>#N/A</v>
          </cell>
          <cell r="AN48">
            <v>0</v>
          </cell>
          <cell r="AR48" t="e">
            <v>#N/A</v>
          </cell>
          <cell r="AS48">
            <v>65</v>
          </cell>
          <cell r="AT48" t="e">
            <v>#N/A</v>
          </cell>
          <cell r="AU48">
            <v>61.9</v>
          </cell>
          <cell r="AV48">
            <v>0</v>
          </cell>
          <cell r="AX48">
            <v>0</v>
          </cell>
          <cell r="AY48" t="e">
            <v>#N/A</v>
          </cell>
          <cell r="BA48">
            <v>3.49000000000001</v>
          </cell>
          <cell r="BB48" t="e">
            <v>#N/A</v>
          </cell>
          <cell r="BC48">
            <v>0</v>
          </cell>
          <cell r="BD48" t="e">
            <v>#N/A</v>
          </cell>
          <cell r="BE48" t="e">
            <v>#N/A</v>
          </cell>
          <cell r="BF48" t="e">
            <v>#N/A</v>
          </cell>
          <cell r="BL48">
            <v>0</v>
          </cell>
          <cell r="BM48" t="e">
            <v>#N/A</v>
          </cell>
          <cell r="BN48" t="e">
            <v>#N/A</v>
          </cell>
          <cell r="BO48" t="e">
            <v>#N/A</v>
          </cell>
          <cell r="BP48" t="e">
            <v>#N/A</v>
          </cell>
          <cell r="BQ48" t="e">
            <v>#N/A</v>
          </cell>
          <cell r="BR48">
            <v>-0.38784232365145227</v>
          </cell>
          <cell r="BT48">
            <v>-0.38784232365145227</v>
          </cell>
          <cell r="BU48" t="e">
            <v>#N/A</v>
          </cell>
          <cell r="BV48" t="e">
            <v>#N/A</v>
          </cell>
          <cell r="BW48" t="e">
            <v>#N/A</v>
          </cell>
          <cell r="BX48" t="e">
            <v>#N/A</v>
          </cell>
          <cell r="BY48" t="e">
            <v>#N/A</v>
          </cell>
          <cell r="BZ48" t="str">
            <v>CDI</v>
          </cell>
          <cell r="CA48" t="str">
            <v/>
          </cell>
          <cell r="CB48" t="str">
            <v/>
          </cell>
          <cell r="CC48" t="str">
            <v>BANQUE</v>
          </cell>
          <cell r="CD48" t="str">
            <v>160-Housekeeping</v>
          </cell>
          <cell r="CE48">
            <v>160</v>
          </cell>
        </row>
        <row r="49">
          <cell r="B49" t="str">
            <v>04105</v>
          </cell>
          <cell r="C49" t="str">
            <v>KALALA MOKENZA PETER</v>
          </cell>
          <cell r="D49" t="str">
            <v>Housekeeping</v>
          </cell>
          <cell r="E49" t="str">
            <v>00018000360001108120038</v>
          </cell>
          <cell r="F49" t="str">
            <v>208419411250O</v>
          </cell>
          <cell r="G49" t="str">
            <v>Public Area Supervisor</v>
          </cell>
          <cell r="H49">
            <v>10.3</v>
          </cell>
          <cell r="I49">
            <v>11.85</v>
          </cell>
          <cell r="J49">
            <v>11.850000000000001</v>
          </cell>
          <cell r="K49" t="str">
            <v>TRQ1-7.IV</v>
          </cell>
          <cell r="L49" t="str">
            <v>TRAVAILLEUR QUALIFIE</v>
          </cell>
          <cell r="M49" t="str">
            <v>CATEGORIE 1 A 5</v>
          </cell>
          <cell r="N49" t="str">
            <v>TRAVAILLEUR QUALIFIE (TQ), Echellon 1, Classe 7</v>
          </cell>
          <cell r="P49">
            <v>41153</v>
          </cell>
          <cell r="Q49" t="e">
            <v>#N/A</v>
          </cell>
          <cell r="R49" t="e">
            <v>#N/A</v>
          </cell>
          <cell r="S49" t="e">
            <v>#N/A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X49" t="e">
            <v>#N/A</v>
          </cell>
          <cell r="Y49" t="e">
            <v>#N/A</v>
          </cell>
          <cell r="Z49" t="e">
            <v>#N/A</v>
          </cell>
          <cell r="AA49" t="e">
            <v>#N/A</v>
          </cell>
          <cell r="AB49" t="e">
            <v>#N/A</v>
          </cell>
          <cell r="AC49" t="e">
            <v>#N/A</v>
          </cell>
          <cell r="AE49">
            <v>308.10000000000002</v>
          </cell>
          <cell r="AF49" t="e">
            <v>#N/A</v>
          </cell>
          <cell r="AG49" t="e">
            <v>#N/A</v>
          </cell>
          <cell r="AH49" t="e">
            <v>#N/A</v>
          </cell>
          <cell r="AI49" t="e">
            <v>#N/A</v>
          </cell>
          <cell r="AJ49" t="e">
            <v>#N/A</v>
          </cell>
          <cell r="AK49" t="e">
            <v>#N/A</v>
          </cell>
          <cell r="AL49" t="e">
            <v>#N/A</v>
          </cell>
          <cell r="AM49" t="e">
            <v>#N/A</v>
          </cell>
          <cell r="AN49">
            <v>0</v>
          </cell>
          <cell r="AR49" t="e">
            <v>#N/A</v>
          </cell>
          <cell r="AS49">
            <v>59</v>
          </cell>
          <cell r="AT49" t="e">
            <v>#N/A</v>
          </cell>
          <cell r="AU49">
            <v>46.21</v>
          </cell>
          <cell r="AV49">
            <v>2</v>
          </cell>
          <cell r="AX49">
            <v>0</v>
          </cell>
          <cell r="AY49" t="e">
            <v>#N/A</v>
          </cell>
          <cell r="BB49" t="e">
            <v>#N/A</v>
          </cell>
          <cell r="BC49">
            <v>0</v>
          </cell>
          <cell r="BD49" t="e">
            <v>#N/A</v>
          </cell>
          <cell r="BE49" t="e">
            <v>#N/A</v>
          </cell>
          <cell r="BF49" t="e">
            <v>#N/A</v>
          </cell>
          <cell r="BL49">
            <v>0</v>
          </cell>
          <cell r="BM49" t="e">
            <v>#N/A</v>
          </cell>
          <cell r="BN49" t="e">
            <v>#N/A</v>
          </cell>
          <cell r="BO49" t="e">
            <v>#N/A</v>
          </cell>
          <cell r="BP49" t="e">
            <v>#N/A</v>
          </cell>
          <cell r="BQ49" t="e">
            <v>#N/A</v>
          </cell>
          <cell r="BR49">
            <v>-0.38784232365145227</v>
          </cell>
          <cell r="BT49">
            <v>-0.38784232365145227</v>
          </cell>
          <cell r="BU49" t="e">
            <v>#N/A</v>
          </cell>
          <cell r="BV49" t="e">
            <v>#N/A</v>
          </cell>
          <cell r="BW49" t="e">
            <v>#N/A</v>
          </cell>
          <cell r="BX49" t="e">
            <v>#N/A</v>
          </cell>
          <cell r="BY49" t="e">
            <v>#N/A</v>
          </cell>
          <cell r="BZ49" t="str">
            <v>CDI</v>
          </cell>
          <cell r="CA49" t="str">
            <v/>
          </cell>
          <cell r="CB49" t="str">
            <v/>
          </cell>
          <cell r="CC49" t="str">
            <v>BANQUE</v>
          </cell>
          <cell r="CD49" t="str">
            <v>160-Housekeeping</v>
          </cell>
          <cell r="CE49">
            <v>160</v>
          </cell>
        </row>
        <row r="50">
          <cell r="B50" t="str">
            <v>04141</v>
          </cell>
          <cell r="C50" t="str">
            <v>LUKUSA TSHILUMBA CEDRICK</v>
          </cell>
          <cell r="D50" t="str">
            <v>Housekeeping</v>
          </cell>
          <cell r="E50" t="str">
            <v>00018000360001257120089</v>
          </cell>
          <cell r="F50" t="str">
            <v>107238406260O</v>
          </cell>
          <cell r="G50" t="str">
            <v>Public Area Attendant</v>
          </cell>
          <cell r="H50">
            <v>5.8</v>
          </cell>
          <cell r="I50">
            <v>6.65</v>
          </cell>
          <cell r="J50">
            <v>6.65</v>
          </cell>
          <cell r="K50" t="str">
            <v>TSP0-3.II</v>
          </cell>
          <cell r="L50" t="str">
            <v>TRAVAILLEUR SPECIALISE</v>
          </cell>
          <cell r="M50" t="str">
            <v>CATEGORIE 1 A 5</v>
          </cell>
          <cell r="N50" t="str">
            <v>TRAVAILLEUR SPECIALISE (TS), Echellon 0 , Classe 3</v>
          </cell>
          <cell r="P50">
            <v>41153</v>
          </cell>
          <cell r="Q50" t="e">
            <v>#N/A</v>
          </cell>
          <cell r="R50" t="e">
            <v>#N/A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X50" t="e">
            <v>#N/A</v>
          </cell>
          <cell r="Y50" t="e">
            <v>#N/A</v>
          </cell>
          <cell r="Z50" t="e">
            <v>#N/A</v>
          </cell>
          <cell r="AA50" t="e">
            <v>#N/A</v>
          </cell>
          <cell r="AB50" t="e">
            <v>#N/A</v>
          </cell>
          <cell r="AC50" t="e">
            <v>#N/A</v>
          </cell>
          <cell r="AE50">
            <v>172.9</v>
          </cell>
          <cell r="AF50" t="e">
            <v>#N/A</v>
          </cell>
          <cell r="AG50" t="e">
            <v>#N/A</v>
          </cell>
          <cell r="AH50" t="e">
            <v>#N/A</v>
          </cell>
          <cell r="AI50" t="e">
            <v>#N/A</v>
          </cell>
          <cell r="AJ50" t="e">
            <v>#N/A</v>
          </cell>
          <cell r="AK50" t="e">
            <v>#N/A</v>
          </cell>
          <cell r="AL50" t="e">
            <v>#N/A</v>
          </cell>
          <cell r="AM50" t="e">
            <v>#N/A</v>
          </cell>
          <cell r="AN50">
            <v>0</v>
          </cell>
          <cell r="AR50" t="e">
            <v>#N/A</v>
          </cell>
          <cell r="AS50">
            <v>59</v>
          </cell>
          <cell r="AT50" t="e">
            <v>#N/A</v>
          </cell>
          <cell r="AU50">
            <v>25.45</v>
          </cell>
          <cell r="AV50">
            <v>5</v>
          </cell>
          <cell r="AX50">
            <v>20</v>
          </cell>
          <cell r="AY50" t="e">
            <v>#N/A</v>
          </cell>
          <cell r="BA50">
            <v>3.4700000000000299</v>
          </cell>
          <cell r="BB50" t="e">
            <v>#N/A</v>
          </cell>
          <cell r="BD50" t="e">
            <v>#N/A</v>
          </cell>
          <cell r="BE50" t="e">
            <v>#N/A</v>
          </cell>
          <cell r="BF50" t="e">
            <v>#N/A</v>
          </cell>
          <cell r="BL50">
            <v>0</v>
          </cell>
          <cell r="BM50" t="e">
            <v>#N/A</v>
          </cell>
          <cell r="BN50" t="e">
            <v>#N/A</v>
          </cell>
          <cell r="BO50" t="e">
            <v>#N/A</v>
          </cell>
          <cell r="BP50" t="e">
            <v>#N/A</v>
          </cell>
          <cell r="BQ50" t="e">
            <v>#N/A</v>
          </cell>
          <cell r="BR50">
            <v>-0.38784232365145227</v>
          </cell>
          <cell r="BT50">
            <v>-0.38784232365145227</v>
          </cell>
          <cell r="BU50" t="e">
            <v>#N/A</v>
          </cell>
          <cell r="BV50" t="e">
            <v>#N/A</v>
          </cell>
          <cell r="BW50" t="e">
            <v>#N/A</v>
          </cell>
          <cell r="BX50" t="e">
            <v>#N/A</v>
          </cell>
          <cell r="BY50" t="e">
            <v>#N/A</v>
          </cell>
          <cell r="BZ50" t="str">
            <v>CDI</v>
          </cell>
          <cell r="CA50" t="str">
            <v/>
          </cell>
          <cell r="CB50" t="str">
            <v/>
          </cell>
          <cell r="CC50" t="str">
            <v>BANQUE</v>
          </cell>
          <cell r="CD50" t="str">
            <v>160-Housekeeping</v>
          </cell>
          <cell r="CE50">
            <v>160</v>
          </cell>
        </row>
        <row r="51">
          <cell r="B51" t="str">
            <v>04144</v>
          </cell>
          <cell r="C51" t="str">
            <v>NELESE SINGA GIRESSE</v>
          </cell>
          <cell r="D51" t="str">
            <v>Housekeeping</v>
          </cell>
          <cell r="E51" t="str">
            <v>00018000360001279120077</v>
          </cell>
          <cell r="F51" t="str">
            <v>108537312160E</v>
          </cell>
          <cell r="G51" t="str">
            <v>Housekeeping Pest Control Attend</v>
          </cell>
          <cell r="H51">
            <v>7.7</v>
          </cell>
          <cell r="I51">
            <v>8.9</v>
          </cell>
          <cell r="J51">
            <v>8.9</v>
          </cell>
          <cell r="K51" t="str">
            <v>TSQ2-5.III</v>
          </cell>
          <cell r="L51" t="str">
            <v>TRAVAILLEUR SEMI QUALIFIE</v>
          </cell>
          <cell r="M51" t="str">
            <v>CATEGORIE 1 A 5</v>
          </cell>
          <cell r="N51" t="str">
            <v>TRAVAILLEUR SEMI QUALIFIE (TSQ), Echellon 2, Classe 5</v>
          </cell>
          <cell r="P51">
            <v>41153</v>
          </cell>
          <cell r="Q51" t="e">
            <v>#N/A</v>
          </cell>
          <cell r="R51" t="e">
            <v>#N/A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X51" t="e">
            <v>#N/A</v>
          </cell>
          <cell r="Y51" t="e">
            <v>#N/A</v>
          </cell>
          <cell r="Z51" t="e">
            <v>#N/A</v>
          </cell>
          <cell r="AA51" t="e">
            <v>#N/A</v>
          </cell>
          <cell r="AB51" t="e">
            <v>#N/A</v>
          </cell>
          <cell r="AC51" t="e">
            <v>#N/A</v>
          </cell>
          <cell r="AE51">
            <v>231.4</v>
          </cell>
          <cell r="AF51" t="e">
            <v>#N/A</v>
          </cell>
          <cell r="AG51" t="e">
            <v>#N/A</v>
          </cell>
          <cell r="AH51" t="e">
            <v>#N/A</v>
          </cell>
          <cell r="AI51" t="e">
            <v>#N/A</v>
          </cell>
          <cell r="AJ51" t="e">
            <v>#N/A</v>
          </cell>
          <cell r="AK51" t="e">
            <v>#N/A</v>
          </cell>
          <cell r="AL51" t="e">
            <v>#N/A</v>
          </cell>
          <cell r="AM51" t="e">
            <v>#N/A</v>
          </cell>
          <cell r="AN51">
            <v>0</v>
          </cell>
          <cell r="AR51" t="e">
            <v>#N/A</v>
          </cell>
          <cell r="AS51">
            <v>65</v>
          </cell>
          <cell r="AT51" t="e">
            <v>#N/A</v>
          </cell>
          <cell r="AU51">
            <v>19.600000000000001</v>
          </cell>
          <cell r="AV51">
            <v>2</v>
          </cell>
          <cell r="AX51">
            <v>0</v>
          </cell>
          <cell r="AY51" t="e">
            <v>#N/A</v>
          </cell>
          <cell r="BA51">
            <v>0.68000000000000704</v>
          </cell>
          <cell r="BB51" t="e">
            <v>#N/A</v>
          </cell>
          <cell r="BC51">
            <v>0</v>
          </cell>
          <cell r="BD51" t="e">
            <v>#N/A</v>
          </cell>
          <cell r="BE51" t="e">
            <v>#N/A</v>
          </cell>
          <cell r="BF51" t="e">
            <v>#N/A</v>
          </cell>
          <cell r="BL51">
            <v>0</v>
          </cell>
          <cell r="BM51" t="e">
            <v>#N/A</v>
          </cell>
          <cell r="BN51" t="e">
            <v>#N/A</v>
          </cell>
          <cell r="BO51" t="e">
            <v>#N/A</v>
          </cell>
          <cell r="BP51" t="e">
            <v>#N/A</v>
          </cell>
          <cell r="BQ51" t="e">
            <v>#N/A</v>
          </cell>
          <cell r="BR51">
            <v>-0.38784232365145227</v>
          </cell>
          <cell r="BT51">
            <v>-0.38784232365145227</v>
          </cell>
          <cell r="BU51" t="e">
            <v>#N/A</v>
          </cell>
          <cell r="BV51" t="e">
            <v>#N/A</v>
          </cell>
          <cell r="BW51" t="e">
            <v>#N/A</v>
          </cell>
          <cell r="BX51" t="e">
            <v>#N/A</v>
          </cell>
          <cell r="BY51" t="e">
            <v>#N/A</v>
          </cell>
          <cell r="BZ51" t="str">
            <v>CDI</v>
          </cell>
          <cell r="CA51" t="str">
            <v/>
          </cell>
          <cell r="CB51" t="str">
            <v/>
          </cell>
          <cell r="CC51" t="str">
            <v>BANQUE</v>
          </cell>
          <cell r="CD51" t="str">
            <v>160-Housekeeping</v>
          </cell>
          <cell r="CE51">
            <v>160</v>
          </cell>
        </row>
        <row r="52">
          <cell r="B52" t="str">
            <v>04146</v>
          </cell>
          <cell r="C52" t="str">
            <v>MUNZONZIMBU KABUNGA MIMIE</v>
          </cell>
          <cell r="D52" t="str">
            <v>Housekeeping</v>
          </cell>
          <cell r="E52" t="str">
            <v>00018000360001274120018</v>
          </cell>
          <cell r="F52" t="str">
            <v>209328820180Q</v>
          </cell>
          <cell r="G52" t="str">
            <v>Public Area Attendant</v>
          </cell>
          <cell r="H52">
            <v>5.8</v>
          </cell>
          <cell r="I52">
            <v>6.65</v>
          </cell>
          <cell r="J52">
            <v>6.65</v>
          </cell>
          <cell r="K52" t="str">
            <v>TSP0-3.II</v>
          </cell>
          <cell r="L52" t="str">
            <v>TRAVAILLEUR SPECIALISE</v>
          </cell>
          <cell r="M52" t="str">
            <v>CATEGORIE 1 A 5</v>
          </cell>
          <cell r="N52" t="str">
            <v>TRAVAILLEUR SPECIALISE (TS), Echellon 0 , Classe 3</v>
          </cell>
          <cell r="P52">
            <v>41153</v>
          </cell>
          <cell r="Q52" t="e">
            <v>#N/A</v>
          </cell>
          <cell r="R52" t="e">
            <v>#N/A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X52" t="e">
            <v>#N/A</v>
          </cell>
          <cell r="Y52" t="e">
            <v>#N/A</v>
          </cell>
          <cell r="Z52" t="e">
            <v>#N/A</v>
          </cell>
          <cell r="AA52" t="e">
            <v>#N/A</v>
          </cell>
          <cell r="AB52" t="e">
            <v>#N/A</v>
          </cell>
          <cell r="AC52" t="e">
            <v>#N/A</v>
          </cell>
          <cell r="AE52">
            <v>172.9</v>
          </cell>
          <cell r="AF52" t="e">
            <v>#N/A</v>
          </cell>
          <cell r="AG52" t="e">
            <v>#N/A</v>
          </cell>
          <cell r="AH52" t="e">
            <v>#N/A</v>
          </cell>
          <cell r="AI52" t="e">
            <v>#N/A</v>
          </cell>
          <cell r="AJ52" t="e">
            <v>#N/A</v>
          </cell>
          <cell r="AK52" t="e">
            <v>#N/A</v>
          </cell>
          <cell r="AL52" t="e">
            <v>#N/A</v>
          </cell>
          <cell r="AM52" t="e">
            <v>#N/A</v>
          </cell>
          <cell r="AN52">
            <v>0</v>
          </cell>
          <cell r="AR52" t="e">
            <v>#N/A</v>
          </cell>
          <cell r="AS52">
            <v>59</v>
          </cell>
          <cell r="AT52" t="e">
            <v>#N/A</v>
          </cell>
          <cell r="AU52">
            <v>25.45</v>
          </cell>
          <cell r="AV52">
            <v>4</v>
          </cell>
          <cell r="AX52">
            <v>0</v>
          </cell>
          <cell r="AY52" t="e">
            <v>#N/A</v>
          </cell>
          <cell r="BA52">
            <v>3.9899999999999798</v>
          </cell>
          <cell r="BB52" t="e">
            <v>#N/A</v>
          </cell>
          <cell r="BC52">
            <v>0</v>
          </cell>
          <cell r="BD52" t="e">
            <v>#N/A</v>
          </cell>
          <cell r="BE52" t="e">
            <v>#N/A</v>
          </cell>
          <cell r="BF52" t="e">
            <v>#N/A</v>
          </cell>
          <cell r="BL52">
            <v>0</v>
          </cell>
          <cell r="BM52" t="e">
            <v>#N/A</v>
          </cell>
          <cell r="BN52" t="e">
            <v>#N/A</v>
          </cell>
          <cell r="BO52" t="e">
            <v>#N/A</v>
          </cell>
          <cell r="BP52" t="e">
            <v>#N/A</v>
          </cell>
          <cell r="BQ52" t="e">
            <v>#N/A</v>
          </cell>
          <cell r="BR52">
            <v>-0.38784232365145227</v>
          </cell>
          <cell r="BT52">
            <v>-0.38784232365145227</v>
          </cell>
          <cell r="BU52" t="e">
            <v>#N/A</v>
          </cell>
          <cell r="BV52" t="e">
            <v>#N/A</v>
          </cell>
          <cell r="BW52" t="e">
            <v>#N/A</v>
          </cell>
          <cell r="BX52" t="e">
            <v>#N/A</v>
          </cell>
          <cell r="BY52" t="e">
            <v>#N/A</v>
          </cell>
          <cell r="BZ52" t="str">
            <v>CDI</v>
          </cell>
          <cell r="CA52" t="str">
            <v/>
          </cell>
          <cell r="CB52" t="str">
            <v/>
          </cell>
          <cell r="CC52" t="str">
            <v>BANQUE</v>
          </cell>
          <cell r="CD52" t="str">
            <v>160-Housekeeping</v>
          </cell>
          <cell r="CE52">
            <v>160</v>
          </cell>
        </row>
        <row r="53">
          <cell r="B53" t="str">
            <v>04183</v>
          </cell>
          <cell r="C53" t="str">
            <v>MULUNDU MUSASA VICTOR</v>
          </cell>
          <cell r="D53" t="str">
            <v>Housekeeping</v>
          </cell>
          <cell r="E53" t="str">
            <v>00018000360001177120018</v>
          </cell>
          <cell r="F53" t="str">
            <v>109357703240N</v>
          </cell>
          <cell r="G53" t="str">
            <v>Public Area Attendant</v>
          </cell>
          <cell r="H53">
            <v>7.7</v>
          </cell>
          <cell r="I53">
            <v>8.9</v>
          </cell>
          <cell r="J53">
            <v>8.9</v>
          </cell>
          <cell r="K53" t="str">
            <v>TSQ2-5.III</v>
          </cell>
          <cell r="L53" t="str">
            <v>TRAVAILLEUR SEMI QUALIFIE</v>
          </cell>
          <cell r="M53" t="str">
            <v>CATEGORIE 1 A 5</v>
          </cell>
          <cell r="N53" t="str">
            <v>TRAVAILLEUR SEMI QUALIFIE (TSQ), Echellon 2, Classe 5</v>
          </cell>
          <cell r="P53">
            <v>41153</v>
          </cell>
          <cell r="Q53" t="e">
            <v>#N/A</v>
          </cell>
          <cell r="R53" t="e">
            <v>#N/A</v>
          </cell>
          <cell r="S53" t="e">
            <v>#N/A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X53" t="e">
            <v>#N/A</v>
          </cell>
          <cell r="Y53" t="e">
            <v>#N/A</v>
          </cell>
          <cell r="Z53" t="e">
            <v>#N/A</v>
          </cell>
          <cell r="AA53" t="e">
            <v>#N/A</v>
          </cell>
          <cell r="AB53" t="e">
            <v>#N/A</v>
          </cell>
          <cell r="AC53" t="e">
            <v>#N/A</v>
          </cell>
          <cell r="AE53">
            <v>231.4</v>
          </cell>
          <cell r="AF53" t="e">
            <v>#N/A</v>
          </cell>
          <cell r="AG53" t="e">
            <v>#N/A</v>
          </cell>
          <cell r="AH53" t="e">
            <v>#N/A</v>
          </cell>
          <cell r="AI53" t="e">
            <v>#N/A</v>
          </cell>
          <cell r="AJ53" t="e">
            <v>#N/A</v>
          </cell>
          <cell r="AK53" t="e">
            <v>#N/A</v>
          </cell>
          <cell r="AL53" t="e">
            <v>#N/A</v>
          </cell>
          <cell r="AM53" t="e">
            <v>#N/A</v>
          </cell>
          <cell r="AN53">
            <v>0</v>
          </cell>
          <cell r="AR53" t="e">
            <v>#N/A</v>
          </cell>
          <cell r="AS53">
            <v>59</v>
          </cell>
          <cell r="AT53" t="e">
            <v>#N/A</v>
          </cell>
          <cell r="AU53">
            <v>16.95</v>
          </cell>
          <cell r="AV53">
            <v>4</v>
          </cell>
          <cell r="AX53">
            <v>0</v>
          </cell>
          <cell r="AY53" t="e">
            <v>#N/A</v>
          </cell>
          <cell r="BA53">
            <v>0.43000000000000699</v>
          </cell>
          <cell r="BB53" t="e">
            <v>#N/A</v>
          </cell>
          <cell r="BC53">
            <v>0</v>
          </cell>
          <cell r="BD53" t="e">
            <v>#N/A</v>
          </cell>
          <cell r="BE53" t="e">
            <v>#N/A</v>
          </cell>
          <cell r="BF53" t="e">
            <v>#N/A</v>
          </cell>
          <cell r="BL53">
            <v>0</v>
          </cell>
          <cell r="BM53" t="e">
            <v>#N/A</v>
          </cell>
          <cell r="BN53" t="e">
            <v>#N/A</v>
          </cell>
          <cell r="BO53" t="e">
            <v>#N/A</v>
          </cell>
          <cell r="BP53" t="e">
            <v>#N/A</v>
          </cell>
          <cell r="BQ53" t="e">
            <v>#N/A</v>
          </cell>
          <cell r="BR53">
            <v>-0.38784232365145227</v>
          </cell>
          <cell r="BT53">
            <v>-0.38784232365145227</v>
          </cell>
          <cell r="BU53" t="e">
            <v>#N/A</v>
          </cell>
          <cell r="BV53" t="e">
            <v>#N/A</v>
          </cell>
          <cell r="BW53" t="e">
            <v>#N/A</v>
          </cell>
          <cell r="BX53" t="e">
            <v>#N/A</v>
          </cell>
          <cell r="BY53" t="e">
            <v>#N/A</v>
          </cell>
          <cell r="BZ53" t="str">
            <v>CDI</v>
          </cell>
          <cell r="CA53" t="str">
            <v/>
          </cell>
          <cell r="CB53" t="str">
            <v/>
          </cell>
          <cell r="CC53" t="str">
            <v>BANQUE</v>
          </cell>
          <cell r="CD53" t="str">
            <v>160-Housekeeping</v>
          </cell>
          <cell r="CE53">
            <v>160</v>
          </cell>
        </row>
        <row r="54">
          <cell r="B54" t="str">
            <v>04201</v>
          </cell>
          <cell r="C54" t="str">
            <v>KONGO NIETI MOKE</v>
          </cell>
          <cell r="D54" t="str">
            <v>Housekeeping</v>
          </cell>
          <cell r="E54" t="str">
            <v>00018000360001135120085</v>
          </cell>
          <cell r="F54" t="str">
            <v>202718006180P</v>
          </cell>
          <cell r="G54" t="str">
            <v>Public Area Attendant</v>
          </cell>
          <cell r="H54">
            <v>5.8</v>
          </cell>
          <cell r="I54">
            <v>6.65</v>
          </cell>
          <cell r="J54">
            <v>6.65</v>
          </cell>
          <cell r="K54" t="str">
            <v>TSP0-3.II</v>
          </cell>
          <cell r="L54" t="str">
            <v>TRAVAILLEUR SPECIALISE</v>
          </cell>
          <cell r="M54" t="str">
            <v>CATEGORIE 1 A 5</v>
          </cell>
          <cell r="N54" t="str">
            <v>TRAVAILLEUR SPECIALISE (TS), Echellon 0 , Classe 3</v>
          </cell>
          <cell r="P54">
            <v>41153</v>
          </cell>
          <cell r="Q54" t="e">
            <v>#N/A</v>
          </cell>
          <cell r="R54" t="e">
            <v>#N/A</v>
          </cell>
          <cell r="S54" t="e">
            <v>#N/A</v>
          </cell>
          <cell r="T54" t="e">
            <v>#N/A</v>
          </cell>
          <cell r="U54" t="e">
            <v>#N/A</v>
          </cell>
          <cell r="V54" t="e">
            <v>#N/A</v>
          </cell>
          <cell r="W54" t="e">
            <v>#N/A</v>
          </cell>
          <cell r="X54" t="e">
            <v>#N/A</v>
          </cell>
          <cell r="Y54" t="e">
            <v>#N/A</v>
          </cell>
          <cell r="Z54" t="e">
            <v>#N/A</v>
          </cell>
          <cell r="AA54" t="e">
            <v>#N/A</v>
          </cell>
          <cell r="AB54" t="e">
            <v>#N/A</v>
          </cell>
          <cell r="AC54" t="e">
            <v>#N/A</v>
          </cell>
          <cell r="AE54">
            <v>172.9</v>
          </cell>
          <cell r="AF54" t="e">
            <v>#N/A</v>
          </cell>
          <cell r="AG54" t="e">
            <v>#N/A</v>
          </cell>
          <cell r="AH54" t="e">
            <v>#N/A</v>
          </cell>
          <cell r="AI54" t="e">
            <v>#N/A</v>
          </cell>
          <cell r="AJ54" t="e">
            <v>#N/A</v>
          </cell>
          <cell r="AK54" t="e">
            <v>#N/A</v>
          </cell>
          <cell r="AL54" t="e">
            <v>#N/A</v>
          </cell>
          <cell r="AM54" t="e">
            <v>#N/A</v>
          </cell>
          <cell r="AN54">
            <v>0</v>
          </cell>
          <cell r="AR54" t="e">
            <v>#N/A</v>
          </cell>
          <cell r="AS54">
            <v>59</v>
          </cell>
          <cell r="AT54" t="e">
            <v>#N/A</v>
          </cell>
          <cell r="AU54">
            <v>25.45</v>
          </cell>
          <cell r="AV54">
            <v>0</v>
          </cell>
          <cell r="AX54">
            <v>0</v>
          </cell>
          <cell r="AY54" t="e">
            <v>#N/A</v>
          </cell>
          <cell r="BA54">
            <v>0.66999999999995896</v>
          </cell>
          <cell r="BB54" t="e">
            <v>#N/A</v>
          </cell>
          <cell r="BC54">
            <v>0</v>
          </cell>
          <cell r="BD54" t="e">
            <v>#N/A</v>
          </cell>
          <cell r="BE54" t="e">
            <v>#N/A</v>
          </cell>
          <cell r="BF54" t="e">
            <v>#N/A</v>
          </cell>
          <cell r="BL54">
            <v>0</v>
          </cell>
          <cell r="BM54" t="e">
            <v>#N/A</v>
          </cell>
          <cell r="BN54" t="e">
            <v>#N/A</v>
          </cell>
          <cell r="BO54" t="e">
            <v>#N/A</v>
          </cell>
          <cell r="BP54" t="e">
            <v>#N/A</v>
          </cell>
          <cell r="BQ54" t="e">
            <v>#N/A</v>
          </cell>
          <cell r="BR54">
            <v>-0.38784232365145227</v>
          </cell>
          <cell r="BT54">
            <v>-0.38784232365145227</v>
          </cell>
          <cell r="BU54" t="e">
            <v>#N/A</v>
          </cell>
          <cell r="BV54" t="e">
            <v>#N/A</v>
          </cell>
          <cell r="BW54" t="e">
            <v>#N/A</v>
          </cell>
          <cell r="BX54" t="e">
            <v>#N/A</v>
          </cell>
          <cell r="BY54" t="e">
            <v>#N/A</v>
          </cell>
          <cell r="BZ54" t="str">
            <v>CDI</v>
          </cell>
          <cell r="CA54" t="str">
            <v/>
          </cell>
          <cell r="CB54" t="str">
            <v/>
          </cell>
          <cell r="CC54" t="str">
            <v>BANQUE</v>
          </cell>
          <cell r="CD54" t="str">
            <v>160-Housekeeping</v>
          </cell>
          <cell r="CE54">
            <v>160</v>
          </cell>
        </row>
        <row r="55">
          <cell r="B55" t="str">
            <v>04242</v>
          </cell>
          <cell r="C55" t="str">
            <v>MULUFWA NGOLI EVARISTE</v>
          </cell>
          <cell r="D55" t="str">
            <v>Housekeeping</v>
          </cell>
          <cell r="E55" t="str">
            <v>00018000360001175120072</v>
          </cell>
          <cell r="F55" t="str">
            <v>108527709050P</v>
          </cell>
          <cell r="G55" t="str">
            <v>Public Area Attendant</v>
          </cell>
          <cell r="H55">
            <v>5.8</v>
          </cell>
          <cell r="I55">
            <v>6.65</v>
          </cell>
          <cell r="J55">
            <v>6.65</v>
          </cell>
          <cell r="K55" t="str">
            <v>TSP0-3.II</v>
          </cell>
          <cell r="L55" t="str">
            <v>TRAVAILLEUR SPECIALISE</v>
          </cell>
          <cell r="M55" t="str">
            <v>CATEGORIE 1 A 5</v>
          </cell>
          <cell r="N55" t="str">
            <v>TRAVAILLEUR SPECIALISE (TS), Echellon 0 , Classe 3</v>
          </cell>
          <cell r="P55">
            <v>42084</v>
          </cell>
          <cell r="Q55" t="e">
            <v>#N/A</v>
          </cell>
          <cell r="R55" t="e">
            <v>#N/A</v>
          </cell>
          <cell r="S55" t="e">
            <v>#N/A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X55" t="e">
            <v>#N/A</v>
          </cell>
          <cell r="Y55" t="e">
            <v>#N/A</v>
          </cell>
          <cell r="Z55" t="e">
            <v>#N/A</v>
          </cell>
          <cell r="AA55" t="e">
            <v>#N/A</v>
          </cell>
          <cell r="AB55" t="e">
            <v>#N/A</v>
          </cell>
          <cell r="AC55" t="e">
            <v>#N/A</v>
          </cell>
          <cell r="AE55">
            <v>172.9</v>
          </cell>
          <cell r="AF55" t="e">
            <v>#N/A</v>
          </cell>
          <cell r="AG55" t="e">
            <v>#N/A</v>
          </cell>
          <cell r="AH55" t="e">
            <v>#N/A</v>
          </cell>
          <cell r="AI55" t="e">
            <v>#N/A</v>
          </cell>
          <cell r="AJ55" t="e">
            <v>#N/A</v>
          </cell>
          <cell r="AK55" t="e">
            <v>#N/A</v>
          </cell>
          <cell r="AL55" t="e">
            <v>#N/A</v>
          </cell>
          <cell r="AM55" t="e">
            <v>#N/A</v>
          </cell>
          <cell r="AN55">
            <v>0</v>
          </cell>
          <cell r="AR55" t="e">
            <v>#N/A</v>
          </cell>
          <cell r="AS55">
            <v>59</v>
          </cell>
          <cell r="AT55" t="e">
            <v>#N/A</v>
          </cell>
          <cell r="AU55">
            <v>25.45</v>
          </cell>
          <cell r="AV55">
            <v>1</v>
          </cell>
          <cell r="AX55">
            <v>0</v>
          </cell>
          <cell r="AY55" t="e">
            <v>#N/A</v>
          </cell>
          <cell r="BA55">
            <v>3.30000000000001</v>
          </cell>
          <cell r="BB55" t="e">
            <v>#N/A</v>
          </cell>
          <cell r="BC55">
            <v>0</v>
          </cell>
          <cell r="BD55" t="e">
            <v>#N/A</v>
          </cell>
          <cell r="BE55" t="e">
            <v>#N/A</v>
          </cell>
          <cell r="BF55" t="e">
            <v>#N/A</v>
          </cell>
          <cell r="BL55">
            <v>0</v>
          </cell>
          <cell r="BM55" t="e">
            <v>#N/A</v>
          </cell>
          <cell r="BN55" t="e">
            <v>#N/A</v>
          </cell>
          <cell r="BO55" t="e">
            <v>#N/A</v>
          </cell>
          <cell r="BP55" t="e">
            <v>#N/A</v>
          </cell>
          <cell r="BQ55" t="e">
            <v>#N/A</v>
          </cell>
          <cell r="BR55">
            <v>-0.38784232365145227</v>
          </cell>
          <cell r="BT55">
            <v>-0.38784232365145227</v>
          </cell>
          <cell r="BU55" t="e">
            <v>#N/A</v>
          </cell>
          <cell r="BV55" t="e">
            <v>#N/A</v>
          </cell>
          <cell r="BW55" t="e">
            <v>#N/A</v>
          </cell>
          <cell r="BX55" t="e">
            <v>#N/A</v>
          </cell>
          <cell r="BY55" t="e">
            <v>#N/A</v>
          </cell>
          <cell r="BZ55" t="str">
            <v>CDI</v>
          </cell>
          <cell r="CA55" t="str">
            <v/>
          </cell>
          <cell r="CB55" t="str">
            <v/>
          </cell>
          <cell r="CC55" t="str">
            <v>BANQUE</v>
          </cell>
          <cell r="CD55" t="str">
            <v>160-Housekeeping</v>
          </cell>
          <cell r="CE55">
            <v>160</v>
          </cell>
        </row>
        <row r="56">
          <cell r="B56" t="str">
            <v>04243</v>
          </cell>
          <cell r="C56" t="str">
            <v>ZAZI IBANGA GUELORD</v>
          </cell>
          <cell r="D56" t="str">
            <v>Housekeeping</v>
          </cell>
          <cell r="E56" t="str">
            <v>00018000360001237120047</v>
          </cell>
          <cell r="F56" t="str">
            <v>102418607270S</v>
          </cell>
          <cell r="G56" t="str">
            <v>Public Area Attendant</v>
          </cell>
          <cell r="H56">
            <v>5.8</v>
          </cell>
          <cell r="I56">
            <v>6.65</v>
          </cell>
          <cell r="J56">
            <v>6.65</v>
          </cell>
          <cell r="K56" t="str">
            <v>TSP0-3.II</v>
          </cell>
          <cell r="L56" t="str">
            <v>TRAVAILLEUR SPECIALISE</v>
          </cell>
          <cell r="M56" t="str">
            <v>CATEGORIE 1 A 5</v>
          </cell>
          <cell r="N56" t="str">
            <v>TRAVAILLEUR SPECIALISE (TS), Echellon 0 , Classe 3</v>
          </cell>
          <cell r="P56">
            <v>42147</v>
          </cell>
          <cell r="Q56" t="e">
            <v>#N/A</v>
          </cell>
          <cell r="R56" t="e">
            <v>#N/A</v>
          </cell>
          <cell r="S56" t="e">
            <v>#N/A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X56" t="e">
            <v>#N/A</v>
          </cell>
          <cell r="Y56" t="e">
            <v>#N/A</v>
          </cell>
          <cell r="Z56" t="e">
            <v>#N/A</v>
          </cell>
          <cell r="AA56" t="e">
            <v>#N/A</v>
          </cell>
          <cell r="AB56" t="e">
            <v>#N/A</v>
          </cell>
          <cell r="AC56" t="e">
            <v>#N/A</v>
          </cell>
          <cell r="AE56">
            <v>172.9</v>
          </cell>
          <cell r="AF56" t="e">
            <v>#N/A</v>
          </cell>
          <cell r="AG56" t="e">
            <v>#N/A</v>
          </cell>
          <cell r="AH56" t="e">
            <v>#N/A</v>
          </cell>
          <cell r="AI56" t="e">
            <v>#N/A</v>
          </cell>
          <cell r="AJ56" t="e">
            <v>#N/A</v>
          </cell>
          <cell r="AK56" t="e">
            <v>#N/A</v>
          </cell>
          <cell r="AL56" t="e">
            <v>#N/A</v>
          </cell>
          <cell r="AM56" t="e">
            <v>#N/A</v>
          </cell>
          <cell r="AN56">
            <v>0</v>
          </cell>
          <cell r="AR56" t="e">
            <v>#N/A</v>
          </cell>
          <cell r="AS56">
            <v>59</v>
          </cell>
          <cell r="AT56" t="e">
            <v>#N/A</v>
          </cell>
          <cell r="AU56">
            <v>25.45</v>
          </cell>
          <cell r="AV56">
            <v>2</v>
          </cell>
          <cell r="AX56">
            <v>0</v>
          </cell>
          <cell r="AY56" t="e">
            <v>#N/A</v>
          </cell>
          <cell r="BA56">
            <v>4.24000000000001</v>
          </cell>
          <cell r="BB56" t="e">
            <v>#N/A</v>
          </cell>
          <cell r="BD56" t="e">
            <v>#N/A</v>
          </cell>
          <cell r="BE56" t="e">
            <v>#N/A</v>
          </cell>
          <cell r="BF56" t="e">
            <v>#N/A</v>
          </cell>
          <cell r="BL56">
            <v>0</v>
          </cell>
          <cell r="BM56" t="e">
            <v>#N/A</v>
          </cell>
          <cell r="BN56" t="e">
            <v>#N/A</v>
          </cell>
          <cell r="BO56" t="e">
            <v>#N/A</v>
          </cell>
          <cell r="BP56" t="e">
            <v>#N/A</v>
          </cell>
          <cell r="BQ56" t="e">
            <v>#N/A</v>
          </cell>
          <cell r="BR56">
            <v>-0.38784232365145227</v>
          </cell>
          <cell r="BT56">
            <v>-0.38784232365145227</v>
          </cell>
          <cell r="BU56" t="e">
            <v>#N/A</v>
          </cell>
          <cell r="BV56" t="e">
            <v>#N/A</v>
          </cell>
          <cell r="BW56" t="e">
            <v>#N/A</v>
          </cell>
          <cell r="BX56" t="e">
            <v>#N/A</v>
          </cell>
          <cell r="BY56" t="e">
            <v>#N/A</v>
          </cell>
          <cell r="BZ56" t="str">
            <v>CDI</v>
          </cell>
          <cell r="CA56" t="str">
            <v/>
          </cell>
          <cell r="CB56" t="str">
            <v/>
          </cell>
          <cell r="CC56" t="str">
            <v>BANQUE</v>
          </cell>
          <cell r="CD56" t="str">
            <v>160-Housekeeping</v>
          </cell>
          <cell r="CE56">
            <v>160</v>
          </cell>
        </row>
        <row r="57">
          <cell r="B57" t="str">
            <v>06032</v>
          </cell>
          <cell r="C57" t="str">
            <v>ANGAMBA BORAS GIRESSE</v>
          </cell>
          <cell r="D57" t="str">
            <v>House Laundry</v>
          </cell>
          <cell r="E57" t="str">
            <v>00018000360001049120079</v>
          </cell>
          <cell r="F57" t="str">
            <v>102718405251O</v>
          </cell>
          <cell r="G57" t="str">
            <v>Laundry Technician</v>
          </cell>
          <cell r="H57">
            <v>5</v>
          </cell>
          <cell r="I57">
            <v>5.8</v>
          </cell>
          <cell r="J57">
            <v>5.8000000000000007</v>
          </cell>
          <cell r="K57" t="str">
            <v>MAL1-2.I</v>
          </cell>
          <cell r="L57" t="str">
            <v>MANOEUVRE LOURD</v>
          </cell>
          <cell r="M57" t="str">
            <v>CATEGORIE 1 A 5</v>
          </cell>
          <cell r="N57" t="str">
            <v>MANŒUVRE LOURD (ML), Echellon 2, Classe 2</v>
          </cell>
          <cell r="P57">
            <v>41732</v>
          </cell>
          <cell r="Q57" t="e">
            <v>#N/A</v>
          </cell>
          <cell r="R57" t="e">
            <v>#N/A</v>
          </cell>
          <cell r="S57" t="e">
            <v>#N/A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X57" t="e">
            <v>#N/A</v>
          </cell>
          <cell r="Y57" t="e">
            <v>#N/A</v>
          </cell>
          <cell r="Z57" t="e">
            <v>#N/A</v>
          </cell>
          <cell r="AA57" t="e">
            <v>#N/A</v>
          </cell>
          <cell r="AB57" t="e">
            <v>#N/A</v>
          </cell>
          <cell r="AC57" t="e">
            <v>#N/A</v>
          </cell>
          <cell r="AE57">
            <v>150.80000000000001</v>
          </cell>
          <cell r="AF57" t="e">
            <v>#N/A</v>
          </cell>
          <cell r="AG57" t="e">
            <v>#N/A</v>
          </cell>
          <cell r="AH57" t="e">
            <v>#N/A</v>
          </cell>
          <cell r="AI57" t="e">
            <v>#N/A</v>
          </cell>
          <cell r="AJ57" t="e">
            <v>#N/A</v>
          </cell>
          <cell r="AK57" t="e">
            <v>#N/A</v>
          </cell>
          <cell r="AL57" t="e">
            <v>#N/A</v>
          </cell>
          <cell r="AM57" t="e">
            <v>#N/A</v>
          </cell>
          <cell r="AN57">
            <v>0</v>
          </cell>
          <cell r="AR57" t="e">
            <v>#N/A</v>
          </cell>
          <cell r="AS57">
            <v>65.900000000000006</v>
          </cell>
          <cell r="AT57" t="e">
            <v>#N/A</v>
          </cell>
          <cell r="AU57">
            <v>40.299999999999997</v>
          </cell>
          <cell r="AV57">
            <v>4</v>
          </cell>
          <cell r="AX57">
            <v>20</v>
          </cell>
          <cell r="AY57" t="e">
            <v>#N/A</v>
          </cell>
          <cell r="BA57">
            <v>0.70000000000004503</v>
          </cell>
          <cell r="BB57" t="e">
            <v>#N/A</v>
          </cell>
          <cell r="BC57">
            <v>0</v>
          </cell>
          <cell r="BD57" t="e">
            <v>#N/A</v>
          </cell>
          <cell r="BE57" t="e">
            <v>#N/A</v>
          </cell>
          <cell r="BF57" t="e">
            <v>#N/A</v>
          </cell>
          <cell r="BL57">
            <v>0</v>
          </cell>
          <cell r="BM57" t="e">
            <v>#N/A</v>
          </cell>
          <cell r="BN57" t="e">
            <v>#N/A</v>
          </cell>
          <cell r="BO57" t="e">
            <v>#N/A</v>
          </cell>
          <cell r="BP57" t="e">
            <v>#N/A</v>
          </cell>
          <cell r="BQ57" t="e">
            <v>#N/A</v>
          </cell>
          <cell r="BR57">
            <v>-0.38784232365145227</v>
          </cell>
          <cell r="BT57">
            <v>-0.38784232365145227</v>
          </cell>
          <cell r="BU57" t="e">
            <v>#N/A</v>
          </cell>
          <cell r="BV57" t="e">
            <v>#N/A</v>
          </cell>
          <cell r="BW57" t="e">
            <v>#N/A</v>
          </cell>
          <cell r="BX57" t="e">
            <v>#N/A</v>
          </cell>
          <cell r="BY57" t="e">
            <v>#N/A</v>
          </cell>
          <cell r="BZ57" t="str">
            <v>CDI</v>
          </cell>
          <cell r="CA57" t="str">
            <v/>
          </cell>
          <cell r="CB57" t="str">
            <v/>
          </cell>
          <cell r="CC57" t="str">
            <v>BANQUE</v>
          </cell>
          <cell r="CD57" t="str">
            <v>972-House Laundry</v>
          </cell>
          <cell r="CE57">
            <v>972</v>
          </cell>
        </row>
        <row r="58">
          <cell r="B58" t="str">
            <v>07114</v>
          </cell>
          <cell r="C58" t="str">
            <v>NSUNGI KIDAYA CHRISTELLE</v>
          </cell>
          <cell r="D58" t="str">
            <v>Housekeeping</v>
          </cell>
          <cell r="E58" t="str">
            <v>00018000360001285120012</v>
          </cell>
          <cell r="F58" t="str">
            <v>207319309140C</v>
          </cell>
          <cell r="G58" t="str">
            <v>Room Attendant</v>
          </cell>
          <cell r="H58">
            <v>5.8</v>
          </cell>
          <cell r="I58">
            <v>6.65</v>
          </cell>
          <cell r="J58">
            <v>6.65</v>
          </cell>
          <cell r="K58" t="str">
            <v>TSP0-3.II</v>
          </cell>
          <cell r="L58" t="str">
            <v>TRAVAILLEUR SPECIALISE</v>
          </cell>
          <cell r="M58" t="str">
            <v>CATEGORIE 1 A 5</v>
          </cell>
          <cell r="N58" t="str">
            <v>TRAVAILLEUR SPECIALISE (TS), Echellon 0 , Classe 3</v>
          </cell>
          <cell r="P58">
            <v>42315</v>
          </cell>
          <cell r="Q58" t="e">
            <v>#N/A</v>
          </cell>
          <cell r="R58" t="e">
            <v>#N/A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X58" t="e">
            <v>#N/A</v>
          </cell>
          <cell r="Y58" t="e">
            <v>#N/A</v>
          </cell>
          <cell r="Z58" t="e">
            <v>#N/A</v>
          </cell>
          <cell r="AA58" t="e">
            <v>#N/A</v>
          </cell>
          <cell r="AB58" t="e">
            <v>#N/A</v>
          </cell>
          <cell r="AC58" t="e">
            <v>#N/A</v>
          </cell>
          <cell r="AE58">
            <v>172.9</v>
          </cell>
          <cell r="AF58" t="e">
            <v>#N/A</v>
          </cell>
          <cell r="AG58" t="e">
            <v>#N/A</v>
          </cell>
          <cell r="AH58" t="e">
            <v>#N/A</v>
          </cell>
          <cell r="AI58" t="e">
            <v>#N/A</v>
          </cell>
          <cell r="AJ58" t="e">
            <v>#N/A</v>
          </cell>
          <cell r="AK58" t="e">
            <v>#N/A</v>
          </cell>
          <cell r="AL58" t="e">
            <v>#N/A</v>
          </cell>
          <cell r="AM58" t="e">
            <v>#N/A</v>
          </cell>
          <cell r="AN58">
            <v>0</v>
          </cell>
          <cell r="AR58" t="e">
            <v>#N/A</v>
          </cell>
          <cell r="AS58">
            <v>59</v>
          </cell>
          <cell r="AT58" t="e">
            <v>#N/A</v>
          </cell>
          <cell r="AU58">
            <v>25.45</v>
          </cell>
          <cell r="AV58">
            <v>1</v>
          </cell>
          <cell r="AX58">
            <v>0</v>
          </cell>
          <cell r="AY58" t="e">
            <v>#N/A</v>
          </cell>
          <cell r="BA58">
            <v>5.0599999999999996</v>
          </cell>
          <cell r="BB58" t="e">
            <v>#N/A</v>
          </cell>
          <cell r="BD58" t="e">
            <v>#N/A</v>
          </cell>
          <cell r="BE58" t="e">
            <v>#N/A</v>
          </cell>
          <cell r="BF58" t="e">
            <v>#N/A</v>
          </cell>
          <cell r="BL58">
            <v>0</v>
          </cell>
          <cell r="BM58" t="e">
            <v>#N/A</v>
          </cell>
          <cell r="BN58" t="e">
            <v>#N/A</v>
          </cell>
          <cell r="BO58" t="e">
            <v>#N/A</v>
          </cell>
          <cell r="BP58" t="e">
            <v>#N/A</v>
          </cell>
          <cell r="BQ58" t="e">
            <v>#N/A</v>
          </cell>
          <cell r="BR58">
            <v>-0.38784232365145227</v>
          </cell>
          <cell r="BT58">
            <v>-0.38784232365145227</v>
          </cell>
          <cell r="BU58" t="e">
            <v>#N/A</v>
          </cell>
          <cell r="BV58" t="e">
            <v>#N/A</v>
          </cell>
          <cell r="BW58" t="e">
            <v>#N/A</v>
          </cell>
          <cell r="BX58" t="e">
            <v>#N/A</v>
          </cell>
          <cell r="BY58" t="e">
            <v>#N/A</v>
          </cell>
          <cell r="BZ58" t="str">
            <v>CDI</v>
          </cell>
          <cell r="CA58" t="str">
            <v/>
          </cell>
          <cell r="CB58" t="str">
            <v/>
          </cell>
          <cell r="CC58" t="str">
            <v>BANQUE</v>
          </cell>
          <cell r="CD58" t="str">
            <v>160-Housekeeping</v>
          </cell>
          <cell r="CE58">
            <v>160</v>
          </cell>
        </row>
        <row r="59">
          <cell r="B59" t="str">
            <v>07120</v>
          </cell>
          <cell r="C59" t="str">
            <v>KAMAKA ELYSEE</v>
          </cell>
          <cell r="D59" t="str">
            <v>Housekeeping</v>
          </cell>
          <cell r="E59" t="str">
            <v>00018000360001111120054</v>
          </cell>
          <cell r="F59" t="str">
            <v>202629202220V</v>
          </cell>
          <cell r="G59" t="str">
            <v>Room Attendant</v>
          </cell>
          <cell r="H59">
            <v>5.8</v>
          </cell>
          <cell r="I59">
            <v>6.65</v>
          </cell>
          <cell r="J59">
            <v>6.65</v>
          </cell>
          <cell r="K59" t="str">
            <v>TSP0-3.II</v>
          </cell>
          <cell r="L59" t="str">
            <v>TRAVAILLEUR SPECIALISE</v>
          </cell>
          <cell r="M59" t="str">
            <v>CATEGORIE 1 A 5</v>
          </cell>
          <cell r="N59" t="str">
            <v>TRAVAILLEUR SPECIALISE (TS), Echellon 0 , Classe 3</v>
          </cell>
          <cell r="P59">
            <v>42374</v>
          </cell>
          <cell r="Q59" t="e">
            <v>#N/A</v>
          </cell>
          <cell r="R59" t="e">
            <v>#N/A</v>
          </cell>
          <cell r="S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 t="e">
            <v>#N/A</v>
          </cell>
          <cell r="AE59">
            <v>172.9</v>
          </cell>
          <cell r="AF59" t="e">
            <v>#N/A</v>
          </cell>
          <cell r="AG59" t="e">
            <v>#N/A</v>
          </cell>
          <cell r="AH59" t="e">
            <v>#N/A</v>
          </cell>
          <cell r="AI59" t="e">
            <v>#N/A</v>
          </cell>
          <cell r="AJ59" t="e">
            <v>#N/A</v>
          </cell>
          <cell r="AK59" t="e">
            <v>#N/A</v>
          </cell>
          <cell r="AL59" t="e">
            <v>#N/A</v>
          </cell>
          <cell r="AM59" t="e">
            <v>#N/A</v>
          </cell>
          <cell r="AN59">
            <v>0</v>
          </cell>
          <cell r="AR59" t="e">
            <v>#N/A</v>
          </cell>
          <cell r="AS59">
            <v>59</v>
          </cell>
          <cell r="AT59" t="e">
            <v>#N/A</v>
          </cell>
          <cell r="AU59">
            <v>25.45</v>
          </cell>
          <cell r="AV59">
            <v>2</v>
          </cell>
          <cell r="AX59">
            <v>0</v>
          </cell>
          <cell r="AY59" t="e">
            <v>#N/A</v>
          </cell>
          <cell r="BA59">
            <v>3.47</v>
          </cell>
          <cell r="BB59" t="e">
            <v>#N/A</v>
          </cell>
          <cell r="BD59" t="e">
            <v>#N/A</v>
          </cell>
          <cell r="BE59" t="e">
            <v>#N/A</v>
          </cell>
          <cell r="BF59" t="e">
            <v>#N/A</v>
          </cell>
          <cell r="BL59">
            <v>0</v>
          </cell>
          <cell r="BM59" t="e">
            <v>#N/A</v>
          </cell>
          <cell r="BN59" t="e">
            <v>#N/A</v>
          </cell>
          <cell r="BO59" t="e">
            <v>#N/A</v>
          </cell>
          <cell r="BP59" t="e">
            <v>#N/A</v>
          </cell>
          <cell r="BQ59" t="e">
            <v>#N/A</v>
          </cell>
          <cell r="BR59">
            <v>-0.38784232365145227</v>
          </cell>
          <cell r="BT59">
            <v>-0.38784232365145227</v>
          </cell>
          <cell r="BU59" t="e">
            <v>#N/A</v>
          </cell>
          <cell r="BV59" t="e">
            <v>#N/A</v>
          </cell>
          <cell r="BW59" t="e">
            <v>#N/A</v>
          </cell>
          <cell r="BX59" t="e">
            <v>#N/A</v>
          </cell>
          <cell r="BY59" t="e">
            <v>#N/A</v>
          </cell>
          <cell r="BZ59" t="str">
            <v>CDI</v>
          </cell>
          <cell r="CA59" t="str">
            <v/>
          </cell>
          <cell r="CB59" t="str">
            <v/>
          </cell>
          <cell r="CC59" t="str">
            <v>BANQUE</v>
          </cell>
          <cell r="CD59" t="str">
            <v>160-Housekeeping</v>
          </cell>
          <cell r="CE59">
            <v>160</v>
          </cell>
        </row>
        <row r="60">
          <cell r="B60" t="str">
            <v>07139</v>
          </cell>
          <cell r="C60" t="str">
            <v>KEWA KENDA JOELLE</v>
          </cell>
          <cell r="D60" t="str">
            <v>A and G General</v>
          </cell>
          <cell r="E60" t="str">
            <v>00018000360001287120055</v>
          </cell>
          <cell r="F60" t="str">
            <v>109428509160T</v>
          </cell>
          <cell r="G60" t="str">
            <v>Secrétaire de Direction</v>
          </cell>
          <cell r="H60">
            <v>10.3</v>
          </cell>
          <cell r="I60">
            <v>11.85</v>
          </cell>
          <cell r="J60">
            <v>11.850000000000001</v>
          </cell>
          <cell r="K60" t="str">
            <v>TRQ1-7.IV</v>
          </cell>
          <cell r="L60" t="str">
            <v>TRAVAILLEUR QUALIFIE</v>
          </cell>
          <cell r="M60" t="str">
            <v>CATEGORIE 1 A 5</v>
          </cell>
          <cell r="N60" t="str">
            <v>TRAVAILLEUR QUALIFIE (TQ), Echellon 1, Classe 7</v>
          </cell>
          <cell r="P60">
            <v>42506</v>
          </cell>
          <cell r="Q60" t="e">
            <v>#N/A</v>
          </cell>
          <cell r="R60" t="e">
            <v>#N/A</v>
          </cell>
          <cell r="S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E60">
            <v>308.10000000000002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>
            <v>0</v>
          </cell>
          <cell r="AR60" t="e">
            <v>#N/A</v>
          </cell>
          <cell r="AS60">
            <v>59</v>
          </cell>
          <cell r="AT60" t="e">
            <v>#N/A</v>
          </cell>
          <cell r="AU60">
            <v>46.21</v>
          </cell>
          <cell r="AV60">
            <v>0</v>
          </cell>
          <cell r="AX60">
            <v>0</v>
          </cell>
          <cell r="AY60" t="e">
            <v>#N/A</v>
          </cell>
          <cell r="BB60" t="e">
            <v>#N/A</v>
          </cell>
          <cell r="BD60" t="e">
            <v>#N/A</v>
          </cell>
          <cell r="BE60" t="e">
            <v>#N/A</v>
          </cell>
          <cell r="BF60" t="e">
            <v>#N/A</v>
          </cell>
          <cell r="BL60">
            <v>0</v>
          </cell>
          <cell r="BM60" t="e">
            <v>#N/A</v>
          </cell>
          <cell r="BN60" t="e">
            <v>#N/A</v>
          </cell>
          <cell r="BO60" t="e">
            <v>#N/A</v>
          </cell>
          <cell r="BP60" t="e">
            <v>#N/A</v>
          </cell>
          <cell r="BQ60" t="e">
            <v>#N/A</v>
          </cell>
          <cell r="BR60">
            <v>-0.38784232365145227</v>
          </cell>
          <cell r="BT60">
            <v>-0.38784232365145227</v>
          </cell>
          <cell r="BU60" t="e">
            <v>#N/A</v>
          </cell>
          <cell r="BV60" t="e">
            <v>#N/A</v>
          </cell>
          <cell r="BW60" t="e">
            <v>#N/A</v>
          </cell>
          <cell r="BX60" t="e">
            <v>#N/A</v>
          </cell>
          <cell r="BY60" t="e">
            <v>#N/A</v>
          </cell>
          <cell r="BZ60" t="str">
            <v>CDI</v>
          </cell>
          <cell r="CA60" t="str">
            <v/>
          </cell>
          <cell r="CB60" t="str">
            <v/>
          </cell>
          <cell r="CC60" t="str">
            <v>BANQUE</v>
          </cell>
          <cell r="CD60" t="str">
            <v>610-A and G General</v>
          </cell>
          <cell r="CE60">
            <v>610</v>
          </cell>
        </row>
        <row r="61">
          <cell r="B61" t="str">
            <v>07151</v>
          </cell>
          <cell r="C61" t="str">
            <v>KAHUNGU PELENDE GIRESSE</v>
          </cell>
          <cell r="D61" t="str">
            <v>Housekeeping</v>
          </cell>
          <cell r="E61" t="str">
            <v>00018000360001105120022</v>
          </cell>
          <cell r="F61" t="str">
            <v>109426512110N</v>
          </cell>
          <cell r="G61" t="str">
            <v>HK Attendant</v>
          </cell>
          <cell r="H61">
            <v>5.8</v>
          </cell>
          <cell r="I61">
            <v>6.65</v>
          </cell>
          <cell r="J61">
            <v>6.65</v>
          </cell>
          <cell r="K61" t="str">
            <v>TSP0-3.II</v>
          </cell>
          <cell r="L61" t="str">
            <v>TRAVAILLEUR SPECIALISE</v>
          </cell>
          <cell r="M61" t="str">
            <v>CATEGORIE 1 A 5</v>
          </cell>
          <cell r="N61" t="str">
            <v>TRAVAILLEUR SPECIALISE (TS), Echellon 0 , Classe 3</v>
          </cell>
          <cell r="P61">
            <v>42681</v>
          </cell>
          <cell r="Q61" t="e">
            <v>#N/A</v>
          </cell>
          <cell r="R61" t="e">
            <v>#N/A</v>
          </cell>
          <cell r="S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E61">
            <v>172.9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N61">
            <v>0</v>
          </cell>
          <cell r="AR61" t="e">
            <v>#N/A</v>
          </cell>
          <cell r="AS61">
            <v>59</v>
          </cell>
          <cell r="AT61" t="e">
            <v>#N/A</v>
          </cell>
          <cell r="AU61">
            <v>25.45</v>
          </cell>
          <cell r="AV61">
            <v>4</v>
          </cell>
          <cell r="AX61">
            <v>0</v>
          </cell>
          <cell r="AY61" t="e">
            <v>#N/A</v>
          </cell>
          <cell r="BA61">
            <v>3.4500000000000202</v>
          </cell>
          <cell r="BB61" t="e">
            <v>#N/A</v>
          </cell>
          <cell r="BC61">
            <v>0</v>
          </cell>
          <cell r="BD61" t="e">
            <v>#N/A</v>
          </cell>
          <cell r="BE61" t="e">
            <v>#N/A</v>
          </cell>
          <cell r="BF61" t="e">
            <v>#N/A</v>
          </cell>
          <cell r="BL61">
            <v>0</v>
          </cell>
          <cell r="BM61" t="e">
            <v>#N/A</v>
          </cell>
          <cell r="BN61" t="e">
            <v>#N/A</v>
          </cell>
          <cell r="BO61" t="e">
            <v>#N/A</v>
          </cell>
          <cell r="BP61" t="e">
            <v>#N/A</v>
          </cell>
          <cell r="BQ61" t="e">
            <v>#N/A</v>
          </cell>
          <cell r="BR61">
            <v>-0.38784232365145227</v>
          </cell>
          <cell r="BT61">
            <v>-0.38784232365145227</v>
          </cell>
          <cell r="BU61" t="e">
            <v>#N/A</v>
          </cell>
          <cell r="BV61" t="e">
            <v>#N/A</v>
          </cell>
          <cell r="BW61" t="e">
            <v>#N/A</v>
          </cell>
          <cell r="BX61" t="e">
            <v>#N/A</v>
          </cell>
          <cell r="BY61" t="e">
            <v>#N/A</v>
          </cell>
          <cell r="BZ61" t="str">
            <v>CDI</v>
          </cell>
          <cell r="CA61" t="str">
            <v/>
          </cell>
          <cell r="CB61" t="str">
            <v/>
          </cell>
          <cell r="CC61" t="str">
            <v>BANQUE</v>
          </cell>
          <cell r="CD61" t="str">
            <v>160-Housekeeping</v>
          </cell>
          <cell r="CE61">
            <v>160</v>
          </cell>
        </row>
        <row r="62">
          <cell r="B62" t="str">
            <v>07153</v>
          </cell>
          <cell r="C62" t="str">
            <v>SOKI NZAKIMWENA EUNICE</v>
          </cell>
          <cell r="D62" t="str">
            <v>Housekeeping</v>
          </cell>
          <cell r="E62" t="str">
            <v>00018000360001219120048</v>
          </cell>
          <cell r="F62" t="str">
            <v>107558102100R</v>
          </cell>
          <cell r="G62" t="str">
            <v>HK Attendant</v>
          </cell>
          <cell r="H62">
            <v>5.8</v>
          </cell>
          <cell r="I62">
            <v>6.65</v>
          </cell>
          <cell r="J62">
            <v>6.65</v>
          </cell>
          <cell r="K62" t="str">
            <v>TSP0-3.II</v>
          </cell>
          <cell r="L62" t="str">
            <v>TRAVAILLEUR SPECIALISE</v>
          </cell>
          <cell r="M62" t="str">
            <v>CATEGORIE 1 A 5</v>
          </cell>
          <cell r="N62" t="str">
            <v>TRAVAILLEUR SPECIALISE (TS), Echellon 0 , Classe 3</v>
          </cell>
          <cell r="P62">
            <v>42622</v>
          </cell>
          <cell r="Q62" t="e">
            <v>#N/A</v>
          </cell>
          <cell r="R62" t="e">
            <v>#N/A</v>
          </cell>
          <cell r="S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E62">
            <v>172.9</v>
          </cell>
          <cell r="AF62" t="e">
            <v>#N/A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>
            <v>0</v>
          </cell>
          <cell r="AR62" t="e">
            <v>#N/A</v>
          </cell>
          <cell r="AS62">
            <v>59</v>
          </cell>
          <cell r="AT62" t="e">
            <v>#N/A</v>
          </cell>
          <cell r="AU62">
            <v>25.45</v>
          </cell>
          <cell r="AV62">
            <v>0</v>
          </cell>
          <cell r="AX62">
            <v>0</v>
          </cell>
          <cell r="AY62" t="e">
            <v>#N/A</v>
          </cell>
          <cell r="BA62">
            <v>3.5699999999999901</v>
          </cell>
          <cell r="BB62" t="e">
            <v>#N/A</v>
          </cell>
          <cell r="BD62" t="e">
            <v>#N/A</v>
          </cell>
          <cell r="BE62" t="e">
            <v>#N/A</v>
          </cell>
          <cell r="BF62" t="e">
            <v>#N/A</v>
          </cell>
          <cell r="BL62">
            <v>0</v>
          </cell>
          <cell r="BM62" t="e">
            <v>#N/A</v>
          </cell>
          <cell r="BN62" t="e">
            <v>#N/A</v>
          </cell>
          <cell r="BO62" t="e">
            <v>#N/A</v>
          </cell>
          <cell r="BP62" t="e">
            <v>#N/A</v>
          </cell>
          <cell r="BQ62" t="e">
            <v>#N/A</v>
          </cell>
          <cell r="BR62">
            <v>-0.38784232365145227</v>
          </cell>
          <cell r="BT62">
            <v>-0.38784232365145227</v>
          </cell>
          <cell r="BU62" t="e">
            <v>#N/A</v>
          </cell>
          <cell r="BV62" t="e">
            <v>#N/A</v>
          </cell>
          <cell r="BW62" t="e">
            <v>#N/A</v>
          </cell>
          <cell r="BX62" t="e">
            <v>#N/A</v>
          </cell>
          <cell r="BY62" t="e">
            <v>#N/A</v>
          </cell>
          <cell r="BZ62" t="str">
            <v>CDI</v>
          </cell>
          <cell r="CA62" t="str">
            <v/>
          </cell>
          <cell r="CB62" t="str">
            <v/>
          </cell>
          <cell r="CC62" t="str">
            <v>BANQUE</v>
          </cell>
          <cell r="CD62" t="str">
            <v>160-Housekeeping</v>
          </cell>
          <cell r="CE62">
            <v>160</v>
          </cell>
        </row>
        <row r="63">
          <cell r="B63" t="str">
            <v>02033</v>
          </cell>
          <cell r="C63" t="str">
            <v>KAIBA MIY MUTOMBO LAURETTE</v>
          </cell>
          <cell r="D63" t="str">
            <v>Human resources</v>
          </cell>
          <cell r="E63" t="str">
            <v>00018000360001106120092</v>
          </cell>
          <cell r="F63" t="str">
            <v>205448205310P</v>
          </cell>
          <cell r="G63" t="str">
            <v>Training Assistante</v>
          </cell>
          <cell r="H63">
            <v>11.85</v>
          </cell>
          <cell r="I63">
            <v>13.7</v>
          </cell>
          <cell r="J63">
            <v>13.7</v>
          </cell>
          <cell r="K63" t="str">
            <v>TRQ2-8.IV</v>
          </cell>
          <cell r="L63" t="str">
            <v>TRAVAILLEUR QUALIFIE</v>
          </cell>
          <cell r="M63" t="str">
            <v>CATEGORIE 1 A 5</v>
          </cell>
          <cell r="N63" t="str">
            <v>TRAVAILLEUR QUALIFIE (TQ), Echellon 2, Classe 8</v>
          </cell>
          <cell r="P63">
            <v>41349</v>
          </cell>
          <cell r="Q63" t="e">
            <v>#N/A</v>
          </cell>
          <cell r="R63" t="e">
            <v>#N/A</v>
          </cell>
          <cell r="S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 t="e">
            <v>#N/A</v>
          </cell>
          <cell r="AE63">
            <v>356.2</v>
          </cell>
          <cell r="AF63" t="e">
            <v>#N/A</v>
          </cell>
          <cell r="AG63" t="e">
            <v>#N/A</v>
          </cell>
          <cell r="AH63" t="e">
            <v>#N/A</v>
          </cell>
          <cell r="AI63" t="e">
            <v>#N/A</v>
          </cell>
          <cell r="AJ63" t="e">
            <v>#N/A</v>
          </cell>
          <cell r="AK63" t="e">
            <v>#N/A</v>
          </cell>
          <cell r="AL63" t="e">
            <v>#N/A</v>
          </cell>
          <cell r="AM63" t="e">
            <v>#N/A</v>
          </cell>
          <cell r="AN63">
            <v>0</v>
          </cell>
          <cell r="AR63" t="e">
            <v>#N/A</v>
          </cell>
          <cell r="AS63">
            <v>66</v>
          </cell>
          <cell r="AT63" t="e">
            <v>#N/A</v>
          </cell>
          <cell r="AU63">
            <v>48.8</v>
          </cell>
          <cell r="AV63">
            <v>2</v>
          </cell>
          <cell r="AX63">
            <v>0</v>
          </cell>
          <cell r="AY63" t="e">
            <v>#N/A</v>
          </cell>
          <cell r="BA63">
            <v>7.81</v>
          </cell>
          <cell r="BB63" t="e">
            <v>#N/A</v>
          </cell>
          <cell r="BC63">
            <v>0</v>
          </cell>
          <cell r="BD63" t="e">
            <v>#N/A</v>
          </cell>
          <cell r="BE63" t="e">
            <v>#N/A</v>
          </cell>
          <cell r="BF63" t="e">
            <v>#N/A</v>
          </cell>
          <cell r="BI63">
            <v>22</v>
          </cell>
          <cell r="BL63">
            <v>22</v>
          </cell>
          <cell r="BM63" t="e">
            <v>#N/A</v>
          </cell>
          <cell r="BN63" t="e">
            <v>#N/A</v>
          </cell>
          <cell r="BO63" t="e">
            <v>#N/A</v>
          </cell>
          <cell r="BP63" t="e">
            <v>#N/A</v>
          </cell>
          <cell r="BQ63" t="e">
            <v>#N/A</v>
          </cell>
          <cell r="BR63">
            <v>-0.38784232365145227</v>
          </cell>
          <cell r="BT63">
            <v>-0.38784232365145227</v>
          </cell>
          <cell r="BU63" t="e">
            <v>#N/A</v>
          </cell>
          <cell r="BV63" t="e">
            <v>#N/A</v>
          </cell>
          <cell r="BW63" t="e">
            <v>#N/A</v>
          </cell>
          <cell r="BX63" t="e">
            <v>#N/A</v>
          </cell>
          <cell r="BY63" t="e">
            <v>#N/A</v>
          </cell>
          <cell r="BZ63" t="str">
            <v>CDI</v>
          </cell>
          <cell r="CA63" t="str">
            <v/>
          </cell>
          <cell r="CB63" t="str">
            <v/>
          </cell>
          <cell r="CC63" t="str">
            <v>BANQUE</v>
          </cell>
          <cell r="CD63" t="str">
            <v>630-Human resources</v>
          </cell>
          <cell r="CE63">
            <v>630</v>
          </cell>
        </row>
        <row r="64">
          <cell r="B64" t="str">
            <v>02044</v>
          </cell>
          <cell r="C64" t="str">
            <v>MANGAMBA SUKADI SAM</v>
          </cell>
          <cell r="D64" t="str">
            <v>Human resources</v>
          </cell>
          <cell r="E64" t="str">
            <v>00018000360001151120041</v>
          </cell>
          <cell r="F64" t="str">
            <v>109429206240P</v>
          </cell>
          <cell r="G64" t="str">
            <v>Staff Facilities Attendant</v>
          </cell>
          <cell r="H64">
            <v>5</v>
          </cell>
          <cell r="I64">
            <v>5.8</v>
          </cell>
          <cell r="J64">
            <v>5.8000000000000007</v>
          </cell>
          <cell r="K64" t="str">
            <v>MAL1-2.I</v>
          </cell>
          <cell r="L64" t="str">
            <v>MANOEUVRE LOURD</v>
          </cell>
          <cell r="M64" t="str">
            <v>CATEGORIE 1 A 5</v>
          </cell>
          <cell r="N64" t="str">
            <v>MANŒUVRE LOURD (ML), Echellon 2, Classe 2</v>
          </cell>
          <cell r="P64">
            <v>41732</v>
          </cell>
          <cell r="Q64" t="e">
            <v>#N/A</v>
          </cell>
          <cell r="R64" t="e">
            <v>#N/A</v>
          </cell>
          <cell r="S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E64">
            <v>150.80000000000001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>
            <v>0</v>
          </cell>
          <cell r="AR64" t="e">
            <v>#N/A</v>
          </cell>
          <cell r="AS64">
            <v>80</v>
          </cell>
          <cell r="AT64" t="e">
            <v>#N/A</v>
          </cell>
          <cell r="AU64">
            <v>44.2</v>
          </cell>
          <cell r="AV64">
            <v>1</v>
          </cell>
          <cell r="AX64">
            <v>0</v>
          </cell>
          <cell r="AY64" t="e">
            <v>#N/A</v>
          </cell>
          <cell r="BA64">
            <v>0.150000000000034</v>
          </cell>
          <cell r="BB64" t="e">
            <v>#N/A</v>
          </cell>
          <cell r="BC64">
            <v>0</v>
          </cell>
          <cell r="BD64" t="e">
            <v>#N/A</v>
          </cell>
          <cell r="BE64" t="e">
            <v>#N/A</v>
          </cell>
          <cell r="BF64" t="e">
            <v>#N/A</v>
          </cell>
          <cell r="BL64">
            <v>0</v>
          </cell>
          <cell r="BM64" t="e">
            <v>#N/A</v>
          </cell>
          <cell r="BN64" t="e">
            <v>#N/A</v>
          </cell>
          <cell r="BO64" t="e">
            <v>#N/A</v>
          </cell>
          <cell r="BP64" t="e">
            <v>#N/A</v>
          </cell>
          <cell r="BQ64" t="e">
            <v>#N/A</v>
          </cell>
          <cell r="BR64">
            <v>-0.38784232365145227</v>
          </cell>
          <cell r="BT64">
            <v>-0.38784232365145227</v>
          </cell>
          <cell r="BU64" t="e">
            <v>#N/A</v>
          </cell>
          <cell r="BV64" t="e">
            <v>#N/A</v>
          </cell>
          <cell r="BW64" t="e">
            <v>#N/A</v>
          </cell>
          <cell r="BX64" t="e">
            <v>#N/A</v>
          </cell>
          <cell r="BY64" t="e">
            <v>#N/A</v>
          </cell>
          <cell r="BZ64" t="str">
            <v>CDI</v>
          </cell>
          <cell r="CA64" t="str">
            <v/>
          </cell>
          <cell r="CB64" t="str">
            <v/>
          </cell>
          <cell r="CC64" t="str">
            <v>BANQUE</v>
          </cell>
          <cell r="CD64" t="str">
            <v>630-Human resources</v>
          </cell>
          <cell r="CE64">
            <v>630</v>
          </cell>
        </row>
        <row r="65">
          <cell r="B65" t="str">
            <v>04229</v>
          </cell>
          <cell r="C65" t="str">
            <v>MANGAZA KUANDUA ELYSEE</v>
          </cell>
          <cell r="D65" t="str">
            <v>Housekeeping</v>
          </cell>
          <cell r="E65" t="str">
            <v>00018000360001152120014</v>
          </cell>
          <cell r="F65" t="str">
            <v>204068609170S</v>
          </cell>
          <cell r="G65" t="str">
            <v>Superviseuse de la Résidence des employés</v>
          </cell>
          <cell r="H65">
            <v>10.3</v>
          </cell>
          <cell r="I65">
            <v>11.85</v>
          </cell>
          <cell r="J65">
            <v>11.850000000000001</v>
          </cell>
          <cell r="K65" t="str">
            <v>TRQ1-7.IV</v>
          </cell>
          <cell r="L65" t="str">
            <v>TRAVAILLEUR QUALIFIE</v>
          </cell>
          <cell r="M65" t="str">
            <v>CATEGORIE 1 A 5</v>
          </cell>
          <cell r="N65" t="str">
            <v>TRAVAILLEUR QUALIFIE (TQ), Echellon 1, Classe 7</v>
          </cell>
          <cell r="P65">
            <v>41926</v>
          </cell>
          <cell r="Q65" t="e">
            <v>#N/A</v>
          </cell>
          <cell r="R65" t="e">
            <v>#N/A</v>
          </cell>
          <cell r="S65" t="e">
            <v>#N/A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X65" t="e">
            <v>#N/A</v>
          </cell>
          <cell r="Y65" t="e">
            <v>#N/A</v>
          </cell>
          <cell r="Z65" t="e">
            <v>#N/A</v>
          </cell>
          <cell r="AA65" t="e">
            <v>#N/A</v>
          </cell>
          <cell r="AB65" t="e">
            <v>#N/A</v>
          </cell>
          <cell r="AC65" t="e">
            <v>#N/A</v>
          </cell>
          <cell r="AE65">
            <v>308.10000000000002</v>
          </cell>
          <cell r="AF65" t="e">
            <v>#N/A</v>
          </cell>
          <cell r="AG65" t="e">
            <v>#N/A</v>
          </cell>
          <cell r="AH65" t="e">
            <v>#N/A</v>
          </cell>
          <cell r="AI65" t="e">
            <v>#N/A</v>
          </cell>
          <cell r="AJ65" t="e">
            <v>#N/A</v>
          </cell>
          <cell r="AK65" t="e">
            <v>#N/A</v>
          </cell>
          <cell r="AL65" t="e">
            <v>#N/A</v>
          </cell>
          <cell r="AM65" t="e">
            <v>#N/A</v>
          </cell>
          <cell r="AN65">
            <v>0</v>
          </cell>
          <cell r="AR65" t="e">
            <v>#N/A</v>
          </cell>
          <cell r="AS65">
            <v>75</v>
          </cell>
          <cell r="AT65" t="e">
            <v>#N/A</v>
          </cell>
          <cell r="AU65">
            <v>61.9</v>
          </cell>
          <cell r="AV65">
            <v>2</v>
          </cell>
          <cell r="AX65">
            <v>0</v>
          </cell>
          <cell r="AY65" t="e">
            <v>#N/A</v>
          </cell>
          <cell r="BA65">
            <v>1.54000000000002</v>
          </cell>
          <cell r="BB65" t="e">
            <v>#N/A</v>
          </cell>
          <cell r="BC65">
            <v>10</v>
          </cell>
          <cell r="BD65" t="e">
            <v>#N/A</v>
          </cell>
          <cell r="BE65" t="e">
            <v>#N/A</v>
          </cell>
          <cell r="BF65" t="e">
            <v>#N/A</v>
          </cell>
          <cell r="BL65">
            <v>0</v>
          </cell>
          <cell r="BM65" t="e">
            <v>#N/A</v>
          </cell>
          <cell r="BN65" t="e">
            <v>#N/A</v>
          </cell>
          <cell r="BO65" t="e">
            <v>#N/A</v>
          </cell>
          <cell r="BP65" t="e">
            <v>#N/A</v>
          </cell>
          <cell r="BQ65" t="e">
            <v>#N/A</v>
          </cell>
          <cell r="BR65">
            <v>-0.38784232365145227</v>
          </cell>
          <cell r="BT65">
            <v>-0.38784232365145227</v>
          </cell>
          <cell r="BU65" t="e">
            <v>#N/A</v>
          </cell>
          <cell r="BV65" t="e">
            <v>#N/A</v>
          </cell>
          <cell r="BW65" t="e">
            <v>#N/A</v>
          </cell>
          <cell r="BX65" t="e">
            <v>#N/A</v>
          </cell>
          <cell r="BY65" t="e">
            <v>#N/A</v>
          </cell>
          <cell r="BZ65" t="str">
            <v>CDI</v>
          </cell>
          <cell r="CA65" t="str">
            <v/>
          </cell>
          <cell r="CB65" t="str">
            <v/>
          </cell>
          <cell r="CC65" t="str">
            <v>BANQUE</v>
          </cell>
          <cell r="CD65" t="str">
            <v>160-Housekeeping</v>
          </cell>
          <cell r="CE65">
            <v>160</v>
          </cell>
        </row>
        <row r="66">
          <cell r="B66" t="str">
            <v>07134</v>
          </cell>
          <cell r="C66" t="str">
            <v>KASALI YUMA JEAN LUC</v>
          </cell>
          <cell r="D66" t="str">
            <v>Housekeeping</v>
          </cell>
          <cell r="E66" t="str">
            <v>00018000360001243120079</v>
          </cell>
          <cell r="F66" t="str">
            <v>104039304300B</v>
          </cell>
          <cell r="G66" t="str">
            <v>Staff Facilities Attendant</v>
          </cell>
          <cell r="H66">
            <v>5.8</v>
          </cell>
          <cell r="I66">
            <v>6.65</v>
          </cell>
          <cell r="J66">
            <v>6.65</v>
          </cell>
          <cell r="K66" t="str">
            <v>TSP0-3.II</v>
          </cell>
          <cell r="L66" t="str">
            <v>TRAVAILLEUR SPECIALISE</v>
          </cell>
          <cell r="M66" t="str">
            <v>CATEGORIE 1 A 5</v>
          </cell>
          <cell r="N66" t="str">
            <v>TRAVAILLEUR SPECIALISE (TS), Echellon 0 , Classe 3</v>
          </cell>
          <cell r="P66">
            <v>42478</v>
          </cell>
          <cell r="Q66" t="e">
            <v>#N/A</v>
          </cell>
          <cell r="R66" t="e">
            <v>#N/A</v>
          </cell>
          <cell r="S66" t="e">
            <v>#N/A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X66" t="e">
            <v>#N/A</v>
          </cell>
          <cell r="Y66" t="e">
            <v>#N/A</v>
          </cell>
          <cell r="Z66" t="e">
            <v>#N/A</v>
          </cell>
          <cell r="AA66" t="e">
            <v>#N/A</v>
          </cell>
          <cell r="AB66" t="e">
            <v>#N/A</v>
          </cell>
          <cell r="AC66" t="e">
            <v>#N/A</v>
          </cell>
          <cell r="AE66">
            <v>172.9</v>
          </cell>
          <cell r="AF66" t="e">
            <v>#N/A</v>
          </cell>
          <cell r="AG66" t="e">
            <v>#N/A</v>
          </cell>
          <cell r="AH66" t="e">
            <v>#N/A</v>
          </cell>
          <cell r="AI66" t="e">
            <v>#N/A</v>
          </cell>
          <cell r="AJ66" t="e">
            <v>#N/A</v>
          </cell>
          <cell r="AK66" t="e">
            <v>#N/A</v>
          </cell>
          <cell r="AL66" t="e">
            <v>#N/A</v>
          </cell>
          <cell r="AM66" t="e">
            <v>#N/A</v>
          </cell>
          <cell r="AN66">
            <v>0</v>
          </cell>
          <cell r="AR66" t="e">
            <v>#N/A</v>
          </cell>
          <cell r="AS66">
            <v>55</v>
          </cell>
          <cell r="AT66" t="e">
            <v>#N/A</v>
          </cell>
          <cell r="AU66">
            <v>11.45</v>
          </cell>
          <cell r="AV66">
            <v>1</v>
          </cell>
          <cell r="AX66">
            <v>0</v>
          </cell>
          <cell r="AY66" t="e">
            <v>#N/A</v>
          </cell>
          <cell r="BA66">
            <v>3.51999999999998</v>
          </cell>
          <cell r="BB66" t="e">
            <v>#N/A</v>
          </cell>
          <cell r="BC66">
            <v>0</v>
          </cell>
          <cell r="BD66" t="e">
            <v>#N/A</v>
          </cell>
          <cell r="BE66" t="e">
            <v>#N/A</v>
          </cell>
          <cell r="BF66" t="e">
            <v>#N/A</v>
          </cell>
          <cell r="BL66">
            <v>0</v>
          </cell>
          <cell r="BM66" t="e">
            <v>#N/A</v>
          </cell>
          <cell r="BN66" t="e">
            <v>#N/A</v>
          </cell>
          <cell r="BO66" t="e">
            <v>#N/A</v>
          </cell>
          <cell r="BP66" t="e">
            <v>#N/A</v>
          </cell>
          <cell r="BQ66" t="e">
            <v>#N/A</v>
          </cell>
          <cell r="BR66">
            <v>-0.38784232365145227</v>
          </cell>
          <cell r="BT66">
            <v>-0.38784232365145227</v>
          </cell>
          <cell r="BU66" t="e">
            <v>#N/A</v>
          </cell>
          <cell r="BV66" t="e">
            <v>#N/A</v>
          </cell>
          <cell r="BW66" t="e">
            <v>#N/A</v>
          </cell>
          <cell r="BX66" t="e">
            <v>#N/A</v>
          </cell>
          <cell r="BY66" t="e">
            <v>#N/A</v>
          </cell>
          <cell r="BZ66" t="str">
            <v>CDI</v>
          </cell>
          <cell r="CA66" t="str">
            <v/>
          </cell>
          <cell r="CB66" t="str">
            <v/>
          </cell>
          <cell r="CC66" t="str">
            <v>BANQUE</v>
          </cell>
          <cell r="CD66" t="str">
            <v>160-Housekeeping</v>
          </cell>
          <cell r="CE66">
            <v>160</v>
          </cell>
        </row>
        <row r="67">
          <cell r="B67" t="str">
            <v>01016</v>
          </cell>
          <cell r="C67" t="str">
            <v>NGAMUKUBA MBO FOSTER</v>
          </cell>
          <cell r="D67" t="str">
            <v>Guest Transportation</v>
          </cell>
          <cell r="E67" t="str">
            <v>00018000360001281120023</v>
          </cell>
          <cell r="F67" t="str">
            <v>109517708260N</v>
          </cell>
          <cell r="G67" t="str">
            <v>A&amp;G Driver</v>
          </cell>
          <cell r="H67">
            <v>8.9</v>
          </cell>
          <cell r="I67">
            <v>10.3</v>
          </cell>
          <cell r="J67">
            <v>10.3</v>
          </cell>
          <cell r="K67" t="str">
            <v>TSQ3-6.III</v>
          </cell>
          <cell r="L67" t="str">
            <v>TRAVAILLEUR SEMI QUALIFIE</v>
          </cell>
          <cell r="M67" t="str">
            <v>CATEGORIE 1 A 5</v>
          </cell>
          <cell r="N67" t="str">
            <v>TRAVAILLEUR SEMI QUALIFIE (TSQ), Echellon 3, Classe 6</v>
          </cell>
          <cell r="P67">
            <v>41788</v>
          </cell>
          <cell r="Q67" t="e">
            <v>#N/A</v>
          </cell>
          <cell r="R67" t="e">
            <v>#N/A</v>
          </cell>
          <cell r="S67" t="e">
            <v>#N/A</v>
          </cell>
          <cell r="T67" t="e">
            <v>#N/A</v>
          </cell>
          <cell r="U67" t="e">
            <v>#N/A</v>
          </cell>
          <cell r="V67" t="e">
            <v>#N/A</v>
          </cell>
          <cell r="W67" t="e">
            <v>#N/A</v>
          </cell>
          <cell r="X67" t="e">
            <v>#N/A</v>
          </cell>
          <cell r="Y67" t="e">
            <v>#N/A</v>
          </cell>
          <cell r="Z67" t="e">
            <v>#N/A</v>
          </cell>
          <cell r="AA67" t="e">
            <v>#N/A</v>
          </cell>
          <cell r="AB67" t="e">
            <v>#N/A</v>
          </cell>
          <cell r="AC67" t="e">
            <v>#N/A</v>
          </cell>
          <cell r="AE67">
            <v>267.8</v>
          </cell>
          <cell r="AF67" t="e">
            <v>#N/A</v>
          </cell>
          <cell r="AG67" t="e">
            <v>#N/A</v>
          </cell>
          <cell r="AH67" t="e">
            <v>#N/A</v>
          </cell>
          <cell r="AI67" t="e">
            <v>#N/A</v>
          </cell>
          <cell r="AJ67" t="e">
            <v>#N/A</v>
          </cell>
          <cell r="AK67" t="e">
            <v>#N/A</v>
          </cell>
          <cell r="AL67" t="e">
            <v>#N/A</v>
          </cell>
          <cell r="AM67" t="e">
            <v>#N/A</v>
          </cell>
          <cell r="AN67">
            <v>0</v>
          </cell>
          <cell r="AR67" t="e">
            <v>#N/A</v>
          </cell>
          <cell r="AS67">
            <v>80</v>
          </cell>
          <cell r="AT67" t="e">
            <v>#N/A</v>
          </cell>
          <cell r="AU67">
            <v>48.95</v>
          </cell>
          <cell r="AV67">
            <v>1</v>
          </cell>
          <cell r="AX67">
            <v>0</v>
          </cell>
          <cell r="AY67" t="e">
            <v>#N/A</v>
          </cell>
          <cell r="BA67">
            <v>3.99000000000001</v>
          </cell>
          <cell r="BB67" t="e">
            <v>#N/A</v>
          </cell>
          <cell r="BC67">
            <v>10</v>
          </cell>
          <cell r="BD67" t="e">
            <v>#N/A</v>
          </cell>
          <cell r="BE67" t="e">
            <v>#N/A</v>
          </cell>
          <cell r="BF67" t="e">
            <v>#N/A</v>
          </cell>
          <cell r="BL67">
            <v>0</v>
          </cell>
          <cell r="BM67" t="e">
            <v>#N/A</v>
          </cell>
          <cell r="BN67" t="e">
            <v>#N/A</v>
          </cell>
          <cell r="BO67" t="e">
            <v>#N/A</v>
          </cell>
          <cell r="BP67" t="e">
            <v>#N/A</v>
          </cell>
          <cell r="BQ67" t="e">
            <v>#N/A</v>
          </cell>
          <cell r="BR67">
            <v>-0.38784232365145227</v>
          </cell>
          <cell r="BT67">
            <v>-0.38784232365145227</v>
          </cell>
          <cell r="BU67" t="e">
            <v>#N/A</v>
          </cell>
          <cell r="BV67" t="e">
            <v>#N/A</v>
          </cell>
          <cell r="BW67" t="e">
            <v>#N/A</v>
          </cell>
          <cell r="BX67" t="e">
            <v>#N/A</v>
          </cell>
          <cell r="BY67" t="e">
            <v>#N/A</v>
          </cell>
          <cell r="BZ67" t="str">
            <v>CDI</v>
          </cell>
          <cell r="CA67" t="str">
            <v/>
          </cell>
          <cell r="CB67" t="str">
            <v/>
          </cell>
          <cell r="CC67" t="str">
            <v>BANQUE</v>
          </cell>
          <cell r="CD67" t="str">
            <v>481-Guest Transportation</v>
          </cell>
          <cell r="CE67">
            <v>481</v>
          </cell>
        </row>
        <row r="68">
          <cell r="B68" t="str">
            <v>05158</v>
          </cell>
          <cell r="C68" t="str">
            <v>NZAU LUVUEZO DIEU MERCI</v>
          </cell>
          <cell r="D68" t="str">
            <v>Sales</v>
          </cell>
          <cell r="E68" t="str">
            <v>00018000360001205120038</v>
          </cell>
          <cell r="F68" t="str">
            <v>108419008150N</v>
          </cell>
          <cell r="G68" t="str">
            <v>Groups &amp; Events Coordinator</v>
          </cell>
          <cell r="H68">
            <v>18.3</v>
          </cell>
          <cell r="I68">
            <v>21.1</v>
          </cell>
          <cell r="J68">
            <v>21.1</v>
          </cell>
          <cell r="K68" t="str">
            <v>MAT2-11.M</v>
          </cell>
          <cell r="L68" t="str">
            <v>MAITRISE</v>
          </cell>
          <cell r="M68" t="str">
            <v>MAITRISE</v>
          </cell>
          <cell r="N68" t="str">
            <v>MAITRISES, Echellon 2, Classe 11</v>
          </cell>
          <cell r="P68">
            <v>41153</v>
          </cell>
          <cell r="Q68" t="e">
            <v>#N/A</v>
          </cell>
          <cell r="R68" t="e">
            <v>#N/A</v>
          </cell>
          <cell r="S68" t="e">
            <v>#N/A</v>
          </cell>
          <cell r="T68" t="e">
            <v>#N/A</v>
          </cell>
          <cell r="U68" t="e">
            <v>#N/A</v>
          </cell>
          <cell r="V68" t="e">
            <v>#N/A</v>
          </cell>
          <cell r="W68" t="e">
            <v>#N/A</v>
          </cell>
          <cell r="X68" t="e">
            <v>#N/A</v>
          </cell>
          <cell r="Y68" t="e">
            <v>#N/A</v>
          </cell>
          <cell r="Z68" t="e">
            <v>#N/A</v>
          </cell>
          <cell r="AA68" t="e">
            <v>#N/A</v>
          </cell>
          <cell r="AB68" t="e">
            <v>#N/A</v>
          </cell>
          <cell r="AC68" t="e">
            <v>#N/A</v>
          </cell>
          <cell r="AE68">
            <v>548.6</v>
          </cell>
          <cell r="AF68" t="e">
            <v>#N/A</v>
          </cell>
          <cell r="AG68" t="e">
            <v>#N/A</v>
          </cell>
          <cell r="AH68" t="e">
            <v>#N/A</v>
          </cell>
          <cell r="AI68" t="e">
            <v>#N/A</v>
          </cell>
          <cell r="AJ68" t="e">
            <v>#N/A</v>
          </cell>
          <cell r="AK68" t="e">
            <v>#N/A</v>
          </cell>
          <cell r="AL68" t="e">
            <v>#N/A</v>
          </cell>
          <cell r="AM68" t="e">
            <v>#N/A</v>
          </cell>
          <cell r="AN68">
            <v>0</v>
          </cell>
          <cell r="AR68" t="e">
            <v>#N/A</v>
          </cell>
          <cell r="AS68">
            <v>85</v>
          </cell>
          <cell r="AT68" t="e">
            <v>#N/A</v>
          </cell>
          <cell r="AU68">
            <v>110.4</v>
          </cell>
          <cell r="AV68">
            <v>1</v>
          </cell>
          <cell r="AX68">
            <v>0</v>
          </cell>
          <cell r="AY68" t="e">
            <v>#N/A</v>
          </cell>
          <cell r="BA68">
            <v>7.8899999999999899</v>
          </cell>
          <cell r="BB68" t="e">
            <v>#N/A</v>
          </cell>
          <cell r="BC68">
            <v>100</v>
          </cell>
          <cell r="BD68" t="e">
            <v>#N/A</v>
          </cell>
          <cell r="BE68" t="e">
            <v>#N/A</v>
          </cell>
          <cell r="BF68" t="e">
            <v>#N/A</v>
          </cell>
          <cell r="BL68">
            <v>0</v>
          </cell>
          <cell r="BM68" t="e">
            <v>#N/A</v>
          </cell>
          <cell r="BN68" t="e">
            <v>#N/A</v>
          </cell>
          <cell r="BO68" t="e">
            <v>#N/A</v>
          </cell>
          <cell r="BP68" t="e">
            <v>#N/A</v>
          </cell>
          <cell r="BQ68" t="e">
            <v>#N/A</v>
          </cell>
          <cell r="BR68">
            <v>-0.38784232365145227</v>
          </cell>
          <cell r="BT68">
            <v>-0.38784232365145227</v>
          </cell>
          <cell r="BU68" t="e">
            <v>#N/A</v>
          </cell>
          <cell r="BV68" t="e">
            <v>#N/A</v>
          </cell>
          <cell r="BW68" t="e">
            <v>#N/A</v>
          </cell>
          <cell r="BX68" t="e">
            <v>#N/A</v>
          </cell>
          <cell r="BY68" t="e">
            <v>#N/A</v>
          </cell>
          <cell r="BZ68" t="str">
            <v>CDI</v>
          </cell>
          <cell r="CA68" t="str">
            <v/>
          </cell>
          <cell r="CB68" t="str">
            <v/>
          </cell>
          <cell r="CC68" t="str">
            <v>BANQUE</v>
          </cell>
          <cell r="CD68" t="str">
            <v>710-Sales</v>
          </cell>
          <cell r="CE68">
            <v>710</v>
          </cell>
        </row>
        <row r="69">
          <cell r="B69" t="str">
            <v>05311</v>
          </cell>
          <cell r="C69" t="str">
            <v>MUKUE MIGUEL DINKONDO</v>
          </cell>
          <cell r="D69" t="str">
            <v>Banquet</v>
          </cell>
          <cell r="E69" t="str">
            <v>00018000360001172120056</v>
          </cell>
          <cell r="F69" t="str">
            <v>109418210040A</v>
          </cell>
          <cell r="G69" t="str">
            <v>Banquet Waiter</v>
          </cell>
          <cell r="H69">
            <v>6.65</v>
          </cell>
          <cell r="I69">
            <v>7.7</v>
          </cell>
          <cell r="J69">
            <v>7.6999999999999993</v>
          </cell>
          <cell r="K69" t="str">
            <v>TSQ1-4.III</v>
          </cell>
          <cell r="L69" t="str">
            <v>TRAVAILLEUR SEMI QUALIFIE</v>
          </cell>
          <cell r="M69" t="str">
            <v>CATEGORIE 1 A 5</v>
          </cell>
          <cell r="N69" t="str">
            <v>TRAVAILLEUR SEMI QUALIFIE (TSQ), Echellon 1, Classe 4</v>
          </cell>
          <cell r="P69">
            <v>41955</v>
          </cell>
          <cell r="Q69" t="e">
            <v>#N/A</v>
          </cell>
          <cell r="R69" t="e">
            <v>#N/A</v>
          </cell>
          <cell r="S69" t="e">
            <v>#N/A</v>
          </cell>
          <cell r="T69" t="e">
            <v>#N/A</v>
          </cell>
          <cell r="U69" t="e">
            <v>#N/A</v>
          </cell>
          <cell r="V69" t="e">
            <v>#N/A</v>
          </cell>
          <cell r="W69" t="e">
            <v>#N/A</v>
          </cell>
          <cell r="X69" t="e">
            <v>#N/A</v>
          </cell>
          <cell r="Y69" t="e">
            <v>#N/A</v>
          </cell>
          <cell r="Z69" t="e">
            <v>#N/A</v>
          </cell>
          <cell r="AA69" t="e">
            <v>#N/A</v>
          </cell>
          <cell r="AB69" t="e">
            <v>#N/A</v>
          </cell>
          <cell r="AC69" t="e">
            <v>#N/A</v>
          </cell>
          <cell r="AE69">
            <v>200.2</v>
          </cell>
          <cell r="AF69" t="e">
            <v>#N/A</v>
          </cell>
          <cell r="AG69" t="e">
            <v>#N/A</v>
          </cell>
          <cell r="AH69" t="e">
            <v>#N/A</v>
          </cell>
          <cell r="AI69" t="e">
            <v>#N/A</v>
          </cell>
          <cell r="AJ69" t="e">
            <v>#N/A</v>
          </cell>
          <cell r="AK69" t="e">
            <v>#N/A</v>
          </cell>
          <cell r="AL69" t="e">
            <v>#N/A</v>
          </cell>
          <cell r="AM69" t="e">
            <v>#N/A</v>
          </cell>
          <cell r="AN69">
            <v>0</v>
          </cell>
          <cell r="AR69" t="e">
            <v>#N/A</v>
          </cell>
          <cell r="AS69">
            <v>60</v>
          </cell>
          <cell r="AT69" t="e">
            <v>#N/A</v>
          </cell>
          <cell r="AU69">
            <v>49.1</v>
          </cell>
          <cell r="AV69">
            <v>2</v>
          </cell>
          <cell r="AX69">
            <v>0</v>
          </cell>
          <cell r="AY69" t="e">
            <v>#N/A</v>
          </cell>
          <cell r="BA69">
            <v>0.76999999999998203</v>
          </cell>
          <cell r="BB69" t="e">
            <v>#N/A</v>
          </cell>
          <cell r="BC69">
            <v>0</v>
          </cell>
          <cell r="BD69" t="e">
            <v>#N/A</v>
          </cell>
          <cell r="BE69" t="e">
            <v>#N/A</v>
          </cell>
          <cell r="BF69" t="e">
            <v>#N/A</v>
          </cell>
          <cell r="BL69">
            <v>0</v>
          </cell>
          <cell r="BM69" t="e">
            <v>#N/A</v>
          </cell>
          <cell r="BN69" t="e">
            <v>#N/A</v>
          </cell>
          <cell r="BO69" t="e">
            <v>#N/A</v>
          </cell>
          <cell r="BP69" t="e">
            <v>#N/A</v>
          </cell>
          <cell r="BQ69" t="e">
            <v>#N/A</v>
          </cell>
          <cell r="BR69">
            <v>-0.38784232365145227</v>
          </cell>
          <cell r="BT69">
            <v>-0.38784232365145227</v>
          </cell>
          <cell r="BU69" t="e">
            <v>#N/A</v>
          </cell>
          <cell r="BV69" t="e">
            <v>#N/A</v>
          </cell>
          <cell r="BW69" t="e">
            <v>#N/A</v>
          </cell>
          <cell r="BX69" t="e">
            <v>#N/A</v>
          </cell>
          <cell r="BY69" t="e">
            <v>#N/A</v>
          </cell>
          <cell r="BZ69" t="str">
            <v>CDI</v>
          </cell>
          <cell r="CA69" t="str">
            <v/>
          </cell>
          <cell r="CB69" t="str">
            <v/>
          </cell>
          <cell r="CC69" t="str">
            <v>BANQUE</v>
          </cell>
          <cell r="CD69" t="str">
            <v>251-Banquet</v>
          </cell>
          <cell r="CE69">
            <v>251</v>
          </cell>
        </row>
        <row r="70">
          <cell r="B70" t="str">
            <v>05312</v>
          </cell>
          <cell r="C70" t="str">
            <v>MULENGA KASHALA EDDY</v>
          </cell>
          <cell r="D70" t="str">
            <v>Banquet</v>
          </cell>
          <cell r="E70" t="str">
            <v>00018000360001174120002</v>
          </cell>
          <cell r="F70" t="str">
            <v>11990213408K</v>
          </cell>
          <cell r="G70" t="str">
            <v>Banquet Supervisor</v>
          </cell>
          <cell r="H70">
            <v>10.3</v>
          </cell>
          <cell r="I70">
            <v>11.85</v>
          </cell>
          <cell r="J70">
            <v>11.850000000000001</v>
          </cell>
          <cell r="K70" t="str">
            <v>TRQ1-7.IV</v>
          </cell>
          <cell r="L70" t="str">
            <v>TRAVAILLEUR QUALIFIE</v>
          </cell>
          <cell r="M70" t="str">
            <v>CATEGORIE 1 A 5</v>
          </cell>
          <cell r="N70" t="str">
            <v>TRAVAILLEUR QUALIFIE (TQ), Echellon 1, Classe 7</v>
          </cell>
          <cell r="P70">
            <v>41984</v>
          </cell>
          <cell r="Q70" t="e">
            <v>#N/A</v>
          </cell>
          <cell r="R70" t="e">
            <v>#N/A</v>
          </cell>
          <cell r="S70" t="e">
            <v>#N/A</v>
          </cell>
          <cell r="T70" t="e">
            <v>#N/A</v>
          </cell>
          <cell r="U70" t="e">
            <v>#N/A</v>
          </cell>
          <cell r="V70" t="e">
            <v>#N/A</v>
          </cell>
          <cell r="W70" t="e">
            <v>#N/A</v>
          </cell>
          <cell r="X70" t="e">
            <v>#N/A</v>
          </cell>
          <cell r="Y70" t="e">
            <v>#N/A</v>
          </cell>
          <cell r="Z70" t="e">
            <v>#N/A</v>
          </cell>
          <cell r="AA70" t="e">
            <v>#N/A</v>
          </cell>
          <cell r="AB70" t="e">
            <v>#N/A</v>
          </cell>
          <cell r="AC70" t="e">
            <v>#N/A</v>
          </cell>
          <cell r="AE70">
            <v>308.10000000000002</v>
          </cell>
          <cell r="AF70" t="e">
            <v>#N/A</v>
          </cell>
          <cell r="AG70" t="e">
            <v>#N/A</v>
          </cell>
          <cell r="AH70" t="e">
            <v>#N/A</v>
          </cell>
          <cell r="AI70" t="e">
            <v>#N/A</v>
          </cell>
          <cell r="AJ70" t="e">
            <v>#N/A</v>
          </cell>
          <cell r="AK70" t="e">
            <v>#N/A</v>
          </cell>
          <cell r="AL70" t="e">
            <v>#N/A</v>
          </cell>
          <cell r="AM70" t="e">
            <v>#N/A</v>
          </cell>
          <cell r="AN70">
            <v>0</v>
          </cell>
          <cell r="AR70" t="e">
            <v>#N/A</v>
          </cell>
          <cell r="AS70">
            <v>79</v>
          </cell>
          <cell r="AT70" t="e">
            <v>#N/A</v>
          </cell>
          <cell r="AU70">
            <v>42.9</v>
          </cell>
          <cell r="AV70">
            <v>0</v>
          </cell>
          <cell r="AX70">
            <v>0</v>
          </cell>
          <cell r="AY70" t="e">
            <v>#N/A</v>
          </cell>
          <cell r="BA70">
            <v>6.88</v>
          </cell>
          <cell r="BB70" t="e">
            <v>#N/A</v>
          </cell>
          <cell r="BC70">
            <v>0</v>
          </cell>
          <cell r="BD70" t="e">
            <v>#N/A</v>
          </cell>
          <cell r="BE70" t="e">
            <v>#N/A</v>
          </cell>
          <cell r="BF70" t="e">
            <v>#N/A</v>
          </cell>
          <cell r="BL70">
            <v>0</v>
          </cell>
          <cell r="BM70" t="e">
            <v>#N/A</v>
          </cell>
          <cell r="BN70" t="e">
            <v>#N/A</v>
          </cell>
          <cell r="BO70" t="e">
            <v>#N/A</v>
          </cell>
          <cell r="BP70" t="e">
            <v>#N/A</v>
          </cell>
          <cell r="BQ70" t="e">
            <v>#N/A</v>
          </cell>
          <cell r="BR70">
            <v>-0.38784232365145227</v>
          </cell>
          <cell r="BT70">
            <v>-0.38784232365145227</v>
          </cell>
          <cell r="BU70" t="e">
            <v>#N/A</v>
          </cell>
          <cell r="BV70" t="e">
            <v>#N/A</v>
          </cell>
          <cell r="BW70" t="e">
            <v>#N/A</v>
          </cell>
          <cell r="BX70" t="e">
            <v>#N/A</v>
          </cell>
          <cell r="BY70" t="e">
            <v>#N/A</v>
          </cell>
          <cell r="BZ70" t="str">
            <v>CDI</v>
          </cell>
          <cell r="CA70" t="str">
            <v/>
          </cell>
          <cell r="CB70" t="str">
            <v/>
          </cell>
          <cell r="CC70" t="str">
            <v>BANQUE</v>
          </cell>
          <cell r="CD70" t="str">
            <v>251-Banquet</v>
          </cell>
          <cell r="CE70">
            <v>251</v>
          </cell>
        </row>
        <row r="71">
          <cell r="B71" t="str">
            <v>05322</v>
          </cell>
          <cell r="C71" t="str">
            <v>MWAMBA LUTUMBA CARLOS</v>
          </cell>
          <cell r="D71" t="str">
            <v>Banquet</v>
          </cell>
          <cell r="E71" t="str">
            <v>00018000360001186120066</v>
          </cell>
          <cell r="F71" t="str">
            <v>107319008300D</v>
          </cell>
          <cell r="G71" t="str">
            <v>Banquet Waiter</v>
          </cell>
          <cell r="H71">
            <v>6.65</v>
          </cell>
          <cell r="I71">
            <v>7.7</v>
          </cell>
          <cell r="J71">
            <v>7.6999999999999993</v>
          </cell>
          <cell r="K71" t="str">
            <v>TSQ1-4.III</v>
          </cell>
          <cell r="L71" t="str">
            <v>TRAVAILLEUR SEMI QUALIFIE</v>
          </cell>
          <cell r="M71" t="str">
            <v>CATEGORIE 1 A 5</v>
          </cell>
          <cell r="N71" t="str">
            <v>TRAVAILLEUR SEMI QUALIFIE (TSQ), Echellon 1, Classe 4</v>
          </cell>
          <cell r="P71">
            <v>42068</v>
          </cell>
          <cell r="Q71" t="e">
            <v>#N/A</v>
          </cell>
          <cell r="R71" t="e">
            <v>#N/A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X71" t="e">
            <v>#N/A</v>
          </cell>
          <cell r="Y71" t="e">
            <v>#N/A</v>
          </cell>
          <cell r="Z71" t="e">
            <v>#N/A</v>
          </cell>
          <cell r="AA71" t="e">
            <v>#N/A</v>
          </cell>
          <cell r="AB71" t="e">
            <v>#N/A</v>
          </cell>
          <cell r="AC71" t="e">
            <v>#N/A</v>
          </cell>
          <cell r="AE71">
            <v>200.2</v>
          </cell>
          <cell r="AF71" t="e">
            <v>#N/A</v>
          </cell>
          <cell r="AG71" t="e">
            <v>#N/A</v>
          </cell>
          <cell r="AH71" t="e">
            <v>#N/A</v>
          </cell>
          <cell r="AI71" t="e">
            <v>#N/A</v>
          </cell>
          <cell r="AJ71" t="e">
            <v>#N/A</v>
          </cell>
          <cell r="AK71" t="e">
            <v>#N/A</v>
          </cell>
          <cell r="AL71" t="e">
            <v>#N/A</v>
          </cell>
          <cell r="AM71" t="e">
            <v>#N/A</v>
          </cell>
          <cell r="AN71">
            <v>0</v>
          </cell>
          <cell r="AR71" t="e">
            <v>#N/A</v>
          </cell>
          <cell r="AS71">
            <v>60</v>
          </cell>
          <cell r="AT71" t="e">
            <v>#N/A</v>
          </cell>
          <cell r="AU71">
            <v>47.23</v>
          </cell>
          <cell r="AV71">
            <v>1</v>
          </cell>
          <cell r="AX71">
            <v>0</v>
          </cell>
          <cell r="AY71" t="e">
            <v>#N/A</v>
          </cell>
          <cell r="BA71">
            <v>0.84000000000003205</v>
          </cell>
          <cell r="BB71" t="e">
            <v>#N/A</v>
          </cell>
          <cell r="BC71">
            <v>0</v>
          </cell>
          <cell r="BD71" t="e">
            <v>#N/A</v>
          </cell>
          <cell r="BE71" t="e">
            <v>#N/A</v>
          </cell>
          <cell r="BF71" t="e">
            <v>#N/A</v>
          </cell>
          <cell r="BL71">
            <v>0</v>
          </cell>
          <cell r="BM71" t="e">
            <v>#N/A</v>
          </cell>
          <cell r="BN71" t="e">
            <v>#N/A</v>
          </cell>
          <cell r="BO71" t="e">
            <v>#N/A</v>
          </cell>
          <cell r="BP71" t="e">
            <v>#N/A</v>
          </cell>
          <cell r="BQ71" t="e">
            <v>#N/A</v>
          </cell>
          <cell r="BR71">
            <v>-0.38784232365145227</v>
          </cell>
          <cell r="BT71">
            <v>-0.38784232365145227</v>
          </cell>
          <cell r="BU71" t="e">
            <v>#N/A</v>
          </cell>
          <cell r="BV71" t="e">
            <v>#N/A</v>
          </cell>
          <cell r="BW71" t="e">
            <v>#N/A</v>
          </cell>
          <cell r="BX71" t="e">
            <v>#N/A</v>
          </cell>
          <cell r="BY71" t="e">
            <v>#N/A</v>
          </cell>
          <cell r="BZ71" t="str">
            <v>CDI</v>
          </cell>
          <cell r="CA71" t="str">
            <v/>
          </cell>
          <cell r="CB71" t="str">
            <v/>
          </cell>
          <cell r="CC71" t="str">
            <v>BANQUE</v>
          </cell>
          <cell r="CD71" t="str">
            <v>251-Banquet</v>
          </cell>
          <cell r="CE71">
            <v>251</v>
          </cell>
        </row>
        <row r="72">
          <cell r="B72" t="str">
            <v>05327</v>
          </cell>
          <cell r="C72" t="str">
            <v>MUNGENDA KISALA DAVE</v>
          </cell>
          <cell r="D72" t="str">
            <v>Banquet</v>
          </cell>
          <cell r="E72" t="str">
            <v>00018000360001178120088</v>
          </cell>
          <cell r="F72" t="str">
            <v>109438802190U</v>
          </cell>
          <cell r="G72" t="str">
            <v>Assit Banquet Manager</v>
          </cell>
          <cell r="H72">
            <v>15.85</v>
          </cell>
          <cell r="I72">
            <v>18.3</v>
          </cell>
          <cell r="J72">
            <v>18.3</v>
          </cell>
          <cell r="K72" t="str">
            <v>MAT1-10.M</v>
          </cell>
          <cell r="L72" t="str">
            <v>MAITRISE</v>
          </cell>
          <cell r="M72" t="str">
            <v>MAITRISE</v>
          </cell>
          <cell r="N72" t="str">
            <v>MAITRISES, Echellon 1, Classe 10</v>
          </cell>
          <cell r="P72">
            <v>42084</v>
          </cell>
          <cell r="Q72" t="e">
            <v>#N/A</v>
          </cell>
          <cell r="R72" t="e">
            <v>#N/A</v>
          </cell>
          <cell r="S72" t="e">
            <v>#N/A</v>
          </cell>
          <cell r="T72" t="e">
            <v>#N/A</v>
          </cell>
          <cell r="U72" t="e">
            <v>#N/A</v>
          </cell>
          <cell r="V72" t="e">
            <v>#N/A</v>
          </cell>
          <cell r="W72" t="e">
            <v>#N/A</v>
          </cell>
          <cell r="X72" t="e">
            <v>#N/A</v>
          </cell>
          <cell r="Y72" t="e">
            <v>#N/A</v>
          </cell>
          <cell r="Z72" t="e">
            <v>#N/A</v>
          </cell>
          <cell r="AA72" t="e">
            <v>#N/A</v>
          </cell>
          <cell r="AB72" t="e">
            <v>#N/A</v>
          </cell>
          <cell r="AC72" t="e">
            <v>#N/A</v>
          </cell>
          <cell r="AE72">
            <v>475.8</v>
          </cell>
          <cell r="AF72" t="e">
            <v>#N/A</v>
          </cell>
          <cell r="AG72" t="e">
            <v>#N/A</v>
          </cell>
          <cell r="AH72" t="e">
            <v>#N/A</v>
          </cell>
          <cell r="AI72" t="e">
            <v>#N/A</v>
          </cell>
          <cell r="AJ72" t="e">
            <v>#N/A</v>
          </cell>
          <cell r="AK72" t="e">
            <v>#N/A</v>
          </cell>
          <cell r="AL72" t="e">
            <v>#N/A</v>
          </cell>
          <cell r="AM72" t="e">
            <v>#N/A</v>
          </cell>
          <cell r="AN72">
            <v>0</v>
          </cell>
          <cell r="AR72" t="e">
            <v>#N/A</v>
          </cell>
          <cell r="AS72">
            <v>60</v>
          </cell>
          <cell r="AT72" t="e">
            <v>#N/A</v>
          </cell>
          <cell r="AU72">
            <v>118.95</v>
          </cell>
          <cell r="AV72">
            <v>0</v>
          </cell>
          <cell r="AX72">
            <v>0</v>
          </cell>
          <cell r="AY72" t="e">
            <v>#N/A</v>
          </cell>
          <cell r="BA72">
            <v>1.1200000000000001</v>
          </cell>
          <cell r="BB72" t="e">
            <v>#N/A</v>
          </cell>
          <cell r="BC72">
            <v>25</v>
          </cell>
          <cell r="BD72" t="e">
            <v>#N/A</v>
          </cell>
          <cell r="BE72" t="e">
            <v>#N/A</v>
          </cell>
          <cell r="BF72" t="e">
            <v>#N/A</v>
          </cell>
          <cell r="BL72">
            <v>0</v>
          </cell>
          <cell r="BM72" t="e">
            <v>#N/A</v>
          </cell>
          <cell r="BN72" t="e">
            <v>#N/A</v>
          </cell>
          <cell r="BO72" t="e">
            <v>#N/A</v>
          </cell>
          <cell r="BP72" t="e">
            <v>#N/A</v>
          </cell>
          <cell r="BQ72" t="e">
            <v>#N/A</v>
          </cell>
          <cell r="BR72">
            <v>-0.38784232365145227</v>
          </cell>
          <cell r="BT72">
            <v>-0.38784232365145227</v>
          </cell>
          <cell r="BU72" t="e">
            <v>#N/A</v>
          </cell>
          <cell r="BV72" t="e">
            <v>#N/A</v>
          </cell>
          <cell r="BW72" t="e">
            <v>#N/A</v>
          </cell>
          <cell r="BX72" t="e">
            <v>#N/A</v>
          </cell>
          <cell r="BY72" t="e">
            <v>#N/A</v>
          </cell>
          <cell r="BZ72" t="str">
            <v>CDI</v>
          </cell>
          <cell r="CA72" t="str">
            <v/>
          </cell>
          <cell r="CB72" t="str">
            <v/>
          </cell>
          <cell r="CC72" t="str">
            <v>BANQUE</v>
          </cell>
          <cell r="CD72" t="str">
            <v>251-Banquet</v>
          </cell>
          <cell r="CE72">
            <v>251</v>
          </cell>
        </row>
        <row r="73">
          <cell r="B73" t="str">
            <v>07168</v>
          </cell>
          <cell r="C73" t="str">
            <v>TUNGU MVUELA KEVIN</v>
          </cell>
          <cell r="D73" t="str">
            <v>Banquet</v>
          </cell>
          <cell r="E73" t="str">
            <v>00018000360001786120065</v>
          </cell>
          <cell r="F73" t="str">
            <v>108539607070U</v>
          </cell>
          <cell r="G73" t="str">
            <v>Waiter</v>
          </cell>
          <cell r="H73">
            <v>5.8</v>
          </cell>
          <cell r="I73">
            <v>6.65</v>
          </cell>
          <cell r="J73">
            <v>6.65</v>
          </cell>
          <cell r="K73" t="str">
            <v>TSP0-3.II</v>
          </cell>
          <cell r="L73" t="str">
            <v>TRAVAILLEUR SPECIALISE</v>
          </cell>
          <cell r="M73" t="str">
            <v>CATEGORIE 1 A 5</v>
          </cell>
          <cell r="N73" t="str">
            <v>TRAVAILLEUR SPECIALISE (TS), Echellon 0 , Classe 3</v>
          </cell>
          <cell r="P73">
            <v>43144</v>
          </cell>
          <cell r="Q73" t="e">
            <v>#N/A</v>
          </cell>
          <cell r="R73" t="e">
            <v>#N/A</v>
          </cell>
          <cell r="S73" t="e">
            <v>#N/A</v>
          </cell>
          <cell r="T73" t="e">
            <v>#N/A</v>
          </cell>
          <cell r="U73" t="e">
            <v>#N/A</v>
          </cell>
          <cell r="V73" t="e">
            <v>#N/A</v>
          </cell>
          <cell r="W73" t="e">
            <v>#N/A</v>
          </cell>
          <cell r="X73" t="e">
            <v>#N/A</v>
          </cell>
          <cell r="Y73" t="e">
            <v>#N/A</v>
          </cell>
          <cell r="Z73" t="e">
            <v>#N/A</v>
          </cell>
          <cell r="AA73" t="e">
            <v>#N/A</v>
          </cell>
          <cell r="AB73" t="e">
            <v>#N/A</v>
          </cell>
          <cell r="AC73" t="e">
            <v>#N/A</v>
          </cell>
          <cell r="AE73">
            <v>172.9</v>
          </cell>
          <cell r="AF73" t="e">
            <v>#N/A</v>
          </cell>
          <cell r="AG73" t="e">
            <v>#N/A</v>
          </cell>
          <cell r="AH73" t="e">
            <v>#N/A</v>
          </cell>
          <cell r="AI73" t="e">
            <v>#N/A</v>
          </cell>
          <cell r="AJ73" t="e">
            <v>#N/A</v>
          </cell>
          <cell r="AK73" t="e">
            <v>#N/A</v>
          </cell>
          <cell r="AL73" t="e">
            <v>#N/A</v>
          </cell>
          <cell r="AM73" t="e">
            <v>#N/A</v>
          </cell>
          <cell r="AN73">
            <v>0</v>
          </cell>
          <cell r="AR73" t="e">
            <v>#N/A</v>
          </cell>
          <cell r="AS73">
            <v>67</v>
          </cell>
          <cell r="AT73" t="e">
            <v>#N/A</v>
          </cell>
          <cell r="AU73">
            <v>35.1</v>
          </cell>
          <cell r="AV73">
            <v>0</v>
          </cell>
          <cell r="AX73">
            <v>0</v>
          </cell>
          <cell r="AY73" t="e">
            <v>#N/A</v>
          </cell>
          <cell r="BA73">
            <v>1.9500000000000199</v>
          </cell>
          <cell r="BB73" t="e">
            <v>#N/A</v>
          </cell>
          <cell r="BC73">
            <v>0</v>
          </cell>
          <cell r="BD73" t="e">
            <v>#N/A</v>
          </cell>
          <cell r="BE73" t="e">
            <v>#N/A</v>
          </cell>
          <cell r="BF73" t="e">
            <v>#N/A</v>
          </cell>
          <cell r="BL73">
            <v>0</v>
          </cell>
          <cell r="BM73" t="e">
            <v>#N/A</v>
          </cell>
          <cell r="BN73" t="e">
            <v>#N/A</v>
          </cell>
          <cell r="BO73" t="e">
            <v>#N/A</v>
          </cell>
          <cell r="BP73" t="e">
            <v>#N/A</v>
          </cell>
          <cell r="BQ73" t="e">
            <v>#N/A</v>
          </cell>
          <cell r="BR73">
            <v>-0.38784232365145227</v>
          </cell>
          <cell r="BT73">
            <v>-0.38784232365145227</v>
          </cell>
          <cell r="BU73" t="e">
            <v>#N/A</v>
          </cell>
          <cell r="BV73" t="e">
            <v>#N/A</v>
          </cell>
          <cell r="BW73" t="e">
            <v>#N/A</v>
          </cell>
          <cell r="BX73" t="e">
            <v>#N/A</v>
          </cell>
          <cell r="BY73" t="e">
            <v>#N/A</v>
          </cell>
          <cell r="BZ73" t="str">
            <v>CDI</v>
          </cell>
          <cell r="CA73" t="str">
            <v/>
          </cell>
          <cell r="CB73" t="str">
            <v/>
          </cell>
          <cell r="CC73" t="str">
            <v>BANQUE</v>
          </cell>
          <cell r="CD73" t="str">
            <v>251-Banquet</v>
          </cell>
          <cell r="CE73">
            <v>251</v>
          </cell>
        </row>
        <row r="74">
          <cell r="B74" t="str">
            <v>07126</v>
          </cell>
          <cell r="C74" t="str">
            <v>NGANGU KOKALEMO VAN</v>
          </cell>
          <cell r="D74" t="str">
            <v>Information and Telecommunications Systems</v>
          </cell>
          <cell r="E74" t="str">
            <v>00018000360001282120093</v>
          </cell>
          <cell r="F74" t="str">
            <v>102527511130F</v>
          </cell>
          <cell r="G74" t="str">
            <v>IT Supervisor</v>
          </cell>
          <cell r="H74">
            <v>18.3</v>
          </cell>
          <cell r="I74">
            <v>21.1</v>
          </cell>
          <cell r="J74">
            <v>21.1</v>
          </cell>
          <cell r="K74" t="str">
            <v>MAT2-11.M</v>
          </cell>
          <cell r="L74" t="str">
            <v>MAITRISE</v>
          </cell>
          <cell r="M74" t="str">
            <v>MAITRISE</v>
          </cell>
          <cell r="N74" t="str">
            <v>MAITRISES, Echellon 2, Classe 11</v>
          </cell>
          <cell r="P74">
            <v>42426</v>
          </cell>
          <cell r="Q74" t="e">
            <v>#N/A</v>
          </cell>
          <cell r="R74" t="e">
            <v>#N/A</v>
          </cell>
          <cell r="S74" t="e">
            <v>#N/A</v>
          </cell>
          <cell r="T74" t="e">
            <v>#N/A</v>
          </cell>
          <cell r="U74" t="e">
            <v>#N/A</v>
          </cell>
          <cell r="V74" t="e">
            <v>#N/A</v>
          </cell>
          <cell r="W74" t="e">
            <v>#N/A</v>
          </cell>
          <cell r="X74" t="e">
            <v>#N/A</v>
          </cell>
          <cell r="Y74" t="e">
            <v>#N/A</v>
          </cell>
          <cell r="Z74" t="e">
            <v>#N/A</v>
          </cell>
          <cell r="AA74" t="e">
            <v>#N/A</v>
          </cell>
          <cell r="AB74" t="e">
            <v>#N/A</v>
          </cell>
          <cell r="AC74" t="e">
            <v>#N/A</v>
          </cell>
          <cell r="AE74">
            <v>548.6</v>
          </cell>
          <cell r="AF74" t="e">
            <v>#N/A</v>
          </cell>
          <cell r="AG74" t="e">
            <v>#N/A</v>
          </cell>
          <cell r="AH74" t="e">
            <v>#N/A</v>
          </cell>
          <cell r="AI74" t="e">
            <v>#N/A</v>
          </cell>
          <cell r="AJ74" t="e">
            <v>#N/A</v>
          </cell>
          <cell r="AK74" t="e">
            <v>#N/A</v>
          </cell>
          <cell r="AL74" t="e">
            <v>#N/A</v>
          </cell>
          <cell r="AM74" t="e">
            <v>#N/A</v>
          </cell>
          <cell r="AN74">
            <v>0</v>
          </cell>
          <cell r="AR74" t="e">
            <v>#N/A</v>
          </cell>
          <cell r="AS74">
            <v>70</v>
          </cell>
          <cell r="AT74" t="e">
            <v>#N/A</v>
          </cell>
          <cell r="AU74">
            <v>40.4</v>
          </cell>
          <cell r="AV74">
            <v>1</v>
          </cell>
          <cell r="AX74">
            <v>0</v>
          </cell>
          <cell r="AY74" t="e">
            <v>#N/A</v>
          </cell>
          <cell r="BA74">
            <v>11.3</v>
          </cell>
          <cell r="BB74" t="e">
            <v>#N/A</v>
          </cell>
          <cell r="BC74">
            <v>25</v>
          </cell>
          <cell r="BD74" t="e">
            <v>#N/A</v>
          </cell>
          <cell r="BE74" t="e">
            <v>#N/A</v>
          </cell>
          <cell r="BF74" t="e">
            <v>#N/A</v>
          </cell>
          <cell r="BL74">
            <v>0</v>
          </cell>
          <cell r="BM74" t="e">
            <v>#N/A</v>
          </cell>
          <cell r="BN74" t="e">
            <v>#N/A</v>
          </cell>
          <cell r="BO74" t="e">
            <v>#N/A</v>
          </cell>
          <cell r="BP74" t="e">
            <v>#N/A</v>
          </cell>
          <cell r="BQ74" t="e">
            <v>#N/A</v>
          </cell>
          <cell r="BR74">
            <v>-0.38784232365145227</v>
          </cell>
          <cell r="BT74">
            <v>-0.38784232365145227</v>
          </cell>
          <cell r="BU74" t="e">
            <v>#N/A</v>
          </cell>
          <cell r="BV74" t="e">
            <v>#N/A</v>
          </cell>
          <cell r="BW74" t="e">
            <v>#N/A</v>
          </cell>
          <cell r="BX74" t="e">
            <v>#N/A</v>
          </cell>
          <cell r="BY74" t="e">
            <v>#N/A</v>
          </cell>
          <cell r="BZ74" t="str">
            <v>CDI</v>
          </cell>
          <cell r="CA74" t="str">
            <v/>
          </cell>
          <cell r="CB74" t="str">
            <v/>
          </cell>
          <cell r="CC74" t="str">
            <v>BANQUE</v>
          </cell>
          <cell r="CD74" t="str">
            <v>660-Information and Telecommunications Systems</v>
          </cell>
          <cell r="CE74">
            <v>660</v>
          </cell>
        </row>
        <row r="75">
          <cell r="B75" t="str">
            <v>02011</v>
          </cell>
          <cell r="C75" t="str">
            <v>DITONDO MBUBI BIBICHE</v>
          </cell>
          <cell r="D75" t="str">
            <v>Kitchen</v>
          </cell>
          <cell r="E75" t="str">
            <v>00018000360001078120072</v>
          </cell>
          <cell r="F75" t="str">
            <v>20853808060D</v>
          </cell>
          <cell r="G75" t="str">
            <v>Commis polyvalent</v>
          </cell>
          <cell r="H75">
            <v>6.65</v>
          </cell>
          <cell r="I75">
            <v>7.7</v>
          </cell>
          <cell r="J75">
            <v>7.6999999999999993</v>
          </cell>
          <cell r="K75" t="str">
            <v>TSQ1-4.III</v>
          </cell>
          <cell r="L75" t="str">
            <v>TRAVAILLEUR SEMI QUALIFIE</v>
          </cell>
          <cell r="M75" t="str">
            <v>CATEGORIE 1 A 5</v>
          </cell>
          <cell r="N75" t="str">
            <v>TRAVAILLEUR SEMI QUALIFIE (TSQ), Echellon 1, Classe 4</v>
          </cell>
          <cell r="P75">
            <v>41153</v>
          </cell>
          <cell r="Q75" t="e">
            <v>#N/A</v>
          </cell>
          <cell r="R75" t="e">
            <v>#N/A</v>
          </cell>
          <cell r="S75" t="e">
            <v>#N/A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X75" t="e">
            <v>#N/A</v>
          </cell>
          <cell r="Y75" t="e">
            <v>#N/A</v>
          </cell>
          <cell r="Z75" t="e">
            <v>#N/A</v>
          </cell>
          <cell r="AA75" t="e">
            <v>#N/A</v>
          </cell>
          <cell r="AB75" t="e">
            <v>#N/A</v>
          </cell>
          <cell r="AC75" t="e">
            <v>#N/A</v>
          </cell>
          <cell r="AE75">
            <v>200.2</v>
          </cell>
          <cell r="AF75" t="e">
            <v>#N/A</v>
          </cell>
          <cell r="AG75" t="e">
            <v>#N/A</v>
          </cell>
          <cell r="AH75" t="e">
            <v>#N/A</v>
          </cell>
          <cell r="AI75" t="e">
            <v>#N/A</v>
          </cell>
          <cell r="AJ75" t="e">
            <v>#N/A</v>
          </cell>
          <cell r="AK75" t="e">
            <v>#N/A</v>
          </cell>
          <cell r="AL75" t="e">
            <v>#N/A</v>
          </cell>
          <cell r="AM75" t="e">
            <v>#N/A</v>
          </cell>
          <cell r="AN75">
            <v>0</v>
          </cell>
          <cell r="AR75" t="e">
            <v>#N/A</v>
          </cell>
          <cell r="AS75">
            <v>69.5</v>
          </cell>
          <cell r="AT75" t="e">
            <v>#N/A</v>
          </cell>
          <cell r="AU75">
            <v>40.299999999999997</v>
          </cell>
          <cell r="AV75">
            <v>1</v>
          </cell>
          <cell r="AX75">
            <v>0</v>
          </cell>
          <cell r="AY75" t="e">
            <v>#N/A</v>
          </cell>
          <cell r="BA75">
            <v>2.8900000000000099</v>
          </cell>
          <cell r="BB75" t="e">
            <v>#N/A</v>
          </cell>
          <cell r="BC75">
            <v>0</v>
          </cell>
          <cell r="BD75" t="e">
            <v>#N/A</v>
          </cell>
          <cell r="BE75" t="e">
            <v>#N/A</v>
          </cell>
          <cell r="BF75" t="e">
            <v>#N/A</v>
          </cell>
          <cell r="BL75">
            <v>0</v>
          </cell>
          <cell r="BM75" t="e">
            <v>#N/A</v>
          </cell>
          <cell r="BN75" t="e">
            <v>#N/A</v>
          </cell>
          <cell r="BO75" t="e">
            <v>#N/A</v>
          </cell>
          <cell r="BP75" t="e">
            <v>#N/A</v>
          </cell>
          <cell r="BQ75" t="e">
            <v>#N/A</v>
          </cell>
          <cell r="BR75">
            <v>-0.38784232365145227</v>
          </cell>
          <cell r="BT75">
            <v>-0.38784232365145227</v>
          </cell>
          <cell r="BU75" t="e">
            <v>#N/A</v>
          </cell>
          <cell r="BV75" t="e">
            <v>#N/A</v>
          </cell>
          <cell r="BW75" t="e">
            <v>#N/A</v>
          </cell>
          <cell r="BX75" t="e">
            <v>#N/A</v>
          </cell>
          <cell r="BY75" t="e">
            <v>#N/A</v>
          </cell>
          <cell r="BZ75" t="str">
            <v>CDI</v>
          </cell>
          <cell r="CA75" t="str">
            <v/>
          </cell>
          <cell r="CB75" t="str">
            <v/>
          </cell>
          <cell r="CC75" t="str">
            <v>BANQUE</v>
          </cell>
          <cell r="CD75" t="str">
            <v>281-Kitchen</v>
          </cell>
          <cell r="CE75">
            <v>281</v>
          </cell>
        </row>
        <row r="76">
          <cell r="B76" t="str">
            <v>02016</v>
          </cell>
          <cell r="C76" t="str">
            <v>MUFETE MUMBANDA COCO</v>
          </cell>
          <cell r="D76" t="str">
            <v>Staff Dining</v>
          </cell>
          <cell r="E76" t="str">
            <v>00018000360001268120083</v>
          </cell>
          <cell r="F76" t="str">
            <v>209428412030R</v>
          </cell>
          <cell r="G76" t="str">
            <v>Commis polyvalent</v>
          </cell>
          <cell r="H76">
            <v>6.65</v>
          </cell>
          <cell r="I76">
            <v>7.7</v>
          </cell>
          <cell r="J76">
            <v>7.6999999999999993</v>
          </cell>
          <cell r="K76" t="str">
            <v>TSQ1-4.III</v>
          </cell>
          <cell r="L76" t="str">
            <v>TRAVAILLEUR SEMI QUALIFIE</v>
          </cell>
          <cell r="M76" t="str">
            <v>CATEGORIE 1 A 5</v>
          </cell>
          <cell r="N76" t="str">
            <v>TRAVAILLEUR SEMI QUALIFIE (TSQ), Echellon 1, Classe 4</v>
          </cell>
          <cell r="P76">
            <v>41640</v>
          </cell>
          <cell r="Q76" t="e">
            <v>#N/A</v>
          </cell>
          <cell r="R76" t="e">
            <v>#N/A</v>
          </cell>
          <cell r="S76" t="e">
            <v>#N/A</v>
          </cell>
          <cell r="T76" t="e">
            <v>#N/A</v>
          </cell>
          <cell r="U76" t="e">
            <v>#N/A</v>
          </cell>
          <cell r="V76" t="e">
            <v>#N/A</v>
          </cell>
          <cell r="W76" t="e">
            <v>#N/A</v>
          </cell>
          <cell r="X76" t="e">
            <v>#N/A</v>
          </cell>
          <cell r="Y76" t="e">
            <v>#N/A</v>
          </cell>
          <cell r="Z76" t="e">
            <v>#N/A</v>
          </cell>
          <cell r="AA76" t="e">
            <v>#N/A</v>
          </cell>
          <cell r="AB76" t="e">
            <v>#N/A</v>
          </cell>
          <cell r="AC76" t="e">
            <v>#N/A</v>
          </cell>
          <cell r="AE76">
            <v>200.2</v>
          </cell>
          <cell r="AF76" t="e">
            <v>#N/A</v>
          </cell>
          <cell r="AG76" t="e">
            <v>#N/A</v>
          </cell>
          <cell r="AH76" t="e">
            <v>#N/A</v>
          </cell>
          <cell r="AI76" t="e">
            <v>#N/A</v>
          </cell>
          <cell r="AJ76" t="e">
            <v>#N/A</v>
          </cell>
          <cell r="AK76" t="e">
            <v>#N/A</v>
          </cell>
          <cell r="AL76" t="e">
            <v>#N/A</v>
          </cell>
          <cell r="AM76" t="e">
            <v>#N/A</v>
          </cell>
          <cell r="AN76">
            <v>0</v>
          </cell>
          <cell r="AR76" t="e">
            <v>#N/A</v>
          </cell>
          <cell r="AS76">
            <v>69.5</v>
          </cell>
          <cell r="AT76" t="e">
            <v>#N/A</v>
          </cell>
          <cell r="AU76">
            <v>40.299999999999997</v>
          </cell>
          <cell r="AV76">
            <v>2</v>
          </cell>
          <cell r="AX76">
            <v>0</v>
          </cell>
          <cell r="AY76" t="e">
            <v>#N/A</v>
          </cell>
          <cell r="BA76">
            <v>2.53000000000003</v>
          </cell>
          <cell r="BB76" t="e">
            <v>#N/A</v>
          </cell>
          <cell r="BC76">
            <v>0</v>
          </cell>
          <cell r="BD76" t="e">
            <v>#N/A</v>
          </cell>
          <cell r="BE76" t="e">
            <v>#N/A</v>
          </cell>
          <cell r="BF76" t="e">
            <v>#N/A</v>
          </cell>
          <cell r="BL76">
            <v>0</v>
          </cell>
          <cell r="BM76" t="e">
            <v>#N/A</v>
          </cell>
          <cell r="BN76" t="e">
            <v>#N/A</v>
          </cell>
          <cell r="BO76" t="e">
            <v>#N/A</v>
          </cell>
          <cell r="BP76" t="e">
            <v>#N/A</v>
          </cell>
          <cell r="BQ76" t="e">
            <v>#N/A</v>
          </cell>
          <cell r="BR76">
            <v>-0.38784232365145227</v>
          </cell>
          <cell r="BT76">
            <v>-0.38784232365145227</v>
          </cell>
          <cell r="BU76" t="e">
            <v>#N/A</v>
          </cell>
          <cell r="BV76" t="e">
            <v>#N/A</v>
          </cell>
          <cell r="BW76" t="e">
            <v>#N/A</v>
          </cell>
          <cell r="BX76" t="e">
            <v>#N/A</v>
          </cell>
          <cell r="BY76" t="e">
            <v>#N/A</v>
          </cell>
          <cell r="BZ76" t="str">
            <v>CDI</v>
          </cell>
          <cell r="CA76" t="str">
            <v/>
          </cell>
          <cell r="CB76" t="str">
            <v/>
          </cell>
          <cell r="CC76" t="str">
            <v>BANQUE</v>
          </cell>
          <cell r="CD76" t="str">
            <v>971-Staff Dining</v>
          </cell>
          <cell r="CE76">
            <v>971</v>
          </cell>
        </row>
        <row r="77">
          <cell r="B77" t="str">
            <v>02030</v>
          </cell>
          <cell r="C77" t="str">
            <v>KAHUNGU MUNINGOMA GODEFROID</v>
          </cell>
          <cell r="D77" t="str">
            <v>Staff Dining</v>
          </cell>
          <cell r="E77" t="str">
            <v>00018000360001288120028</v>
          </cell>
          <cell r="F77" t="str">
            <v>109346209010K</v>
          </cell>
          <cell r="G77" t="str">
            <v>Employee Cafetaria Cook</v>
          </cell>
          <cell r="H77">
            <v>6.65</v>
          </cell>
          <cell r="I77">
            <v>7.7</v>
          </cell>
          <cell r="J77">
            <v>7.6999999999999993</v>
          </cell>
          <cell r="K77" t="str">
            <v>TSQ1-4.III</v>
          </cell>
          <cell r="L77" t="str">
            <v>TRAVAILLEUR SEMI QUALIFIE</v>
          </cell>
          <cell r="M77" t="str">
            <v>CATEGORIE 1 A 5</v>
          </cell>
          <cell r="N77" t="str">
            <v>TRAVAILLEUR SEMI QUALIFIE (TSQ), Echellon 1, Classe 4</v>
          </cell>
          <cell r="P77">
            <v>41232</v>
          </cell>
          <cell r="Q77" t="e">
            <v>#N/A</v>
          </cell>
          <cell r="R77" t="e">
            <v>#N/A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X77" t="e">
            <v>#N/A</v>
          </cell>
          <cell r="Y77" t="e">
            <v>#N/A</v>
          </cell>
          <cell r="Z77" t="e">
            <v>#N/A</v>
          </cell>
          <cell r="AA77" t="e">
            <v>#N/A</v>
          </cell>
          <cell r="AB77" t="e">
            <v>#N/A</v>
          </cell>
          <cell r="AC77" t="e">
            <v>#N/A</v>
          </cell>
          <cell r="AE77">
            <v>200.2</v>
          </cell>
          <cell r="AF77" t="e">
            <v>#N/A</v>
          </cell>
          <cell r="AG77" t="e">
            <v>#N/A</v>
          </cell>
          <cell r="AH77" t="e">
            <v>#N/A</v>
          </cell>
          <cell r="AI77" t="e">
            <v>#N/A</v>
          </cell>
          <cell r="AJ77" t="e">
            <v>#N/A</v>
          </cell>
          <cell r="AK77" t="e">
            <v>#N/A</v>
          </cell>
          <cell r="AL77" t="e">
            <v>#N/A</v>
          </cell>
          <cell r="AM77" t="e">
            <v>#N/A</v>
          </cell>
          <cell r="AN77">
            <v>0</v>
          </cell>
          <cell r="AR77" t="e">
            <v>#N/A</v>
          </cell>
          <cell r="AS77">
            <v>69.5</v>
          </cell>
          <cell r="AT77" t="e">
            <v>#N/A</v>
          </cell>
          <cell r="AU77">
            <v>40.299999999999997</v>
          </cell>
          <cell r="AV77">
            <v>4</v>
          </cell>
          <cell r="AX77">
            <v>0</v>
          </cell>
          <cell r="AY77" t="e">
            <v>#N/A</v>
          </cell>
          <cell r="BA77">
            <v>2.4200000000000199</v>
          </cell>
          <cell r="BB77" t="e">
            <v>#N/A</v>
          </cell>
          <cell r="BC77">
            <v>0</v>
          </cell>
          <cell r="BD77" t="e">
            <v>#N/A</v>
          </cell>
          <cell r="BE77" t="e">
            <v>#N/A</v>
          </cell>
          <cell r="BF77" t="e">
            <v>#N/A</v>
          </cell>
          <cell r="BL77">
            <v>0</v>
          </cell>
          <cell r="BM77" t="e">
            <v>#N/A</v>
          </cell>
          <cell r="BN77" t="e">
            <v>#N/A</v>
          </cell>
          <cell r="BO77" t="e">
            <v>#N/A</v>
          </cell>
          <cell r="BP77" t="e">
            <v>#N/A</v>
          </cell>
          <cell r="BQ77" t="e">
            <v>#N/A</v>
          </cell>
          <cell r="BR77">
            <v>-0.38784232365145227</v>
          </cell>
          <cell r="BT77">
            <v>-0.38784232365145227</v>
          </cell>
          <cell r="BU77" t="e">
            <v>#N/A</v>
          </cell>
          <cell r="BV77" t="e">
            <v>#N/A</v>
          </cell>
          <cell r="BW77" t="e">
            <v>#N/A</v>
          </cell>
          <cell r="BX77" t="e">
            <v>#N/A</v>
          </cell>
          <cell r="BY77" t="e">
            <v>#N/A</v>
          </cell>
          <cell r="BZ77" t="str">
            <v>CDI</v>
          </cell>
          <cell r="CA77" t="str">
            <v/>
          </cell>
          <cell r="CB77" t="str">
            <v/>
          </cell>
          <cell r="CC77" t="str">
            <v>BANQUE</v>
          </cell>
          <cell r="CD77" t="str">
            <v>971-Staff Dining</v>
          </cell>
          <cell r="CE77">
            <v>971</v>
          </cell>
        </row>
        <row r="78">
          <cell r="B78" t="str">
            <v>02040</v>
          </cell>
          <cell r="C78" t="str">
            <v>MAKEMBI MASUAKU NICKEL</v>
          </cell>
          <cell r="D78" t="str">
            <v>Staff Dining</v>
          </cell>
          <cell r="E78" t="str">
            <v>00018000360001145120009</v>
          </cell>
          <cell r="F78" t="str">
            <v>209318803140T</v>
          </cell>
          <cell r="G78" t="str">
            <v>Commis polyvalent</v>
          </cell>
          <cell r="H78">
            <v>6.65</v>
          </cell>
          <cell r="I78">
            <v>7.7</v>
          </cell>
          <cell r="J78">
            <v>7.6999999999999993</v>
          </cell>
          <cell r="K78" t="str">
            <v>TSQ1-4.III</v>
          </cell>
          <cell r="L78" t="str">
            <v>TRAVAILLEUR SEMI QUALIFIE</v>
          </cell>
          <cell r="M78" t="str">
            <v>CATEGORIE 1 A 5</v>
          </cell>
          <cell r="N78" t="str">
            <v>TRAVAILLEUR SEMI QUALIFIE (TSQ), Echellon 1, Classe 4</v>
          </cell>
          <cell r="P78">
            <v>41732</v>
          </cell>
          <cell r="Q78" t="e">
            <v>#N/A</v>
          </cell>
          <cell r="R78" t="e">
            <v>#N/A</v>
          </cell>
          <cell r="S78" t="e">
            <v>#N/A</v>
          </cell>
          <cell r="T78" t="e">
            <v>#N/A</v>
          </cell>
          <cell r="U78" t="e">
            <v>#N/A</v>
          </cell>
          <cell r="V78" t="e">
            <v>#N/A</v>
          </cell>
          <cell r="W78" t="e">
            <v>#N/A</v>
          </cell>
          <cell r="X78" t="e">
            <v>#N/A</v>
          </cell>
          <cell r="Y78" t="e">
            <v>#N/A</v>
          </cell>
          <cell r="Z78" t="e">
            <v>#N/A</v>
          </cell>
          <cell r="AA78" t="e">
            <v>#N/A</v>
          </cell>
          <cell r="AB78" t="e">
            <v>#N/A</v>
          </cell>
          <cell r="AC78" t="e">
            <v>#N/A</v>
          </cell>
          <cell r="AE78">
            <v>200.2</v>
          </cell>
          <cell r="AF78" t="e">
            <v>#N/A</v>
          </cell>
          <cell r="AG78" t="e">
            <v>#N/A</v>
          </cell>
          <cell r="AH78" t="e">
            <v>#N/A</v>
          </cell>
          <cell r="AI78" t="e">
            <v>#N/A</v>
          </cell>
          <cell r="AJ78" t="e">
            <v>#N/A</v>
          </cell>
          <cell r="AK78" t="e">
            <v>#N/A</v>
          </cell>
          <cell r="AL78" t="e">
            <v>#N/A</v>
          </cell>
          <cell r="AM78" t="e">
            <v>#N/A</v>
          </cell>
          <cell r="AN78">
            <v>0</v>
          </cell>
          <cell r="AR78" t="e">
            <v>#N/A</v>
          </cell>
          <cell r="AS78">
            <v>69.5</v>
          </cell>
          <cell r="AT78" t="e">
            <v>#N/A</v>
          </cell>
          <cell r="AU78">
            <v>40.299999999999997</v>
          </cell>
          <cell r="AV78">
            <v>3</v>
          </cell>
          <cell r="AX78">
            <v>0</v>
          </cell>
          <cell r="AY78" t="e">
            <v>#N/A</v>
          </cell>
          <cell r="BA78">
            <v>2.8400000000000301</v>
          </cell>
          <cell r="BB78" t="e">
            <v>#N/A</v>
          </cell>
          <cell r="BC78">
            <v>0</v>
          </cell>
          <cell r="BD78" t="e">
            <v>#N/A</v>
          </cell>
          <cell r="BE78" t="e">
            <v>#N/A</v>
          </cell>
          <cell r="BF78" t="e">
            <v>#N/A</v>
          </cell>
          <cell r="BL78">
            <v>0</v>
          </cell>
          <cell r="BM78" t="e">
            <v>#N/A</v>
          </cell>
          <cell r="BN78" t="e">
            <v>#N/A</v>
          </cell>
          <cell r="BO78" t="e">
            <v>#N/A</v>
          </cell>
          <cell r="BP78" t="e">
            <v>#N/A</v>
          </cell>
          <cell r="BQ78" t="e">
            <v>#N/A</v>
          </cell>
          <cell r="BR78">
            <v>-0.38784232365145227</v>
          </cell>
          <cell r="BT78">
            <v>-0.38784232365145227</v>
          </cell>
          <cell r="BU78" t="e">
            <v>#N/A</v>
          </cell>
          <cell r="BV78" t="e">
            <v>#N/A</v>
          </cell>
          <cell r="BW78" t="e">
            <v>#N/A</v>
          </cell>
          <cell r="BX78" t="e">
            <v>#N/A</v>
          </cell>
          <cell r="BY78" t="e">
            <v>#N/A</v>
          </cell>
          <cell r="BZ78" t="str">
            <v>CDI</v>
          </cell>
          <cell r="CA78" t="str">
            <v/>
          </cell>
          <cell r="CB78" t="str">
            <v/>
          </cell>
          <cell r="CC78" t="str">
            <v>BANQUE</v>
          </cell>
          <cell r="CD78" t="str">
            <v>971-Staff Dining</v>
          </cell>
          <cell r="CE78">
            <v>971</v>
          </cell>
        </row>
        <row r="79">
          <cell r="B79" t="str">
            <v>04172</v>
          </cell>
          <cell r="C79" t="str">
            <v>BALIHENDA SUMAILI JUNIOR</v>
          </cell>
          <cell r="D79" t="str">
            <v>Housekeeping</v>
          </cell>
          <cell r="E79" t="str">
            <v>00018000360001055120014</v>
          </cell>
          <cell r="F79" t="str">
            <v>103368708180A</v>
          </cell>
          <cell r="G79" t="str">
            <v>Staff Facilities Attendant</v>
          </cell>
          <cell r="H79">
            <v>5.8</v>
          </cell>
          <cell r="I79">
            <v>6.65</v>
          </cell>
          <cell r="J79">
            <v>6.65</v>
          </cell>
          <cell r="K79" t="str">
            <v>TSP0-3.II</v>
          </cell>
          <cell r="L79" t="str">
            <v>TRAVAILLEUR SPECIALISE</v>
          </cell>
          <cell r="M79" t="str">
            <v>CATEGORIE 1 A 5</v>
          </cell>
          <cell r="N79" t="str">
            <v>TRAVAILLEUR SPECIALISE (TS), Echellon 0 , Classe 3</v>
          </cell>
          <cell r="P79">
            <v>41317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X79" t="e">
            <v>#N/A</v>
          </cell>
          <cell r="Y79" t="e">
            <v>#N/A</v>
          </cell>
          <cell r="Z79" t="e">
            <v>#N/A</v>
          </cell>
          <cell r="AA79" t="e">
            <v>#N/A</v>
          </cell>
          <cell r="AB79" t="e">
            <v>#N/A</v>
          </cell>
          <cell r="AC79" t="e">
            <v>#N/A</v>
          </cell>
          <cell r="AE79">
            <v>172.9</v>
          </cell>
          <cell r="AF79" t="e">
            <v>#N/A</v>
          </cell>
          <cell r="AG79" t="e">
            <v>#N/A</v>
          </cell>
          <cell r="AH79" t="e">
            <v>#N/A</v>
          </cell>
          <cell r="AI79" t="e">
            <v>#N/A</v>
          </cell>
          <cell r="AJ79" t="e">
            <v>#N/A</v>
          </cell>
          <cell r="AK79" t="e">
            <v>#N/A</v>
          </cell>
          <cell r="AL79" t="e">
            <v>#N/A</v>
          </cell>
          <cell r="AM79" t="e">
            <v>#N/A</v>
          </cell>
          <cell r="AN79">
            <v>0</v>
          </cell>
          <cell r="AR79" t="e">
            <v>#N/A</v>
          </cell>
          <cell r="AS79">
            <v>59</v>
          </cell>
          <cell r="AT79" t="e">
            <v>#N/A</v>
          </cell>
          <cell r="AU79">
            <v>25.45</v>
          </cell>
          <cell r="AV79">
            <v>4</v>
          </cell>
          <cell r="AX79">
            <v>0</v>
          </cell>
          <cell r="AY79" t="e">
            <v>#N/A</v>
          </cell>
          <cell r="BA79">
            <v>3.3599999999999901</v>
          </cell>
          <cell r="BB79" t="e">
            <v>#N/A</v>
          </cell>
          <cell r="BC79">
            <v>0</v>
          </cell>
          <cell r="BD79" t="e">
            <v>#N/A</v>
          </cell>
          <cell r="BE79" t="e">
            <v>#N/A</v>
          </cell>
          <cell r="BF79" t="e">
            <v>#N/A</v>
          </cell>
          <cell r="BL79">
            <v>0</v>
          </cell>
          <cell r="BM79" t="e">
            <v>#N/A</v>
          </cell>
          <cell r="BN79" t="e">
            <v>#N/A</v>
          </cell>
          <cell r="BO79" t="e">
            <v>#N/A</v>
          </cell>
          <cell r="BP79" t="e">
            <v>#N/A</v>
          </cell>
          <cell r="BQ79" t="e">
            <v>#N/A</v>
          </cell>
          <cell r="BR79">
            <v>-0.38784232365145227</v>
          </cell>
          <cell r="BT79">
            <v>-0.38784232365145227</v>
          </cell>
          <cell r="BU79" t="e">
            <v>#N/A</v>
          </cell>
          <cell r="BV79" t="e">
            <v>#N/A</v>
          </cell>
          <cell r="BW79" t="e">
            <v>#N/A</v>
          </cell>
          <cell r="BX79" t="e">
            <v>#N/A</v>
          </cell>
          <cell r="BY79" t="e">
            <v>#N/A</v>
          </cell>
          <cell r="BZ79" t="str">
            <v>CDI</v>
          </cell>
          <cell r="CA79" t="str">
            <v/>
          </cell>
          <cell r="CB79" t="str">
            <v/>
          </cell>
          <cell r="CC79" t="str">
            <v>BANQUE</v>
          </cell>
          <cell r="CD79" t="str">
            <v>160-Housekeeping</v>
          </cell>
          <cell r="CE79">
            <v>160</v>
          </cell>
        </row>
        <row r="80">
          <cell r="B80" t="str">
            <v>05077</v>
          </cell>
          <cell r="C80" t="str">
            <v>MPEZO MPIUTU HERVE</v>
          </cell>
          <cell r="D80" t="str">
            <v>Staff Dining</v>
          </cell>
          <cell r="E80" t="str">
            <v>00018000360001267120013</v>
          </cell>
          <cell r="F80" t="str">
            <v>108328702080Q</v>
          </cell>
          <cell r="G80" t="str">
            <v>Commis</v>
          </cell>
          <cell r="H80">
            <v>6.65</v>
          </cell>
          <cell r="I80">
            <v>7.7</v>
          </cell>
          <cell r="J80">
            <v>7.6999999999999993</v>
          </cell>
          <cell r="K80" t="str">
            <v>TSQ1-4.III</v>
          </cell>
          <cell r="L80" t="str">
            <v>TRAVAILLEUR SEMI QUALIFIE</v>
          </cell>
          <cell r="M80" t="str">
            <v>CATEGORIE 1 A 5</v>
          </cell>
          <cell r="N80" t="str">
            <v>TRAVAILLEUR SEMI QUALIFIE (TSQ), Echellon 1, Classe 4</v>
          </cell>
          <cell r="P80">
            <v>41275</v>
          </cell>
          <cell r="Q80" t="e">
            <v>#N/A</v>
          </cell>
          <cell r="R80" t="e">
            <v>#N/A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X80" t="e">
            <v>#N/A</v>
          </cell>
          <cell r="Y80" t="e">
            <v>#N/A</v>
          </cell>
          <cell r="Z80" t="e">
            <v>#N/A</v>
          </cell>
          <cell r="AA80" t="e">
            <v>#N/A</v>
          </cell>
          <cell r="AB80" t="e">
            <v>#N/A</v>
          </cell>
          <cell r="AC80" t="e">
            <v>#N/A</v>
          </cell>
          <cell r="AE80">
            <v>200.2</v>
          </cell>
          <cell r="AF80" t="e">
            <v>#N/A</v>
          </cell>
          <cell r="AG80" t="e">
            <v>#N/A</v>
          </cell>
          <cell r="AH80" t="e">
            <v>#N/A</v>
          </cell>
          <cell r="AI80" t="e">
            <v>#N/A</v>
          </cell>
          <cell r="AJ80" t="e">
            <v>#N/A</v>
          </cell>
          <cell r="AK80" t="e">
            <v>#N/A</v>
          </cell>
          <cell r="AL80" t="e">
            <v>#N/A</v>
          </cell>
          <cell r="AM80" t="e">
            <v>#N/A</v>
          </cell>
          <cell r="AN80">
            <v>0</v>
          </cell>
          <cell r="AR80" t="e">
            <v>#N/A</v>
          </cell>
          <cell r="AS80">
            <v>60</v>
          </cell>
          <cell r="AT80" t="e">
            <v>#N/A</v>
          </cell>
          <cell r="AU80">
            <v>29.8</v>
          </cell>
          <cell r="AV80">
            <v>2</v>
          </cell>
          <cell r="AX80">
            <v>0</v>
          </cell>
          <cell r="AY80" t="e">
            <v>#N/A</v>
          </cell>
          <cell r="BA80">
            <v>3.12</v>
          </cell>
          <cell r="BB80" t="e">
            <v>#N/A</v>
          </cell>
          <cell r="BC80">
            <v>0</v>
          </cell>
          <cell r="BD80" t="e">
            <v>#N/A</v>
          </cell>
          <cell r="BE80" t="e">
            <v>#N/A</v>
          </cell>
          <cell r="BF80" t="e">
            <v>#N/A</v>
          </cell>
          <cell r="BL80">
            <v>0</v>
          </cell>
          <cell r="BM80" t="e">
            <v>#N/A</v>
          </cell>
          <cell r="BN80" t="e">
            <v>#N/A</v>
          </cell>
          <cell r="BO80" t="e">
            <v>#N/A</v>
          </cell>
          <cell r="BP80" t="e">
            <v>#N/A</v>
          </cell>
          <cell r="BQ80" t="e">
            <v>#N/A</v>
          </cell>
          <cell r="BR80">
            <v>-0.38784232365145227</v>
          </cell>
          <cell r="BT80">
            <v>-0.38784232365145227</v>
          </cell>
          <cell r="BU80" t="e">
            <v>#N/A</v>
          </cell>
          <cell r="BV80" t="e">
            <v>#N/A</v>
          </cell>
          <cell r="BW80" t="e">
            <v>#N/A</v>
          </cell>
          <cell r="BX80" t="e">
            <v>#N/A</v>
          </cell>
          <cell r="BY80" t="e">
            <v>#N/A</v>
          </cell>
          <cell r="BZ80" t="str">
            <v>CDI</v>
          </cell>
          <cell r="CA80" t="str">
            <v/>
          </cell>
          <cell r="CB80" t="str">
            <v/>
          </cell>
          <cell r="CC80" t="str">
            <v>BANQUE</v>
          </cell>
          <cell r="CD80" t="str">
            <v>971-Staff Dining</v>
          </cell>
          <cell r="CE80">
            <v>971</v>
          </cell>
        </row>
        <row r="81">
          <cell r="B81" t="str">
            <v>05205</v>
          </cell>
          <cell r="C81" t="str">
            <v>KIDIMA NDOMPETELO REAGAN</v>
          </cell>
          <cell r="D81" t="str">
            <v>Staff Dining</v>
          </cell>
          <cell r="E81" t="str">
            <v>00018000360001250120084</v>
          </cell>
          <cell r="F81" t="str">
            <v>108428306060M</v>
          </cell>
          <cell r="G81" t="str">
            <v>Acting Responsable cafetaria</v>
          </cell>
          <cell r="H81">
            <v>8.9</v>
          </cell>
          <cell r="I81">
            <v>10.3</v>
          </cell>
          <cell r="J81">
            <v>10.3</v>
          </cell>
          <cell r="K81" t="str">
            <v>TSQ3-6.III</v>
          </cell>
          <cell r="L81" t="str">
            <v>TRAVAILLEUR SEMI QUALIFIE</v>
          </cell>
          <cell r="M81" t="str">
            <v>CATEGORIE 1 A 5</v>
          </cell>
          <cell r="N81" t="str">
            <v>TRAVAILLEUR SEMI QUALIFIE (TSQ), Echellon 3, Classe 6</v>
          </cell>
          <cell r="P81">
            <v>41275</v>
          </cell>
          <cell r="Q81" t="e">
            <v>#N/A</v>
          </cell>
          <cell r="R81" t="e">
            <v>#N/A</v>
          </cell>
          <cell r="S81" t="e">
            <v>#N/A</v>
          </cell>
          <cell r="T81" t="e">
            <v>#N/A</v>
          </cell>
          <cell r="U81" t="e">
            <v>#N/A</v>
          </cell>
          <cell r="V81" t="e">
            <v>#N/A</v>
          </cell>
          <cell r="W81" t="e">
            <v>#N/A</v>
          </cell>
          <cell r="X81" t="e">
            <v>#N/A</v>
          </cell>
          <cell r="Y81" t="e">
            <v>#N/A</v>
          </cell>
          <cell r="Z81" t="e">
            <v>#N/A</v>
          </cell>
          <cell r="AA81" t="e">
            <v>#N/A</v>
          </cell>
          <cell r="AB81" t="e">
            <v>#N/A</v>
          </cell>
          <cell r="AC81" t="e">
            <v>#N/A</v>
          </cell>
          <cell r="AE81">
            <v>267.8</v>
          </cell>
          <cell r="AF81" t="e">
            <v>#N/A</v>
          </cell>
          <cell r="AG81" t="e">
            <v>#N/A</v>
          </cell>
          <cell r="AH81" t="e">
            <v>#N/A</v>
          </cell>
          <cell r="AI81" t="e">
            <v>#N/A</v>
          </cell>
          <cell r="AJ81" t="e">
            <v>#N/A</v>
          </cell>
          <cell r="AK81" t="e">
            <v>#N/A</v>
          </cell>
          <cell r="AL81" t="e">
            <v>#N/A</v>
          </cell>
          <cell r="AM81" t="e">
            <v>#N/A</v>
          </cell>
          <cell r="AN81">
            <v>0</v>
          </cell>
          <cell r="AR81" t="e">
            <v>#N/A</v>
          </cell>
          <cell r="AS81">
            <v>70</v>
          </cell>
          <cell r="AT81" t="e">
            <v>#N/A</v>
          </cell>
          <cell r="AU81">
            <v>57.2</v>
          </cell>
          <cell r="AV81">
            <v>2</v>
          </cell>
          <cell r="AX81">
            <v>0</v>
          </cell>
          <cell r="AY81" t="e">
            <v>#N/A</v>
          </cell>
          <cell r="AZ81">
            <v>150</v>
          </cell>
          <cell r="BA81">
            <v>3.3199999999999901</v>
          </cell>
          <cell r="BB81" t="e">
            <v>#N/A</v>
          </cell>
          <cell r="BC81">
            <v>0</v>
          </cell>
          <cell r="BD81" t="e">
            <v>#N/A</v>
          </cell>
          <cell r="BE81" t="e">
            <v>#N/A</v>
          </cell>
          <cell r="BF81" t="e">
            <v>#N/A</v>
          </cell>
          <cell r="BL81">
            <v>0</v>
          </cell>
          <cell r="BM81" t="e">
            <v>#N/A</v>
          </cell>
          <cell r="BN81" t="e">
            <v>#N/A</v>
          </cell>
          <cell r="BO81" t="e">
            <v>#N/A</v>
          </cell>
          <cell r="BP81" t="e">
            <v>#N/A</v>
          </cell>
          <cell r="BQ81" t="e">
            <v>#N/A</v>
          </cell>
          <cell r="BR81">
            <v>-0.38784232365145227</v>
          </cell>
          <cell r="BT81">
            <v>-0.38784232365145227</v>
          </cell>
          <cell r="BU81" t="e">
            <v>#N/A</v>
          </cell>
          <cell r="BV81" t="e">
            <v>#N/A</v>
          </cell>
          <cell r="BW81" t="e">
            <v>#N/A</v>
          </cell>
          <cell r="BX81" t="e">
            <v>#N/A</v>
          </cell>
          <cell r="BY81" t="e">
            <v>#N/A</v>
          </cell>
          <cell r="BZ81" t="str">
            <v>CDI</v>
          </cell>
          <cell r="CA81" t="str">
            <v/>
          </cell>
          <cell r="CB81" t="str">
            <v/>
          </cell>
          <cell r="CC81" t="str">
            <v>BANQUE</v>
          </cell>
          <cell r="CD81" t="str">
            <v>971-Staff Dining</v>
          </cell>
          <cell r="CE81">
            <v>971</v>
          </cell>
        </row>
        <row r="82">
          <cell r="B82" t="str">
            <v>02013</v>
          </cell>
          <cell r="C82" t="str">
            <v>ILUNGA MUTOKA FRANCY</v>
          </cell>
          <cell r="D82" t="str">
            <v>Kitchen</v>
          </cell>
          <cell r="E82" t="str">
            <v>00018000360001094120028</v>
          </cell>
          <cell r="F82" t="str">
            <v>107318703150R</v>
          </cell>
          <cell r="G82" t="str">
            <v>Chef de Partie</v>
          </cell>
          <cell r="H82">
            <v>11.85</v>
          </cell>
          <cell r="I82">
            <v>13.7</v>
          </cell>
          <cell r="J82">
            <v>13.7</v>
          </cell>
          <cell r="K82" t="str">
            <v>TRQ2-8.IV</v>
          </cell>
          <cell r="L82" t="str">
            <v>TRAVAILLEUR QUALIFIE</v>
          </cell>
          <cell r="M82" t="str">
            <v>CATEGORIE 1 A 5</v>
          </cell>
          <cell r="N82" t="str">
            <v>TRAVAILLEUR QUALIFIE (TQ), Echellon 2, Classe 8</v>
          </cell>
          <cell r="P82">
            <v>41153</v>
          </cell>
          <cell r="Q82" t="e">
            <v>#N/A</v>
          </cell>
          <cell r="R82" t="e">
            <v>#N/A</v>
          </cell>
          <cell r="S82" t="e">
            <v>#N/A</v>
          </cell>
          <cell r="T82" t="e">
            <v>#N/A</v>
          </cell>
          <cell r="U82" t="e">
            <v>#N/A</v>
          </cell>
          <cell r="V82" t="e">
            <v>#N/A</v>
          </cell>
          <cell r="W82" t="e">
            <v>#N/A</v>
          </cell>
          <cell r="X82" t="e">
            <v>#N/A</v>
          </cell>
          <cell r="Y82" t="e">
            <v>#N/A</v>
          </cell>
          <cell r="Z82" t="e">
            <v>#N/A</v>
          </cell>
          <cell r="AA82" t="e">
            <v>#N/A</v>
          </cell>
          <cell r="AB82" t="e">
            <v>#N/A</v>
          </cell>
          <cell r="AC82" t="e">
            <v>#N/A</v>
          </cell>
          <cell r="AE82">
            <v>356.2</v>
          </cell>
          <cell r="AF82" t="e">
            <v>#N/A</v>
          </cell>
          <cell r="AG82" t="e">
            <v>#N/A</v>
          </cell>
          <cell r="AH82" t="e">
            <v>#N/A</v>
          </cell>
          <cell r="AI82" t="e">
            <v>#N/A</v>
          </cell>
          <cell r="AJ82" t="e">
            <v>#N/A</v>
          </cell>
          <cell r="AK82" t="e">
            <v>#N/A</v>
          </cell>
          <cell r="AL82" t="e">
            <v>#N/A</v>
          </cell>
          <cell r="AM82" t="e">
            <v>#N/A</v>
          </cell>
          <cell r="AN82">
            <v>0</v>
          </cell>
          <cell r="AR82" t="e">
            <v>#N/A</v>
          </cell>
          <cell r="AS82">
            <v>80</v>
          </cell>
          <cell r="AT82" t="e">
            <v>#N/A</v>
          </cell>
          <cell r="AU82">
            <v>88.8</v>
          </cell>
          <cell r="AV82">
            <v>4</v>
          </cell>
          <cell r="AX82">
            <v>0</v>
          </cell>
          <cell r="AY82" t="e">
            <v>#N/A</v>
          </cell>
          <cell r="BA82">
            <v>1.1200000000000001</v>
          </cell>
          <cell r="BB82" t="e">
            <v>#N/A</v>
          </cell>
          <cell r="BC82">
            <v>0</v>
          </cell>
          <cell r="BD82" t="e">
            <v>#N/A</v>
          </cell>
          <cell r="BE82" t="e">
            <v>#N/A</v>
          </cell>
          <cell r="BF82" t="e">
            <v>#N/A</v>
          </cell>
          <cell r="BL82">
            <v>0</v>
          </cell>
          <cell r="BM82" t="e">
            <v>#N/A</v>
          </cell>
          <cell r="BN82" t="e">
            <v>#N/A</v>
          </cell>
          <cell r="BO82" t="e">
            <v>#N/A</v>
          </cell>
          <cell r="BP82" t="e">
            <v>#N/A</v>
          </cell>
          <cell r="BQ82" t="e">
            <v>#N/A</v>
          </cell>
          <cell r="BR82">
            <v>-0.38784232365145227</v>
          </cell>
          <cell r="BT82">
            <v>-0.38784232365145227</v>
          </cell>
          <cell r="BU82" t="e">
            <v>#N/A</v>
          </cell>
          <cell r="BV82" t="e">
            <v>#N/A</v>
          </cell>
          <cell r="BW82" t="e">
            <v>#N/A</v>
          </cell>
          <cell r="BX82" t="e">
            <v>#N/A</v>
          </cell>
          <cell r="BY82" t="e">
            <v>#N/A</v>
          </cell>
          <cell r="BZ82" t="str">
            <v>CDI</v>
          </cell>
          <cell r="CA82" t="str">
            <v/>
          </cell>
          <cell r="CB82" t="str">
            <v/>
          </cell>
          <cell r="CC82" t="str">
            <v>BANQUE</v>
          </cell>
          <cell r="CD82" t="str">
            <v>281-Kitchen</v>
          </cell>
          <cell r="CE82">
            <v>281</v>
          </cell>
        </row>
        <row r="83">
          <cell r="B83" t="str">
            <v>02018</v>
          </cell>
          <cell r="C83" t="str">
            <v>TSHILUMBA BEYA FLORENCE</v>
          </cell>
          <cell r="D83" t="str">
            <v>Kitchen</v>
          </cell>
          <cell r="E83" t="str">
            <v>00018000360001228120096</v>
          </cell>
          <cell r="F83" t="str">
            <v>206438911110U</v>
          </cell>
          <cell r="G83" t="str">
            <v>Commis II</v>
          </cell>
          <cell r="H83">
            <v>6.65</v>
          </cell>
          <cell r="I83">
            <v>7.7</v>
          </cell>
          <cell r="J83">
            <v>7.6999999999999993</v>
          </cell>
          <cell r="K83" t="str">
            <v>TSQ1-4.III</v>
          </cell>
          <cell r="L83" t="str">
            <v>TRAVAILLEUR SEMI QUALIFIE</v>
          </cell>
          <cell r="M83" t="str">
            <v>CATEGORIE 1 A 5</v>
          </cell>
          <cell r="N83" t="str">
            <v>TRAVAILLEUR SEMI QUALIFIE (TSQ), Echellon 1, Classe 4</v>
          </cell>
          <cell r="P83">
            <v>41153</v>
          </cell>
          <cell r="Q83" t="e">
            <v>#N/A</v>
          </cell>
          <cell r="R83" t="e">
            <v>#N/A</v>
          </cell>
          <cell r="S83" t="e">
            <v>#N/A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X83" t="e">
            <v>#N/A</v>
          </cell>
          <cell r="Y83" t="e">
            <v>#N/A</v>
          </cell>
          <cell r="Z83" t="e">
            <v>#N/A</v>
          </cell>
          <cell r="AA83" t="e">
            <v>#N/A</v>
          </cell>
          <cell r="AB83" t="e">
            <v>#N/A</v>
          </cell>
          <cell r="AC83" t="e">
            <v>#N/A</v>
          </cell>
          <cell r="AE83">
            <v>200.2</v>
          </cell>
          <cell r="AF83" t="e">
            <v>#N/A</v>
          </cell>
          <cell r="AG83" t="e">
            <v>#N/A</v>
          </cell>
          <cell r="AH83" t="e">
            <v>#N/A</v>
          </cell>
          <cell r="AI83" t="e">
            <v>#N/A</v>
          </cell>
          <cell r="AJ83" t="e">
            <v>#N/A</v>
          </cell>
          <cell r="AK83" t="e">
            <v>#N/A</v>
          </cell>
          <cell r="AL83" t="e">
            <v>#N/A</v>
          </cell>
          <cell r="AM83" t="e">
            <v>#N/A</v>
          </cell>
          <cell r="AN83">
            <v>0</v>
          </cell>
          <cell r="AR83" t="e">
            <v>#N/A</v>
          </cell>
          <cell r="AS83">
            <v>60</v>
          </cell>
          <cell r="AT83" t="e">
            <v>#N/A</v>
          </cell>
          <cell r="AU83">
            <v>46.95</v>
          </cell>
          <cell r="AV83">
            <v>2</v>
          </cell>
          <cell r="AX83">
            <v>0</v>
          </cell>
          <cell r="AY83" t="e">
            <v>#N/A</v>
          </cell>
          <cell r="BA83">
            <v>1.5299999999999701</v>
          </cell>
          <cell r="BB83" t="e">
            <v>#N/A</v>
          </cell>
          <cell r="BC83">
            <v>0</v>
          </cell>
          <cell r="BD83" t="e">
            <v>#N/A</v>
          </cell>
          <cell r="BE83" t="e">
            <v>#N/A</v>
          </cell>
          <cell r="BF83" t="e">
            <v>#N/A</v>
          </cell>
          <cell r="BL83">
            <v>0</v>
          </cell>
          <cell r="BM83" t="e">
            <v>#N/A</v>
          </cell>
          <cell r="BN83" t="e">
            <v>#N/A</v>
          </cell>
          <cell r="BO83" t="e">
            <v>#N/A</v>
          </cell>
          <cell r="BP83" t="e">
            <v>#N/A</v>
          </cell>
          <cell r="BQ83" t="e">
            <v>#N/A</v>
          </cell>
          <cell r="BR83">
            <v>-0.38784232365145227</v>
          </cell>
          <cell r="BT83">
            <v>-0.38784232365145227</v>
          </cell>
          <cell r="BU83" t="e">
            <v>#N/A</v>
          </cell>
          <cell r="BV83" t="e">
            <v>#N/A</v>
          </cell>
          <cell r="BW83" t="e">
            <v>#N/A</v>
          </cell>
          <cell r="BX83" t="e">
            <v>#N/A</v>
          </cell>
          <cell r="BY83" t="e">
            <v>#N/A</v>
          </cell>
          <cell r="BZ83" t="str">
            <v>CDI</v>
          </cell>
          <cell r="CA83" t="str">
            <v/>
          </cell>
          <cell r="CB83" t="str">
            <v/>
          </cell>
          <cell r="CC83" t="str">
            <v>BANQUE</v>
          </cell>
          <cell r="CD83" t="str">
            <v>281-Kitchen</v>
          </cell>
          <cell r="CE83">
            <v>281</v>
          </cell>
        </row>
        <row r="84">
          <cell r="B84" t="str">
            <v>02041</v>
          </cell>
          <cell r="C84" t="str">
            <v>NGWAPITSHI MAKENGO JEAN BAPTISTE</v>
          </cell>
          <cell r="D84" t="str">
            <v>Kitchen</v>
          </cell>
          <cell r="E84" t="str">
            <v>00018000360001195120017</v>
          </cell>
          <cell r="F84" t="str">
            <v>106358804060Q</v>
          </cell>
          <cell r="G84" t="str">
            <v>Demi-Chef de partie</v>
          </cell>
          <cell r="H84">
            <v>8.9</v>
          </cell>
          <cell r="I84">
            <v>10.3</v>
          </cell>
          <cell r="J84">
            <v>10.3</v>
          </cell>
          <cell r="K84" t="str">
            <v>TSQ3-6.III</v>
          </cell>
          <cell r="L84" t="str">
            <v>TRAVAILLEUR SEMI QUALIFIE</v>
          </cell>
          <cell r="M84" t="str">
            <v>CATEGORIE 1 A 5</v>
          </cell>
          <cell r="N84" t="str">
            <v>TRAVAILLEUR SEMI QUALIFIE (TSQ), Echellon 3, Classe 6</v>
          </cell>
          <cell r="P84">
            <v>41732</v>
          </cell>
          <cell r="Q84" t="e">
            <v>#N/A</v>
          </cell>
          <cell r="R84" t="e">
            <v>#N/A</v>
          </cell>
          <cell r="S84" t="e">
            <v>#N/A</v>
          </cell>
          <cell r="T84" t="e">
            <v>#N/A</v>
          </cell>
          <cell r="U84" t="e">
            <v>#N/A</v>
          </cell>
          <cell r="V84" t="e">
            <v>#N/A</v>
          </cell>
          <cell r="W84" t="e">
            <v>#N/A</v>
          </cell>
          <cell r="X84" t="e">
            <v>#N/A</v>
          </cell>
          <cell r="Y84" t="e">
            <v>#N/A</v>
          </cell>
          <cell r="Z84" t="e">
            <v>#N/A</v>
          </cell>
          <cell r="AA84" t="e">
            <v>#N/A</v>
          </cell>
          <cell r="AB84" t="e">
            <v>#N/A</v>
          </cell>
          <cell r="AC84" t="e">
            <v>#N/A</v>
          </cell>
          <cell r="AE84">
            <v>267.8</v>
          </cell>
          <cell r="AF84" t="e">
            <v>#N/A</v>
          </cell>
          <cell r="AG84" t="e">
            <v>#N/A</v>
          </cell>
          <cell r="AH84" t="e">
            <v>#N/A</v>
          </cell>
          <cell r="AI84" t="e">
            <v>#N/A</v>
          </cell>
          <cell r="AJ84" t="e">
            <v>#N/A</v>
          </cell>
          <cell r="AK84" t="e">
            <v>#N/A</v>
          </cell>
          <cell r="AL84" t="e">
            <v>#N/A</v>
          </cell>
          <cell r="AM84" t="e">
            <v>#N/A</v>
          </cell>
          <cell r="AN84">
            <v>0</v>
          </cell>
          <cell r="AR84" t="e">
            <v>#N/A</v>
          </cell>
          <cell r="AS84">
            <v>65</v>
          </cell>
          <cell r="AT84" t="e">
            <v>#N/A</v>
          </cell>
          <cell r="AU84">
            <v>34.35</v>
          </cell>
          <cell r="AV84">
            <v>0</v>
          </cell>
          <cell r="AX84">
            <v>0</v>
          </cell>
          <cell r="AY84" t="e">
            <v>#N/A</v>
          </cell>
          <cell r="BA84">
            <v>5.3499999999999703</v>
          </cell>
          <cell r="BB84" t="e">
            <v>#N/A</v>
          </cell>
          <cell r="BC84">
            <v>0</v>
          </cell>
          <cell r="BD84" t="e">
            <v>#N/A</v>
          </cell>
          <cell r="BE84" t="e">
            <v>#N/A</v>
          </cell>
          <cell r="BF84" t="e">
            <v>#N/A</v>
          </cell>
          <cell r="BL84">
            <v>0</v>
          </cell>
          <cell r="BM84" t="e">
            <v>#N/A</v>
          </cell>
          <cell r="BN84" t="e">
            <v>#N/A</v>
          </cell>
          <cell r="BO84" t="e">
            <v>#N/A</v>
          </cell>
          <cell r="BP84" t="e">
            <v>#N/A</v>
          </cell>
          <cell r="BQ84" t="e">
            <v>#N/A</v>
          </cell>
          <cell r="BR84">
            <v>-0.38784232365145227</v>
          </cell>
          <cell r="BT84">
            <v>-0.38784232365145227</v>
          </cell>
          <cell r="BU84" t="e">
            <v>#N/A</v>
          </cell>
          <cell r="BV84" t="e">
            <v>#N/A</v>
          </cell>
          <cell r="BW84" t="e">
            <v>#N/A</v>
          </cell>
          <cell r="BX84" t="e">
            <v>#N/A</v>
          </cell>
          <cell r="BY84" t="e">
            <v>#N/A</v>
          </cell>
          <cell r="BZ84" t="str">
            <v>CDI</v>
          </cell>
          <cell r="CA84" t="str">
            <v/>
          </cell>
          <cell r="CB84" t="str">
            <v/>
          </cell>
          <cell r="CC84" t="str">
            <v>BANQUE</v>
          </cell>
          <cell r="CD84" t="str">
            <v>281-Kitchen</v>
          </cell>
          <cell r="CE84">
            <v>281</v>
          </cell>
        </row>
        <row r="85">
          <cell r="B85" t="str">
            <v>05067</v>
          </cell>
          <cell r="C85" t="str">
            <v>KASELA KALOMBO BILLY</v>
          </cell>
          <cell r="D85" t="str">
            <v>Kitchen</v>
          </cell>
          <cell r="E85" t="str">
            <v>00018000360001119120032</v>
          </cell>
          <cell r="F85" t="str">
            <v>107558205080D</v>
          </cell>
          <cell r="G85" t="str">
            <v>Chef de Partie</v>
          </cell>
          <cell r="H85">
            <v>24.4</v>
          </cell>
          <cell r="I85">
            <v>28.2</v>
          </cell>
          <cell r="J85">
            <v>28.200000000000003</v>
          </cell>
          <cell r="K85" t="str">
            <v>MAT4-13.M</v>
          </cell>
          <cell r="L85" t="str">
            <v>MAITRISE</v>
          </cell>
          <cell r="M85" t="str">
            <v>MAITRISE</v>
          </cell>
          <cell r="N85" t="str">
            <v>MAITRISES, Echellon 4, Classe 13</v>
          </cell>
          <cell r="P85">
            <v>41153</v>
          </cell>
          <cell r="Q85" t="e">
            <v>#N/A</v>
          </cell>
          <cell r="R85" t="e">
            <v>#N/A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X85" t="e">
            <v>#N/A</v>
          </cell>
          <cell r="Y85" t="e">
            <v>#N/A</v>
          </cell>
          <cell r="Z85" t="e">
            <v>#N/A</v>
          </cell>
          <cell r="AA85" t="e">
            <v>#N/A</v>
          </cell>
          <cell r="AB85" t="e">
            <v>#N/A</v>
          </cell>
          <cell r="AC85" t="e">
            <v>#N/A</v>
          </cell>
          <cell r="AE85">
            <v>733.2</v>
          </cell>
          <cell r="AF85" t="e">
            <v>#N/A</v>
          </cell>
          <cell r="AG85" t="e">
            <v>#N/A</v>
          </cell>
          <cell r="AH85" t="e">
            <v>#N/A</v>
          </cell>
          <cell r="AI85" t="e">
            <v>#N/A</v>
          </cell>
          <cell r="AJ85" t="e">
            <v>#N/A</v>
          </cell>
          <cell r="AK85" t="e">
            <v>#N/A</v>
          </cell>
          <cell r="AL85" t="e">
            <v>#N/A</v>
          </cell>
          <cell r="AM85" t="e">
            <v>#N/A</v>
          </cell>
          <cell r="AN85">
            <v>0</v>
          </cell>
          <cell r="AR85" t="e">
            <v>#N/A</v>
          </cell>
          <cell r="AS85">
            <v>90</v>
          </cell>
          <cell r="AT85" t="e">
            <v>#N/A</v>
          </cell>
          <cell r="AU85">
            <v>111.8</v>
          </cell>
          <cell r="AV85">
            <v>3</v>
          </cell>
          <cell r="AX85">
            <v>0</v>
          </cell>
          <cell r="AY85" t="e">
            <v>#N/A</v>
          </cell>
          <cell r="BA85">
            <v>7.48000000000002</v>
          </cell>
          <cell r="BB85" t="e">
            <v>#N/A</v>
          </cell>
          <cell r="BC85">
            <v>0</v>
          </cell>
          <cell r="BD85" t="e">
            <v>#N/A</v>
          </cell>
          <cell r="BE85" t="e">
            <v>#N/A</v>
          </cell>
          <cell r="BF85" t="e">
            <v>#N/A</v>
          </cell>
          <cell r="BI85">
            <v>11</v>
          </cell>
          <cell r="BL85">
            <v>11</v>
          </cell>
          <cell r="BM85" t="e">
            <v>#N/A</v>
          </cell>
          <cell r="BN85" t="e">
            <v>#N/A</v>
          </cell>
          <cell r="BO85" t="e">
            <v>#N/A</v>
          </cell>
          <cell r="BP85" t="e">
            <v>#N/A</v>
          </cell>
          <cell r="BQ85" t="e">
            <v>#N/A</v>
          </cell>
          <cell r="BR85">
            <v>-0.38784232365145227</v>
          </cell>
          <cell r="BT85">
            <v>-0.38784232365145227</v>
          </cell>
          <cell r="BU85" t="e">
            <v>#N/A</v>
          </cell>
          <cell r="BV85" t="e">
            <v>#N/A</v>
          </cell>
          <cell r="BW85" t="e">
            <v>#N/A</v>
          </cell>
          <cell r="BX85" t="e">
            <v>#N/A</v>
          </cell>
          <cell r="BY85" t="e">
            <v>#N/A</v>
          </cell>
          <cell r="BZ85" t="str">
            <v>CDI</v>
          </cell>
          <cell r="CA85" t="str">
            <v/>
          </cell>
          <cell r="CB85" t="str">
            <v/>
          </cell>
          <cell r="CC85" t="str">
            <v>BANQUE</v>
          </cell>
          <cell r="CD85" t="str">
            <v>281-Kitchen</v>
          </cell>
          <cell r="CE85">
            <v>281</v>
          </cell>
        </row>
        <row r="86">
          <cell r="B86" t="str">
            <v>05098</v>
          </cell>
          <cell r="C86" t="str">
            <v>KABONGO LUDIKA BATU</v>
          </cell>
          <cell r="D86" t="str">
            <v>Kitchen</v>
          </cell>
          <cell r="E86" t="str">
            <v>00018000360001098120017</v>
          </cell>
          <cell r="F86" t="str">
            <v>109347804120B</v>
          </cell>
          <cell r="G86" t="str">
            <v>Chef de partie</v>
          </cell>
          <cell r="H86">
            <v>21.1</v>
          </cell>
          <cell r="I86">
            <v>24.4</v>
          </cell>
          <cell r="J86">
            <v>24.4</v>
          </cell>
          <cell r="K86" t="str">
            <v>MAT3-12.M</v>
          </cell>
          <cell r="L86" t="str">
            <v>MAITRISE</v>
          </cell>
          <cell r="M86" t="str">
            <v>MAITRISE</v>
          </cell>
          <cell r="N86" t="str">
            <v>MAITRISES, Echellon 3, Classe 12</v>
          </cell>
          <cell r="P86">
            <v>41153</v>
          </cell>
          <cell r="Q86" t="e">
            <v>#N/A</v>
          </cell>
          <cell r="R86" t="e">
            <v>#N/A</v>
          </cell>
          <cell r="S86" t="e">
            <v>#N/A</v>
          </cell>
          <cell r="T86" t="e">
            <v>#N/A</v>
          </cell>
          <cell r="U86" t="e">
            <v>#N/A</v>
          </cell>
          <cell r="V86" t="e">
            <v>#N/A</v>
          </cell>
          <cell r="W86" t="e">
            <v>#N/A</v>
          </cell>
          <cell r="X86" t="e">
            <v>#N/A</v>
          </cell>
          <cell r="Y86" t="e">
            <v>#N/A</v>
          </cell>
          <cell r="Z86" t="e">
            <v>#N/A</v>
          </cell>
          <cell r="AA86" t="e">
            <v>#N/A</v>
          </cell>
          <cell r="AB86" t="e">
            <v>#N/A</v>
          </cell>
          <cell r="AC86" t="e">
            <v>#N/A</v>
          </cell>
          <cell r="AE86">
            <v>634.4</v>
          </cell>
          <cell r="AF86" t="e">
            <v>#N/A</v>
          </cell>
          <cell r="AG86" t="e">
            <v>#N/A</v>
          </cell>
          <cell r="AH86" t="e">
            <v>#N/A</v>
          </cell>
          <cell r="AI86" t="e">
            <v>#N/A</v>
          </cell>
          <cell r="AJ86" t="e">
            <v>#N/A</v>
          </cell>
          <cell r="AK86" t="e">
            <v>#N/A</v>
          </cell>
          <cell r="AL86" t="e">
            <v>#N/A</v>
          </cell>
          <cell r="AM86" t="e">
            <v>#N/A</v>
          </cell>
          <cell r="AN86">
            <v>0</v>
          </cell>
          <cell r="AR86" t="e">
            <v>#N/A</v>
          </cell>
          <cell r="AS86">
            <v>70</v>
          </cell>
          <cell r="AT86" t="e">
            <v>#N/A</v>
          </cell>
          <cell r="AU86">
            <v>125.6</v>
          </cell>
          <cell r="AV86">
            <v>4</v>
          </cell>
          <cell r="AX86">
            <v>0</v>
          </cell>
          <cell r="AY86" t="e">
            <v>#N/A</v>
          </cell>
          <cell r="BA86">
            <v>2.98000000000002</v>
          </cell>
          <cell r="BB86" t="e">
            <v>#N/A</v>
          </cell>
          <cell r="BC86">
            <v>0</v>
          </cell>
          <cell r="BD86" t="e">
            <v>#N/A</v>
          </cell>
          <cell r="BE86" t="e">
            <v>#N/A</v>
          </cell>
          <cell r="BF86" t="e">
            <v>#N/A</v>
          </cell>
          <cell r="BL86">
            <v>0</v>
          </cell>
          <cell r="BM86" t="e">
            <v>#N/A</v>
          </cell>
          <cell r="BN86" t="e">
            <v>#N/A</v>
          </cell>
          <cell r="BO86" t="e">
            <v>#N/A</v>
          </cell>
          <cell r="BP86" t="e">
            <v>#N/A</v>
          </cell>
          <cell r="BQ86" t="e">
            <v>#N/A</v>
          </cell>
          <cell r="BR86">
            <v>-0.38784232365145227</v>
          </cell>
          <cell r="BT86">
            <v>-0.38784232365145227</v>
          </cell>
          <cell r="BU86" t="e">
            <v>#N/A</v>
          </cell>
          <cell r="BV86" t="e">
            <v>#N/A</v>
          </cell>
          <cell r="BW86" t="e">
            <v>#N/A</v>
          </cell>
          <cell r="BX86" t="e">
            <v>#N/A</v>
          </cell>
          <cell r="BY86" t="e">
            <v>#N/A</v>
          </cell>
          <cell r="BZ86" t="str">
            <v>CDI</v>
          </cell>
          <cell r="CA86" t="str">
            <v/>
          </cell>
          <cell r="CB86" t="str">
            <v/>
          </cell>
          <cell r="CC86" t="str">
            <v>BANQUE</v>
          </cell>
          <cell r="CD86" t="str">
            <v>281-Kitchen</v>
          </cell>
          <cell r="CE86">
            <v>281</v>
          </cell>
        </row>
        <row r="87">
          <cell r="B87" t="str">
            <v>05101</v>
          </cell>
          <cell r="C87" t="str">
            <v>KAYOKO KONYI FRANCINE</v>
          </cell>
          <cell r="D87" t="str">
            <v>Kitchen</v>
          </cell>
          <cell r="E87" t="str">
            <v>00018000360102185120054</v>
          </cell>
          <cell r="F87" t="str">
            <v>206438803050O</v>
          </cell>
          <cell r="G87" t="str">
            <v>Chef de Partie</v>
          </cell>
          <cell r="H87">
            <v>15.85</v>
          </cell>
          <cell r="I87">
            <v>18.3</v>
          </cell>
          <cell r="J87">
            <v>18.3</v>
          </cell>
          <cell r="K87" t="str">
            <v>MAT1-10.M</v>
          </cell>
          <cell r="L87" t="str">
            <v>MAITRISE</v>
          </cell>
          <cell r="M87" t="str">
            <v>MAITRISE</v>
          </cell>
          <cell r="N87" t="str">
            <v>MAITRISES, Echellon 1, Classe 10</v>
          </cell>
          <cell r="P87">
            <v>41153</v>
          </cell>
          <cell r="Q87" t="e">
            <v>#N/A</v>
          </cell>
          <cell r="R87" t="e">
            <v>#N/A</v>
          </cell>
          <cell r="S87" t="e">
            <v>#N/A</v>
          </cell>
          <cell r="T87" t="e">
            <v>#N/A</v>
          </cell>
          <cell r="U87" t="e">
            <v>#N/A</v>
          </cell>
          <cell r="V87" t="e">
            <v>#N/A</v>
          </cell>
          <cell r="W87" t="e">
            <v>#N/A</v>
          </cell>
          <cell r="X87" t="e">
            <v>#N/A</v>
          </cell>
          <cell r="Y87" t="e">
            <v>#N/A</v>
          </cell>
          <cell r="Z87" t="e">
            <v>#N/A</v>
          </cell>
          <cell r="AA87" t="e">
            <v>#N/A</v>
          </cell>
          <cell r="AB87" t="e">
            <v>#N/A</v>
          </cell>
          <cell r="AC87" t="e">
            <v>#N/A</v>
          </cell>
          <cell r="AE87">
            <v>475.8</v>
          </cell>
          <cell r="AF87" t="e">
            <v>#N/A</v>
          </cell>
          <cell r="AG87" t="e">
            <v>#N/A</v>
          </cell>
          <cell r="AH87" t="e">
            <v>#N/A</v>
          </cell>
          <cell r="AI87" t="e">
            <v>#N/A</v>
          </cell>
          <cell r="AJ87" t="e">
            <v>#N/A</v>
          </cell>
          <cell r="AK87" t="e">
            <v>#N/A</v>
          </cell>
          <cell r="AL87" t="e">
            <v>#N/A</v>
          </cell>
          <cell r="AM87" t="e">
            <v>#N/A</v>
          </cell>
          <cell r="AN87">
            <v>0</v>
          </cell>
          <cell r="AR87" t="e">
            <v>#N/A</v>
          </cell>
          <cell r="AS87">
            <v>90</v>
          </cell>
          <cell r="AT87" t="e">
            <v>#N/A</v>
          </cell>
          <cell r="AU87">
            <v>94.2</v>
          </cell>
          <cell r="AV87">
            <v>3</v>
          </cell>
          <cell r="AY87" t="e">
            <v>#N/A</v>
          </cell>
          <cell r="AZ87">
            <v>70</v>
          </cell>
          <cell r="BA87">
            <v>4.18999999999994</v>
          </cell>
          <cell r="BB87" t="e">
            <v>#N/A</v>
          </cell>
          <cell r="BC87">
            <v>0</v>
          </cell>
          <cell r="BD87" t="e">
            <v>#N/A</v>
          </cell>
          <cell r="BE87" t="e">
            <v>#N/A</v>
          </cell>
          <cell r="BF87" t="e">
            <v>#N/A</v>
          </cell>
          <cell r="BL87">
            <v>0</v>
          </cell>
          <cell r="BM87" t="e">
            <v>#N/A</v>
          </cell>
          <cell r="BN87" t="e">
            <v>#N/A</v>
          </cell>
          <cell r="BO87" t="e">
            <v>#N/A</v>
          </cell>
          <cell r="BP87" t="e">
            <v>#N/A</v>
          </cell>
          <cell r="BQ87" t="e">
            <v>#N/A</v>
          </cell>
          <cell r="BR87">
            <v>-0.38784232365145227</v>
          </cell>
          <cell r="BT87">
            <v>-0.38784232365145227</v>
          </cell>
          <cell r="BU87" t="e">
            <v>#N/A</v>
          </cell>
          <cell r="BV87" t="e">
            <v>#N/A</v>
          </cell>
          <cell r="BW87" t="e">
            <v>#N/A</v>
          </cell>
          <cell r="BX87" t="e">
            <v>#N/A</v>
          </cell>
          <cell r="BY87" t="e">
            <v>#N/A</v>
          </cell>
          <cell r="BZ87" t="str">
            <v>CDI</v>
          </cell>
          <cell r="CA87" t="str">
            <v/>
          </cell>
          <cell r="CB87" t="str">
            <v/>
          </cell>
          <cell r="CC87" t="str">
            <v>BANQUE</v>
          </cell>
          <cell r="CD87" t="str">
            <v>281-Kitchen</v>
          </cell>
          <cell r="CE87">
            <v>281</v>
          </cell>
        </row>
        <row r="88">
          <cell r="B88" t="str">
            <v>05112</v>
          </cell>
          <cell r="C88" t="str">
            <v>MAMFUMU MAMBEMBE NOUCHKA</v>
          </cell>
          <cell r="D88" t="str">
            <v>Kitchen</v>
          </cell>
          <cell r="E88" t="str">
            <v>00018000360002062120082</v>
          </cell>
          <cell r="F88" t="str">
            <v>209418806010Q</v>
          </cell>
          <cell r="G88" t="str">
            <v>Commis II</v>
          </cell>
          <cell r="H88">
            <v>6.65</v>
          </cell>
          <cell r="I88">
            <v>7.7</v>
          </cell>
          <cell r="J88">
            <v>7.6999999999999993</v>
          </cell>
          <cell r="K88" t="str">
            <v>TSQ1-4.III</v>
          </cell>
          <cell r="L88" t="str">
            <v>TRAVAILLEUR SEMI QUALIFIE</v>
          </cell>
          <cell r="M88" t="str">
            <v>CATEGORIE 1 A 5</v>
          </cell>
          <cell r="N88" t="str">
            <v>TRAVAILLEUR SEMI QUALIFIE (TSQ), Echellon 1, Classe 4</v>
          </cell>
          <cell r="P88">
            <v>41153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X88" t="e">
            <v>#N/A</v>
          </cell>
          <cell r="Y88" t="e">
            <v>#N/A</v>
          </cell>
          <cell r="Z88" t="e">
            <v>#N/A</v>
          </cell>
          <cell r="AA88" t="e">
            <v>#N/A</v>
          </cell>
          <cell r="AB88" t="e">
            <v>#N/A</v>
          </cell>
          <cell r="AC88" t="e">
            <v>#N/A</v>
          </cell>
          <cell r="AE88">
            <v>200.2</v>
          </cell>
          <cell r="AF88" t="e">
            <v>#N/A</v>
          </cell>
          <cell r="AG88" t="e">
            <v>#N/A</v>
          </cell>
          <cell r="AH88" t="e">
            <v>#N/A</v>
          </cell>
          <cell r="AI88" t="e">
            <v>#N/A</v>
          </cell>
          <cell r="AJ88" t="e">
            <v>#N/A</v>
          </cell>
          <cell r="AK88" t="e">
            <v>#N/A</v>
          </cell>
          <cell r="AL88" t="e">
            <v>#N/A</v>
          </cell>
          <cell r="AM88" t="e">
            <v>#N/A</v>
          </cell>
          <cell r="AN88">
            <v>0</v>
          </cell>
          <cell r="AR88" t="e">
            <v>#N/A</v>
          </cell>
          <cell r="AS88">
            <v>60</v>
          </cell>
          <cell r="AT88" t="e">
            <v>#N/A</v>
          </cell>
          <cell r="AU88">
            <v>46.95</v>
          </cell>
          <cell r="AV88">
            <v>2</v>
          </cell>
          <cell r="AX88">
            <v>0</v>
          </cell>
          <cell r="AY88" t="e">
            <v>#N/A</v>
          </cell>
          <cell r="BA88">
            <v>3.6799999999999802</v>
          </cell>
          <cell r="BB88" t="e">
            <v>#N/A</v>
          </cell>
          <cell r="BC88">
            <v>0</v>
          </cell>
          <cell r="BD88" t="e">
            <v>#N/A</v>
          </cell>
          <cell r="BE88" t="e">
            <v>#N/A</v>
          </cell>
          <cell r="BF88" t="e">
            <v>#N/A</v>
          </cell>
          <cell r="BL88">
            <v>0</v>
          </cell>
          <cell r="BM88" t="e">
            <v>#N/A</v>
          </cell>
          <cell r="BN88" t="e">
            <v>#N/A</v>
          </cell>
          <cell r="BO88" t="e">
            <v>#N/A</v>
          </cell>
          <cell r="BP88" t="e">
            <v>#N/A</v>
          </cell>
          <cell r="BQ88" t="e">
            <v>#N/A</v>
          </cell>
          <cell r="BR88">
            <v>-0.38784232365145227</v>
          </cell>
          <cell r="BT88">
            <v>-0.38784232365145227</v>
          </cell>
          <cell r="BU88" t="e">
            <v>#N/A</v>
          </cell>
          <cell r="BV88" t="e">
            <v>#N/A</v>
          </cell>
          <cell r="BW88" t="e">
            <v>#N/A</v>
          </cell>
          <cell r="BX88" t="e">
            <v>#N/A</v>
          </cell>
          <cell r="BY88" t="e">
            <v>#N/A</v>
          </cell>
          <cell r="BZ88" t="str">
            <v>CDI</v>
          </cell>
          <cell r="CA88" t="str">
            <v/>
          </cell>
          <cell r="CB88" t="str">
            <v/>
          </cell>
          <cell r="CC88" t="str">
            <v>BANQUE</v>
          </cell>
          <cell r="CD88" t="str">
            <v>281-Kitchen</v>
          </cell>
          <cell r="CE88">
            <v>281</v>
          </cell>
        </row>
        <row r="89">
          <cell r="B89" t="str">
            <v>05125</v>
          </cell>
          <cell r="C89" t="str">
            <v>ZENGA MAYIMONA GAYLORD</v>
          </cell>
          <cell r="D89" t="str">
            <v>Kitchen</v>
          </cell>
          <cell r="E89" t="str">
            <v>00018000360001238120020</v>
          </cell>
          <cell r="F89" t="str">
            <v>108538303030L</v>
          </cell>
          <cell r="G89" t="str">
            <v>Demi-Chef de Partie</v>
          </cell>
          <cell r="H89">
            <v>10.3</v>
          </cell>
          <cell r="I89">
            <v>11.85</v>
          </cell>
          <cell r="J89">
            <v>11.850000000000001</v>
          </cell>
          <cell r="K89" t="str">
            <v>TRQ1-7.IV</v>
          </cell>
          <cell r="L89" t="str">
            <v>TRAVAILLEUR QUALIFIE</v>
          </cell>
          <cell r="M89" t="str">
            <v>CATEGORIE 1 A 5</v>
          </cell>
          <cell r="N89" t="str">
            <v>TRAVAILLEUR QUALIFIE (TQ), Echellon 1, Classe 7</v>
          </cell>
          <cell r="P89">
            <v>41153</v>
          </cell>
          <cell r="Q89" t="e">
            <v>#N/A</v>
          </cell>
          <cell r="R89" t="e">
            <v>#N/A</v>
          </cell>
          <cell r="S89" t="e">
            <v>#N/A</v>
          </cell>
          <cell r="T89" t="e">
            <v>#N/A</v>
          </cell>
          <cell r="U89" t="e">
            <v>#N/A</v>
          </cell>
          <cell r="V89" t="e">
            <v>#N/A</v>
          </cell>
          <cell r="W89" t="e">
            <v>#N/A</v>
          </cell>
          <cell r="X89" t="e">
            <v>#N/A</v>
          </cell>
          <cell r="Y89" t="e">
            <v>#N/A</v>
          </cell>
          <cell r="Z89" t="e">
            <v>#N/A</v>
          </cell>
          <cell r="AA89" t="e">
            <v>#N/A</v>
          </cell>
          <cell r="AB89" t="e">
            <v>#N/A</v>
          </cell>
          <cell r="AC89" t="e">
            <v>#N/A</v>
          </cell>
          <cell r="AE89">
            <v>308.10000000000002</v>
          </cell>
          <cell r="AF89" t="e">
            <v>#N/A</v>
          </cell>
          <cell r="AG89" t="e">
            <v>#N/A</v>
          </cell>
          <cell r="AH89" t="e">
            <v>#N/A</v>
          </cell>
          <cell r="AI89" t="e">
            <v>#N/A</v>
          </cell>
          <cell r="AJ89" t="e">
            <v>#N/A</v>
          </cell>
          <cell r="AK89" t="e">
            <v>#N/A</v>
          </cell>
          <cell r="AL89" t="e">
            <v>#N/A</v>
          </cell>
          <cell r="AM89" t="e">
            <v>#N/A</v>
          </cell>
          <cell r="AN89">
            <v>0</v>
          </cell>
          <cell r="AR89" t="e">
            <v>#N/A</v>
          </cell>
          <cell r="AS89">
            <v>75</v>
          </cell>
          <cell r="AT89" t="e">
            <v>#N/A</v>
          </cell>
          <cell r="AU89">
            <v>71.900000000000006</v>
          </cell>
          <cell r="AV89">
            <v>0</v>
          </cell>
          <cell r="AX89">
            <v>0</v>
          </cell>
          <cell r="AY89" t="e">
            <v>#N/A</v>
          </cell>
          <cell r="BA89">
            <v>0.80999999999994499</v>
          </cell>
          <cell r="BB89" t="e">
            <v>#N/A</v>
          </cell>
          <cell r="BC89">
            <v>0</v>
          </cell>
          <cell r="BD89" t="e">
            <v>#N/A</v>
          </cell>
          <cell r="BE89" t="e">
            <v>#N/A</v>
          </cell>
          <cell r="BF89" t="e">
            <v>#N/A</v>
          </cell>
          <cell r="BL89">
            <v>0</v>
          </cell>
          <cell r="BM89" t="e">
            <v>#N/A</v>
          </cell>
          <cell r="BN89" t="e">
            <v>#N/A</v>
          </cell>
          <cell r="BO89" t="e">
            <v>#N/A</v>
          </cell>
          <cell r="BP89" t="e">
            <v>#N/A</v>
          </cell>
          <cell r="BQ89" t="e">
            <v>#N/A</v>
          </cell>
          <cell r="BR89">
            <v>-0.38784232365145227</v>
          </cell>
          <cell r="BT89">
            <v>-0.38784232365145227</v>
          </cell>
          <cell r="BU89" t="e">
            <v>#N/A</v>
          </cell>
          <cell r="BV89" t="e">
            <v>#N/A</v>
          </cell>
          <cell r="BW89" t="e">
            <v>#N/A</v>
          </cell>
          <cell r="BX89" t="e">
            <v>#N/A</v>
          </cell>
          <cell r="BY89" t="e">
            <v>#N/A</v>
          </cell>
          <cell r="BZ89" t="str">
            <v>CDI</v>
          </cell>
          <cell r="CA89" t="str">
            <v/>
          </cell>
          <cell r="CB89" t="str">
            <v/>
          </cell>
          <cell r="CC89" t="str">
            <v>BANQUE</v>
          </cell>
          <cell r="CD89" t="str">
            <v>281-Kitchen</v>
          </cell>
          <cell r="CE89">
            <v>281</v>
          </cell>
        </row>
        <row r="90">
          <cell r="B90" t="str">
            <v>05127</v>
          </cell>
          <cell r="C90" t="str">
            <v>KAPINGA BAJIKILA MAGALIE</v>
          </cell>
          <cell r="D90" t="str">
            <v>Kitchen</v>
          </cell>
          <cell r="E90" t="str">
            <v>00018000360001116120016</v>
          </cell>
          <cell r="F90" t="str">
            <v>207559008050T</v>
          </cell>
          <cell r="G90" t="str">
            <v>Commis II</v>
          </cell>
          <cell r="H90">
            <v>6.65</v>
          </cell>
          <cell r="I90">
            <v>7.7</v>
          </cell>
          <cell r="J90">
            <v>7.6999999999999993</v>
          </cell>
          <cell r="K90" t="str">
            <v>TSQ1-4.III</v>
          </cell>
          <cell r="L90" t="str">
            <v>TRAVAILLEUR SEMI QUALIFIE</v>
          </cell>
          <cell r="M90" t="str">
            <v>CATEGORIE 1 A 5</v>
          </cell>
          <cell r="N90" t="str">
            <v>TRAVAILLEUR SEMI QUALIFIE (TSQ), Echellon 1, Classe 4</v>
          </cell>
          <cell r="P90">
            <v>41153</v>
          </cell>
          <cell r="Q90" t="e">
            <v>#N/A</v>
          </cell>
          <cell r="R90" t="e">
            <v>#N/A</v>
          </cell>
          <cell r="S90" t="e">
            <v>#N/A</v>
          </cell>
          <cell r="T90" t="e">
            <v>#N/A</v>
          </cell>
          <cell r="U90" t="e">
            <v>#N/A</v>
          </cell>
          <cell r="V90" t="e">
            <v>#N/A</v>
          </cell>
          <cell r="W90" t="e">
            <v>#N/A</v>
          </cell>
          <cell r="X90" t="e">
            <v>#N/A</v>
          </cell>
          <cell r="Y90" t="e">
            <v>#N/A</v>
          </cell>
          <cell r="Z90" t="e">
            <v>#N/A</v>
          </cell>
          <cell r="AA90" t="e">
            <v>#N/A</v>
          </cell>
          <cell r="AB90" t="e">
            <v>#N/A</v>
          </cell>
          <cell r="AC90" t="e">
            <v>#N/A</v>
          </cell>
          <cell r="AE90">
            <v>200.2</v>
          </cell>
          <cell r="AF90" t="e">
            <v>#N/A</v>
          </cell>
          <cell r="AG90" t="e">
            <v>#N/A</v>
          </cell>
          <cell r="AH90" t="e">
            <v>#N/A</v>
          </cell>
          <cell r="AI90" t="e">
            <v>#N/A</v>
          </cell>
          <cell r="AJ90" t="e">
            <v>#N/A</v>
          </cell>
          <cell r="AK90" t="e">
            <v>#N/A</v>
          </cell>
          <cell r="AL90" t="e">
            <v>#N/A</v>
          </cell>
          <cell r="AM90" t="e">
            <v>#N/A</v>
          </cell>
          <cell r="AN90">
            <v>0</v>
          </cell>
          <cell r="AR90" t="e">
            <v>#N/A</v>
          </cell>
          <cell r="AS90">
            <v>60</v>
          </cell>
          <cell r="AT90" t="e">
            <v>#N/A</v>
          </cell>
          <cell r="AU90">
            <v>46.95</v>
          </cell>
          <cell r="AV90">
            <v>2</v>
          </cell>
          <cell r="AX90">
            <v>0</v>
          </cell>
          <cell r="AY90" t="e">
            <v>#N/A</v>
          </cell>
          <cell r="BA90">
            <v>1.48000000000002</v>
          </cell>
          <cell r="BB90" t="e">
            <v>#N/A</v>
          </cell>
          <cell r="BC90">
            <v>0</v>
          </cell>
          <cell r="BD90" t="e">
            <v>#N/A</v>
          </cell>
          <cell r="BE90" t="e">
            <v>#N/A</v>
          </cell>
          <cell r="BF90" t="e">
            <v>#N/A</v>
          </cell>
          <cell r="BL90">
            <v>0</v>
          </cell>
          <cell r="BM90" t="e">
            <v>#N/A</v>
          </cell>
          <cell r="BN90" t="e">
            <v>#N/A</v>
          </cell>
          <cell r="BO90" t="e">
            <v>#N/A</v>
          </cell>
          <cell r="BP90" t="e">
            <v>#N/A</v>
          </cell>
          <cell r="BQ90" t="e">
            <v>#N/A</v>
          </cell>
          <cell r="BR90">
            <v>-0.38784232365145227</v>
          </cell>
          <cell r="BT90">
            <v>-0.38784232365145227</v>
          </cell>
          <cell r="BU90" t="e">
            <v>#N/A</v>
          </cell>
          <cell r="BV90" t="e">
            <v>#N/A</v>
          </cell>
          <cell r="BW90" t="e">
            <v>#N/A</v>
          </cell>
          <cell r="BX90" t="e">
            <v>#N/A</v>
          </cell>
          <cell r="BY90" t="e">
            <v>#N/A</v>
          </cell>
          <cell r="BZ90" t="str">
            <v>CDI</v>
          </cell>
          <cell r="CA90" t="str">
            <v/>
          </cell>
          <cell r="CB90" t="str">
            <v/>
          </cell>
          <cell r="CC90" t="str">
            <v>BANQUE</v>
          </cell>
          <cell r="CD90" t="str">
            <v>281-Kitchen</v>
          </cell>
          <cell r="CE90">
            <v>281</v>
          </cell>
        </row>
        <row r="91">
          <cell r="B91" t="str">
            <v>05208</v>
          </cell>
          <cell r="C91" t="str">
            <v>KATUNDA MUSONGO CLAUDE</v>
          </cell>
          <cell r="D91" t="str">
            <v>Kitchen</v>
          </cell>
          <cell r="E91" t="str">
            <v>00018000360001125120064</v>
          </cell>
          <cell r="F91" t="str">
            <v>109428512010R</v>
          </cell>
          <cell r="G91" t="str">
            <v>Chef De Partie</v>
          </cell>
          <cell r="H91">
            <v>28.2</v>
          </cell>
          <cell r="I91">
            <v>32.549999999999997</v>
          </cell>
          <cell r="J91">
            <v>32.549999999999997</v>
          </cell>
          <cell r="K91" t="str">
            <v>CAC1-14.CC</v>
          </cell>
          <cell r="L91" t="str">
            <v>CADRE DE COLLABORATION</v>
          </cell>
          <cell r="M91" t="str">
            <v>CADRE DE COLLABORATION</v>
          </cell>
          <cell r="N91" t="str">
            <v>CADRE DE COLLABORATION, Echellon 1, Classe 14</v>
          </cell>
          <cell r="P91">
            <v>41295</v>
          </cell>
          <cell r="Q91" t="e">
            <v>#N/A</v>
          </cell>
          <cell r="R91" t="e">
            <v>#N/A</v>
          </cell>
          <cell r="S91" t="e">
            <v>#N/A</v>
          </cell>
          <cell r="T91" t="e">
            <v>#N/A</v>
          </cell>
          <cell r="U91" t="e">
            <v>#N/A</v>
          </cell>
          <cell r="V91" t="e">
            <v>#N/A</v>
          </cell>
          <cell r="W91" t="e">
            <v>#N/A</v>
          </cell>
          <cell r="X91" t="e">
            <v>#N/A</v>
          </cell>
          <cell r="Y91" t="e">
            <v>#N/A</v>
          </cell>
          <cell r="Z91" t="e">
            <v>#N/A</v>
          </cell>
          <cell r="AA91" t="e">
            <v>#N/A</v>
          </cell>
          <cell r="AB91" t="e">
            <v>#N/A</v>
          </cell>
          <cell r="AC91" t="e">
            <v>#N/A</v>
          </cell>
          <cell r="AE91">
            <v>846.3</v>
          </cell>
          <cell r="AF91" t="e">
            <v>#N/A</v>
          </cell>
          <cell r="AG91" t="e">
            <v>#N/A</v>
          </cell>
          <cell r="AH91" t="e">
            <v>#N/A</v>
          </cell>
          <cell r="AI91" t="e">
            <v>#N/A</v>
          </cell>
          <cell r="AJ91" t="e">
            <v>#N/A</v>
          </cell>
          <cell r="AK91" t="e">
            <v>#N/A</v>
          </cell>
          <cell r="AL91" t="e">
            <v>#N/A</v>
          </cell>
          <cell r="AM91" t="e">
            <v>#N/A</v>
          </cell>
          <cell r="AN91">
            <v>0</v>
          </cell>
          <cell r="AR91" t="e">
            <v>#N/A</v>
          </cell>
          <cell r="AS91">
            <v>75</v>
          </cell>
          <cell r="AT91" t="e">
            <v>#N/A</v>
          </cell>
          <cell r="AU91">
            <v>117.95</v>
          </cell>
          <cell r="AV91">
            <v>1</v>
          </cell>
          <cell r="AX91">
            <v>0</v>
          </cell>
          <cell r="AY91" t="e">
            <v>#N/A</v>
          </cell>
          <cell r="BA91">
            <v>9.57000000000005</v>
          </cell>
          <cell r="BB91" t="e">
            <v>#N/A</v>
          </cell>
          <cell r="BC91">
            <v>0</v>
          </cell>
          <cell r="BD91" t="e">
            <v>#N/A</v>
          </cell>
          <cell r="BE91" t="e">
            <v>#N/A</v>
          </cell>
          <cell r="BF91" t="e">
            <v>#N/A</v>
          </cell>
          <cell r="BL91">
            <v>0</v>
          </cell>
          <cell r="BM91" t="e">
            <v>#N/A</v>
          </cell>
          <cell r="BN91" t="e">
            <v>#N/A</v>
          </cell>
          <cell r="BO91" t="e">
            <v>#N/A</v>
          </cell>
          <cell r="BP91" t="e">
            <v>#N/A</v>
          </cell>
          <cell r="BQ91" t="e">
            <v>#N/A</v>
          </cell>
          <cell r="BR91">
            <v>-0.38784232365145227</v>
          </cell>
          <cell r="BT91">
            <v>-0.38784232365145227</v>
          </cell>
          <cell r="BU91" t="e">
            <v>#N/A</v>
          </cell>
          <cell r="BV91" t="e">
            <v>#N/A</v>
          </cell>
          <cell r="BW91" t="e">
            <v>#N/A</v>
          </cell>
          <cell r="BX91" t="e">
            <v>#N/A</v>
          </cell>
          <cell r="BY91" t="e">
            <v>#N/A</v>
          </cell>
          <cell r="BZ91" t="str">
            <v>CDI</v>
          </cell>
          <cell r="CA91" t="str">
            <v/>
          </cell>
          <cell r="CB91" t="str">
            <v/>
          </cell>
          <cell r="CC91" t="str">
            <v>BANQUE</v>
          </cell>
          <cell r="CD91" t="str">
            <v>281-Kitchen</v>
          </cell>
          <cell r="CE91">
            <v>281</v>
          </cell>
        </row>
        <row r="92">
          <cell r="B92" t="str">
            <v>05221</v>
          </cell>
          <cell r="C92" t="str">
            <v>NAKESE ASEMA GUYLAIN</v>
          </cell>
          <cell r="D92" t="str">
            <v>Kitchen</v>
          </cell>
          <cell r="E92" t="str">
            <v>00018000360001277120034</v>
          </cell>
          <cell r="F92" t="str">
            <v>109458004020B</v>
          </cell>
          <cell r="G92" t="str">
            <v>Demi-Chef de Partie</v>
          </cell>
          <cell r="H92">
            <v>10.3</v>
          </cell>
          <cell r="I92">
            <v>11.85</v>
          </cell>
          <cell r="J92">
            <v>11.850000000000001</v>
          </cell>
          <cell r="K92" t="str">
            <v>TRQ1-7.IV</v>
          </cell>
          <cell r="L92" t="str">
            <v>TRAVAILLEUR QUALIFIE</v>
          </cell>
          <cell r="M92" t="str">
            <v>CATEGORIE 1 A 5</v>
          </cell>
          <cell r="N92" t="str">
            <v>TRAVAILLEUR QUALIFIE (TQ), Echellon 1, Classe 7</v>
          </cell>
          <cell r="P92">
            <v>41153</v>
          </cell>
          <cell r="Q92" t="e">
            <v>#N/A</v>
          </cell>
          <cell r="R92" t="e">
            <v>#N/A</v>
          </cell>
          <cell r="S92" t="e">
            <v>#N/A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X92" t="e">
            <v>#N/A</v>
          </cell>
          <cell r="Y92" t="e">
            <v>#N/A</v>
          </cell>
          <cell r="Z92" t="e">
            <v>#N/A</v>
          </cell>
          <cell r="AA92" t="e">
            <v>#N/A</v>
          </cell>
          <cell r="AB92" t="e">
            <v>#N/A</v>
          </cell>
          <cell r="AC92" t="e">
            <v>#N/A</v>
          </cell>
          <cell r="AE92">
            <v>308.10000000000002</v>
          </cell>
          <cell r="AF92" t="e">
            <v>#N/A</v>
          </cell>
          <cell r="AG92" t="e">
            <v>#N/A</v>
          </cell>
          <cell r="AH92" t="e">
            <v>#N/A</v>
          </cell>
          <cell r="AI92" t="e">
            <v>#N/A</v>
          </cell>
          <cell r="AJ92" t="e">
            <v>#N/A</v>
          </cell>
          <cell r="AK92" t="e">
            <v>#N/A</v>
          </cell>
          <cell r="AL92" t="e">
            <v>#N/A</v>
          </cell>
          <cell r="AM92" t="e">
            <v>#N/A</v>
          </cell>
          <cell r="AN92">
            <v>0</v>
          </cell>
          <cell r="AR92" t="e">
            <v>#N/A</v>
          </cell>
          <cell r="AS92">
            <v>75</v>
          </cell>
          <cell r="AT92" t="e">
            <v>#N/A</v>
          </cell>
          <cell r="AU92">
            <v>71.900000000000006</v>
          </cell>
          <cell r="AV92">
            <v>2</v>
          </cell>
          <cell r="AX92">
            <v>0</v>
          </cell>
          <cell r="AY92" t="e">
            <v>#N/A</v>
          </cell>
          <cell r="BA92">
            <v>1.54000000000002</v>
          </cell>
          <cell r="BB92" t="e">
            <v>#N/A</v>
          </cell>
          <cell r="BC92">
            <v>0</v>
          </cell>
          <cell r="BD92" t="e">
            <v>#N/A</v>
          </cell>
          <cell r="BE92" t="e">
            <v>#N/A</v>
          </cell>
          <cell r="BF92" t="e">
            <v>#N/A</v>
          </cell>
          <cell r="BL92">
            <v>0</v>
          </cell>
          <cell r="BM92" t="e">
            <v>#N/A</v>
          </cell>
          <cell r="BN92" t="e">
            <v>#N/A</v>
          </cell>
          <cell r="BO92" t="e">
            <v>#N/A</v>
          </cell>
          <cell r="BP92" t="e">
            <v>#N/A</v>
          </cell>
          <cell r="BQ92" t="e">
            <v>#N/A</v>
          </cell>
          <cell r="BR92">
            <v>-0.38784232365145227</v>
          </cell>
          <cell r="BT92">
            <v>-0.38784232365145227</v>
          </cell>
          <cell r="BU92" t="e">
            <v>#N/A</v>
          </cell>
          <cell r="BV92" t="e">
            <v>#N/A</v>
          </cell>
          <cell r="BW92" t="e">
            <v>#N/A</v>
          </cell>
          <cell r="BX92" t="e">
            <v>#N/A</v>
          </cell>
          <cell r="BY92" t="e">
            <v>#N/A</v>
          </cell>
          <cell r="BZ92" t="str">
            <v>CDI</v>
          </cell>
          <cell r="CA92" t="str">
            <v/>
          </cell>
          <cell r="CB92" t="str">
            <v/>
          </cell>
          <cell r="CC92" t="str">
            <v>BANQUE</v>
          </cell>
          <cell r="CD92" t="str">
            <v>281-Kitchen</v>
          </cell>
          <cell r="CE92">
            <v>281</v>
          </cell>
        </row>
        <row r="93">
          <cell r="B93" t="str">
            <v>05232</v>
          </cell>
          <cell r="C93" t="str">
            <v>MPUKUTA LANDU KHA</v>
          </cell>
          <cell r="D93" t="str">
            <v>Kitchen</v>
          </cell>
          <cell r="E93" t="str">
            <v>00018000360001167120094</v>
          </cell>
          <cell r="F93" t="str">
            <v>108427106041S</v>
          </cell>
          <cell r="G93" t="str">
            <v>Butcher Commis II</v>
          </cell>
          <cell r="H93">
            <v>6.65</v>
          </cell>
          <cell r="I93">
            <v>7.7</v>
          </cell>
          <cell r="J93">
            <v>7.6999999999999993</v>
          </cell>
          <cell r="K93" t="str">
            <v>TSQ1-4.III</v>
          </cell>
          <cell r="L93" t="str">
            <v>TRAVAILLEUR SEMI QUALIFIE</v>
          </cell>
          <cell r="M93" t="str">
            <v>CATEGORIE 1 A 5</v>
          </cell>
          <cell r="N93" t="str">
            <v>TRAVAILLEUR SEMI QUALIFIE (TSQ), Echellon 1, Classe 4</v>
          </cell>
          <cell r="P93">
            <v>41153</v>
          </cell>
          <cell r="Q93" t="e">
            <v>#N/A</v>
          </cell>
          <cell r="R93" t="e">
            <v>#N/A</v>
          </cell>
          <cell r="S93" t="e">
            <v>#N/A</v>
          </cell>
          <cell r="T93" t="e">
            <v>#N/A</v>
          </cell>
          <cell r="U93" t="e">
            <v>#N/A</v>
          </cell>
          <cell r="V93" t="e">
            <v>#N/A</v>
          </cell>
          <cell r="W93" t="e">
            <v>#N/A</v>
          </cell>
          <cell r="X93" t="e">
            <v>#N/A</v>
          </cell>
          <cell r="Y93" t="e">
            <v>#N/A</v>
          </cell>
          <cell r="Z93" t="e">
            <v>#N/A</v>
          </cell>
          <cell r="AA93" t="e">
            <v>#N/A</v>
          </cell>
          <cell r="AB93" t="e">
            <v>#N/A</v>
          </cell>
          <cell r="AC93" t="e">
            <v>#N/A</v>
          </cell>
          <cell r="AE93">
            <v>200.2</v>
          </cell>
          <cell r="AF93" t="e">
            <v>#N/A</v>
          </cell>
          <cell r="AG93" t="e">
            <v>#N/A</v>
          </cell>
          <cell r="AH93" t="e">
            <v>#N/A</v>
          </cell>
          <cell r="AI93" t="e">
            <v>#N/A</v>
          </cell>
          <cell r="AJ93" t="e">
            <v>#N/A</v>
          </cell>
          <cell r="AK93" t="e">
            <v>#N/A</v>
          </cell>
          <cell r="AL93" t="e">
            <v>#N/A</v>
          </cell>
          <cell r="AM93" t="e">
            <v>#N/A</v>
          </cell>
          <cell r="AN93">
            <v>0</v>
          </cell>
          <cell r="AR93" t="e">
            <v>#N/A</v>
          </cell>
          <cell r="AS93">
            <v>60</v>
          </cell>
          <cell r="AT93" t="e">
            <v>#N/A</v>
          </cell>
          <cell r="AU93">
            <v>46.95</v>
          </cell>
          <cell r="AV93">
            <v>0</v>
          </cell>
          <cell r="AX93">
            <v>0</v>
          </cell>
          <cell r="AY93" t="e">
            <v>#N/A</v>
          </cell>
          <cell r="BA93">
            <v>1.55000000000001</v>
          </cell>
          <cell r="BB93" t="e">
            <v>#N/A</v>
          </cell>
          <cell r="BC93">
            <v>0</v>
          </cell>
          <cell r="BD93" t="e">
            <v>#N/A</v>
          </cell>
          <cell r="BE93" t="e">
            <v>#N/A</v>
          </cell>
          <cell r="BF93" t="e">
            <v>#N/A</v>
          </cell>
          <cell r="BL93">
            <v>0</v>
          </cell>
          <cell r="BM93" t="e">
            <v>#N/A</v>
          </cell>
          <cell r="BN93" t="e">
            <v>#N/A</v>
          </cell>
          <cell r="BO93" t="e">
            <v>#N/A</v>
          </cell>
          <cell r="BP93" t="e">
            <v>#N/A</v>
          </cell>
          <cell r="BQ93" t="e">
            <v>#N/A</v>
          </cell>
          <cell r="BR93">
            <v>-0.38784232365145227</v>
          </cell>
          <cell r="BT93">
            <v>-0.38784232365145227</v>
          </cell>
          <cell r="BU93" t="e">
            <v>#N/A</v>
          </cell>
          <cell r="BV93" t="e">
            <v>#N/A</v>
          </cell>
          <cell r="BW93" t="e">
            <v>#N/A</v>
          </cell>
          <cell r="BX93" t="e">
            <v>#N/A</v>
          </cell>
          <cell r="BY93" t="e">
            <v>#N/A</v>
          </cell>
          <cell r="BZ93" t="str">
            <v>CDI</v>
          </cell>
          <cell r="CA93" t="str">
            <v/>
          </cell>
          <cell r="CB93" t="str">
            <v/>
          </cell>
          <cell r="CC93" t="str">
            <v>BANQUE</v>
          </cell>
          <cell r="CD93" t="str">
            <v>281-Kitchen</v>
          </cell>
          <cell r="CE93">
            <v>281</v>
          </cell>
        </row>
        <row r="94">
          <cell r="B94" t="str">
            <v>05241</v>
          </cell>
          <cell r="C94" t="str">
            <v>KABEMBA MAVUNDA BAVON</v>
          </cell>
          <cell r="D94" t="str">
            <v>Kitchen</v>
          </cell>
          <cell r="E94" t="str">
            <v>00018000360001096120071</v>
          </cell>
          <cell r="F94" t="str">
            <v>109317303060A</v>
          </cell>
          <cell r="G94" t="str">
            <v>Commis de Patissier II</v>
          </cell>
          <cell r="H94">
            <v>6.65</v>
          </cell>
          <cell r="I94">
            <v>7.7</v>
          </cell>
          <cell r="J94">
            <v>7.6999999999999993</v>
          </cell>
          <cell r="K94" t="str">
            <v>TSQ1-4.III</v>
          </cell>
          <cell r="L94" t="str">
            <v>TRAVAILLEUR SEMI QUALIFIE</v>
          </cell>
          <cell r="M94" t="str">
            <v>CATEGORIE 1 A 5</v>
          </cell>
          <cell r="N94" t="str">
            <v>TRAVAILLEUR SEMI QUALIFIE (TSQ), Echellon 1, Classe 4</v>
          </cell>
          <cell r="P94">
            <v>41153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e">
            <v>#N/A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E94">
            <v>200.2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 t="e">
            <v>#N/A</v>
          </cell>
          <cell r="AL94" t="e">
            <v>#N/A</v>
          </cell>
          <cell r="AM94" t="e">
            <v>#N/A</v>
          </cell>
          <cell r="AN94">
            <v>0</v>
          </cell>
          <cell r="AR94" t="e">
            <v>#N/A</v>
          </cell>
          <cell r="AS94">
            <v>60</v>
          </cell>
          <cell r="AT94" t="e">
            <v>#N/A</v>
          </cell>
          <cell r="AU94">
            <v>46.95</v>
          </cell>
          <cell r="AV94">
            <v>4</v>
          </cell>
          <cell r="AX94">
            <v>0</v>
          </cell>
          <cell r="AY94" t="e">
            <v>#N/A</v>
          </cell>
          <cell r="BA94">
            <v>0.74000000000000898</v>
          </cell>
          <cell r="BB94" t="e">
            <v>#N/A</v>
          </cell>
          <cell r="BC94">
            <v>0</v>
          </cell>
          <cell r="BD94" t="e">
            <v>#N/A</v>
          </cell>
          <cell r="BE94" t="e">
            <v>#N/A</v>
          </cell>
          <cell r="BF94" t="e">
            <v>#N/A</v>
          </cell>
          <cell r="BL94">
            <v>0</v>
          </cell>
          <cell r="BM94" t="e">
            <v>#N/A</v>
          </cell>
          <cell r="BN94" t="e">
            <v>#N/A</v>
          </cell>
          <cell r="BO94" t="e">
            <v>#N/A</v>
          </cell>
          <cell r="BP94" t="e">
            <v>#N/A</v>
          </cell>
          <cell r="BQ94" t="e">
            <v>#N/A</v>
          </cell>
          <cell r="BR94">
            <v>-0.38784232365145227</v>
          </cell>
          <cell r="BT94">
            <v>-0.38784232365145227</v>
          </cell>
          <cell r="BU94" t="e">
            <v>#N/A</v>
          </cell>
          <cell r="BV94" t="e">
            <v>#N/A</v>
          </cell>
          <cell r="BW94" t="e">
            <v>#N/A</v>
          </cell>
          <cell r="BX94" t="e">
            <v>#N/A</v>
          </cell>
          <cell r="BY94" t="e">
            <v>#N/A</v>
          </cell>
          <cell r="BZ94" t="str">
            <v>CDI</v>
          </cell>
          <cell r="CA94" t="str">
            <v/>
          </cell>
          <cell r="CB94" t="str">
            <v/>
          </cell>
          <cell r="CC94" t="str">
            <v>BANQUE</v>
          </cell>
          <cell r="CD94" t="str">
            <v>281-Kitchen</v>
          </cell>
          <cell r="CE94">
            <v>281</v>
          </cell>
        </row>
        <row r="95">
          <cell r="B95" t="str">
            <v>05280</v>
          </cell>
          <cell r="C95" t="str">
            <v>LAMA AMBAOTE ORNELLA</v>
          </cell>
          <cell r="D95" t="str">
            <v>Kitchen</v>
          </cell>
          <cell r="E95" t="str">
            <v>00018000360002038120051</v>
          </cell>
          <cell r="F95" t="str">
            <v>207419003270L</v>
          </cell>
          <cell r="G95" t="str">
            <v>Commis I</v>
          </cell>
          <cell r="H95">
            <v>8.9</v>
          </cell>
          <cell r="I95">
            <v>10.3</v>
          </cell>
          <cell r="J95">
            <v>10.3</v>
          </cell>
          <cell r="K95" t="str">
            <v>TSQ3-6.III</v>
          </cell>
          <cell r="L95" t="str">
            <v>TRAVAILLEUR SEMI QUALIFIE</v>
          </cell>
          <cell r="M95" t="str">
            <v>CATEGORIE 1 A 5</v>
          </cell>
          <cell r="N95" t="str">
            <v>TRAVAILLEUR SEMI QUALIFIE (TSQ), Echellon 3, Classe 6</v>
          </cell>
          <cell r="P95">
            <v>41153</v>
          </cell>
          <cell r="Q95" t="e">
            <v>#N/A</v>
          </cell>
          <cell r="R95" t="e">
            <v>#N/A</v>
          </cell>
          <cell r="S95" t="e">
            <v>#N/A</v>
          </cell>
          <cell r="T95" t="e">
            <v>#N/A</v>
          </cell>
          <cell r="U95" t="e">
            <v>#N/A</v>
          </cell>
          <cell r="V95" t="e">
            <v>#N/A</v>
          </cell>
          <cell r="W95" t="e">
            <v>#N/A</v>
          </cell>
          <cell r="X95" t="e">
            <v>#N/A</v>
          </cell>
          <cell r="Y95" t="e">
            <v>#N/A</v>
          </cell>
          <cell r="Z95" t="e">
            <v>#N/A</v>
          </cell>
          <cell r="AA95" t="e">
            <v>#N/A</v>
          </cell>
          <cell r="AB95" t="e">
            <v>#N/A</v>
          </cell>
          <cell r="AC95" t="e">
            <v>#N/A</v>
          </cell>
          <cell r="AE95">
            <v>267.8</v>
          </cell>
          <cell r="AF95" t="e">
            <v>#N/A</v>
          </cell>
          <cell r="AG95" t="e">
            <v>#N/A</v>
          </cell>
          <cell r="AH95" t="e">
            <v>#N/A</v>
          </cell>
          <cell r="AI95" t="e">
            <v>#N/A</v>
          </cell>
          <cell r="AJ95" t="e">
            <v>#N/A</v>
          </cell>
          <cell r="AK95" t="e">
            <v>#N/A</v>
          </cell>
          <cell r="AL95" t="e">
            <v>#N/A</v>
          </cell>
          <cell r="AM95" t="e">
            <v>#N/A</v>
          </cell>
          <cell r="AN95">
            <v>0</v>
          </cell>
          <cell r="AR95" t="e">
            <v>#N/A</v>
          </cell>
          <cell r="AS95">
            <v>65</v>
          </cell>
          <cell r="AT95" t="e">
            <v>#N/A</v>
          </cell>
          <cell r="AU95">
            <v>42.59</v>
          </cell>
          <cell r="AV95">
            <v>2</v>
          </cell>
          <cell r="AX95">
            <v>0</v>
          </cell>
          <cell r="AY95" t="e">
            <v>#N/A</v>
          </cell>
          <cell r="BA95">
            <v>5.0100000000000504</v>
          </cell>
          <cell r="BB95" t="e">
            <v>#N/A</v>
          </cell>
          <cell r="BC95">
            <v>0</v>
          </cell>
          <cell r="BD95" t="e">
            <v>#N/A</v>
          </cell>
          <cell r="BE95" t="e">
            <v>#N/A</v>
          </cell>
          <cell r="BF95" t="e">
            <v>#N/A</v>
          </cell>
          <cell r="BI95">
            <v>16.5</v>
          </cell>
          <cell r="BL95">
            <v>16.5</v>
          </cell>
          <cell r="BM95" t="e">
            <v>#N/A</v>
          </cell>
          <cell r="BN95" t="e">
            <v>#N/A</v>
          </cell>
          <cell r="BO95" t="e">
            <v>#N/A</v>
          </cell>
          <cell r="BP95" t="e">
            <v>#N/A</v>
          </cell>
          <cell r="BQ95" t="e">
            <v>#N/A</v>
          </cell>
          <cell r="BR95">
            <v>-0.38784232365145227</v>
          </cell>
          <cell r="BT95">
            <v>-0.38784232365145227</v>
          </cell>
          <cell r="BU95" t="e">
            <v>#N/A</v>
          </cell>
          <cell r="BV95" t="e">
            <v>#N/A</v>
          </cell>
          <cell r="BW95" t="e">
            <v>#N/A</v>
          </cell>
          <cell r="BX95" t="e">
            <v>#N/A</v>
          </cell>
          <cell r="BY95" t="e">
            <v>#N/A</v>
          </cell>
          <cell r="BZ95" t="str">
            <v>CDI</v>
          </cell>
          <cell r="CA95" t="str">
            <v/>
          </cell>
          <cell r="CB95" t="str">
            <v/>
          </cell>
          <cell r="CC95" t="str">
            <v>BANQUE</v>
          </cell>
          <cell r="CD95" t="str">
            <v>281-Kitchen</v>
          </cell>
          <cell r="CE95">
            <v>281</v>
          </cell>
        </row>
        <row r="96">
          <cell r="B96" t="str">
            <v>05281</v>
          </cell>
          <cell r="C96" t="str">
            <v>MAKETA MAKANDA GUYLAIN</v>
          </cell>
          <cell r="D96" t="str">
            <v>Kitchen</v>
          </cell>
          <cell r="E96" t="str">
            <v>00018000360114371120056</v>
          </cell>
          <cell r="F96" t="str">
            <v>108537809100G</v>
          </cell>
          <cell r="G96" t="str">
            <v>Demi-Chef de Partie</v>
          </cell>
          <cell r="H96">
            <v>10.3</v>
          </cell>
          <cell r="I96">
            <v>11.85</v>
          </cell>
          <cell r="J96">
            <v>11.850000000000001</v>
          </cell>
          <cell r="K96" t="str">
            <v>TRQ1-7.IV</v>
          </cell>
          <cell r="L96" t="str">
            <v>TRAVAILLEUR QUALIFIE</v>
          </cell>
          <cell r="M96" t="str">
            <v>CATEGORIE 1 A 5</v>
          </cell>
          <cell r="N96" t="str">
            <v>TRAVAILLEUR QUALIFIE (TQ), Echellon 1, Classe 7</v>
          </cell>
          <cell r="P96">
            <v>41275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  <cell r="Y96" t="e">
            <v>#N/A</v>
          </cell>
          <cell r="Z96" t="e">
            <v>#N/A</v>
          </cell>
          <cell r="AA96" t="e">
            <v>#N/A</v>
          </cell>
          <cell r="AB96" t="e">
            <v>#N/A</v>
          </cell>
          <cell r="AC96" t="e">
            <v>#N/A</v>
          </cell>
          <cell r="AE96">
            <v>308.10000000000002</v>
          </cell>
          <cell r="AF96" t="e">
            <v>#N/A</v>
          </cell>
          <cell r="AG96" t="e">
            <v>#N/A</v>
          </cell>
          <cell r="AH96" t="e">
            <v>#N/A</v>
          </cell>
          <cell r="AI96" t="e">
            <v>#N/A</v>
          </cell>
          <cell r="AJ96" t="e">
            <v>#N/A</v>
          </cell>
          <cell r="AK96" t="e">
            <v>#N/A</v>
          </cell>
          <cell r="AL96" t="e">
            <v>#N/A</v>
          </cell>
          <cell r="AM96" t="e">
            <v>#N/A</v>
          </cell>
          <cell r="AN96">
            <v>0</v>
          </cell>
          <cell r="AR96" t="e">
            <v>#N/A</v>
          </cell>
          <cell r="AS96">
            <v>75</v>
          </cell>
          <cell r="AT96" t="e">
            <v>#N/A</v>
          </cell>
          <cell r="AU96">
            <v>71.900000000000006</v>
          </cell>
          <cell r="AV96">
            <v>4</v>
          </cell>
          <cell r="AX96">
            <v>0</v>
          </cell>
          <cell r="AY96" t="e">
            <v>#N/A</v>
          </cell>
          <cell r="BA96">
            <v>0.99000000000000898</v>
          </cell>
          <cell r="BB96" t="e">
            <v>#N/A</v>
          </cell>
          <cell r="BC96">
            <v>0</v>
          </cell>
          <cell r="BD96" t="e">
            <v>#N/A</v>
          </cell>
          <cell r="BE96" t="e">
            <v>#N/A</v>
          </cell>
          <cell r="BF96" t="e">
            <v>#N/A</v>
          </cell>
          <cell r="BI96">
            <v>16.5</v>
          </cell>
          <cell r="BL96">
            <v>16.5</v>
          </cell>
          <cell r="BM96" t="e">
            <v>#N/A</v>
          </cell>
          <cell r="BN96" t="e">
            <v>#N/A</v>
          </cell>
          <cell r="BO96" t="e">
            <v>#N/A</v>
          </cell>
          <cell r="BP96" t="e">
            <v>#N/A</v>
          </cell>
          <cell r="BQ96" t="e">
            <v>#N/A</v>
          </cell>
          <cell r="BR96">
            <v>-0.38784232365145227</v>
          </cell>
          <cell r="BT96">
            <v>-0.38784232365145227</v>
          </cell>
          <cell r="BU96" t="e">
            <v>#N/A</v>
          </cell>
          <cell r="BV96" t="e">
            <v>#N/A</v>
          </cell>
          <cell r="BW96" t="e">
            <v>#N/A</v>
          </cell>
          <cell r="BX96" t="e">
            <v>#N/A</v>
          </cell>
          <cell r="BY96" t="e">
            <v>#N/A</v>
          </cell>
          <cell r="BZ96" t="str">
            <v>CDI</v>
          </cell>
          <cell r="CA96" t="str">
            <v/>
          </cell>
          <cell r="CB96" t="str">
            <v/>
          </cell>
          <cell r="CC96" t="str">
            <v>BANQUE</v>
          </cell>
          <cell r="CD96" t="str">
            <v>281-Kitchen</v>
          </cell>
          <cell r="CE96">
            <v>281</v>
          </cell>
        </row>
        <row r="97">
          <cell r="B97" t="str">
            <v>05286</v>
          </cell>
          <cell r="C97" t="str">
            <v>KATUPANGANI TSHINYAMA JOSUE</v>
          </cell>
          <cell r="D97" t="str">
            <v>Kitchen</v>
          </cell>
          <cell r="E97" t="str">
            <v>00018000360001126120037</v>
          </cell>
          <cell r="F97" t="str">
            <v>106428212080Q</v>
          </cell>
          <cell r="G97" t="str">
            <v>Junior Sous Chef</v>
          </cell>
          <cell r="H97">
            <v>24.4</v>
          </cell>
          <cell r="I97">
            <v>28.2</v>
          </cell>
          <cell r="J97">
            <v>28.200000000000003</v>
          </cell>
          <cell r="K97" t="str">
            <v>MAT4-13.M</v>
          </cell>
          <cell r="L97" t="str">
            <v>MAITRISE</v>
          </cell>
          <cell r="M97" t="str">
            <v>MAITRISE</v>
          </cell>
          <cell r="N97" t="str">
            <v>MAITRISES, Echellon 4, Classe 13</v>
          </cell>
          <cell r="P97">
            <v>41281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 t="e">
            <v>#N/A</v>
          </cell>
          <cell r="X97" t="e">
            <v>#N/A</v>
          </cell>
          <cell r="Y97" t="e">
            <v>#N/A</v>
          </cell>
          <cell r="Z97" t="e">
            <v>#N/A</v>
          </cell>
          <cell r="AA97" t="e">
            <v>#N/A</v>
          </cell>
          <cell r="AB97" t="e">
            <v>#N/A</v>
          </cell>
          <cell r="AC97" t="e">
            <v>#N/A</v>
          </cell>
          <cell r="AE97">
            <v>733.2</v>
          </cell>
          <cell r="AF97" t="e">
            <v>#N/A</v>
          </cell>
          <cell r="AG97" t="e">
            <v>#N/A</v>
          </cell>
          <cell r="AH97" t="e">
            <v>#N/A</v>
          </cell>
          <cell r="AI97" t="e">
            <v>#N/A</v>
          </cell>
          <cell r="AJ97" t="e">
            <v>#N/A</v>
          </cell>
          <cell r="AK97" t="e">
            <v>#N/A</v>
          </cell>
          <cell r="AL97" t="e">
            <v>#N/A</v>
          </cell>
          <cell r="AM97" t="e">
            <v>#N/A</v>
          </cell>
          <cell r="AN97">
            <v>0</v>
          </cell>
          <cell r="AR97" t="e">
            <v>#N/A</v>
          </cell>
          <cell r="AS97">
            <v>70</v>
          </cell>
          <cell r="AT97" t="e">
            <v>#N/A</v>
          </cell>
          <cell r="AU97">
            <v>166.8</v>
          </cell>
          <cell r="AV97">
            <v>3</v>
          </cell>
          <cell r="AX97">
            <v>0</v>
          </cell>
          <cell r="AY97" t="e">
            <v>#N/A</v>
          </cell>
          <cell r="BA97">
            <v>3.25</v>
          </cell>
          <cell r="BB97" t="e">
            <v>#N/A</v>
          </cell>
          <cell r="BC97">
            <v>0</v>
          </cell>
          <cell r="BD97" t="e">
            <v>#N/A</v>
          </cell>
          <cell r="BE97" t="e">
            <v>#N/A</v>
          </cell>
          <cell r="BF97" t="e">
            <v>#N/A</v>
          </cell>
          <cell r="BL97">
            <v>0</v>
          </cell>
          <cell r="BM97" t="e">
            <v>#N/A</v>
          </cell>
          <cell r="BN97" t="e">
            <v>#N/A</v>
          </cell>
          <cell r="BO97" t="e">
            <v>#N/A</v>
          </cell>
          <cell r="BP97" t="e">
            <v>#N/A</v>
          </cell>
          <cell r="BQ97" t="e">
            <v>#N/A</v>
          </cell>
          <cell r="BR97">
            <v>-0.38784232365145227</v>
          </cell>
          <cell r="BT97">
            <v>-0.38784232365145227</v>
          </cell>
          <cell r="BU97" t="e">
            <v>#N/A</v>
          </cell>
          <cell r="BV97" t="e">
            <v>#N/A</v>
          </cell>
          <cell r="BW97" t="e">
            <v>#N/A</v>
          </cell>
          <cell r="BX97" t="e">
            <v>#N/A</v>
          </cell>
          <cell r="BY97" t="e">
            <v>#N/A</v>
          </cell>
          <cell r="BZ97" t="str">
            <v>CDI</v>
          </cell>
          <cell r="CA97" t="str">
            <v/>
          </cell>
          <cell r="CB97" t="str">
            <v/>
          </cell>
          <cell r="CC97" t="str">
            <v>BANQUE</v>
          </cell>
          <cell r="CD97" t="str">
            <v>281-Kitchen</v>
          </cell>
          <cell r="CE97">
            <v>281</v>
          </cell>
        </row>
        <row r="98">
          <cell r="B98" t="str">
            <v>05287</v>
          </cell>
          <cell r="C98" t="str">
            <v>MATONDO MAKINU FLAVIEN</v>
          </cell>
          <cell r="D98" t="str">
            <v>Kitchen</v>
          </cell>
          <cell r="E98" t="str">
            <v>00018000360130273120024</v>
          </cell>
          <cell r="F98" t="str">
            <v>108517905120T</v>
          </cell>
          <cell r="G98" t="str">
            <v>Cold Kitchen Chef De Partie</v>
          </cell>
          <cell r="H98">
            <v>28.2</v>
          </cell>
          <cell r="I98">
            <v>32.549999999999997</v>
          </cell>
          <cell r="J98">
            <v>32.549999999999997</v>
          </cell>
          <cell r="K98" t="str">
            <v>CAC1-14.CC</v>
          </cell>
          <cell r="L98" t="str">
            <v>CADRE DE COLLABORATION</v>
          </cell>
          <cell r="M98" t="str">
            <v>CADRE DE COLLABORATION</v>
          </cell>
          <cell r="N98" t="str">
            <v>CADRE DE COLLABORATION, Echellon 1, Classe 14</v>
          </cell>
          <cell r="P98">
            <v>41295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X98" t="e">
            <v>#N/A</v>
          </cell>
          <cell r="Y98" t="e">
            <v>#N/A</v>
          </cell>
          <cell r="Z98" t="e">
            <v>#N/A</v>
          </cell>
          <cell r="AA98" t="e">
            <v>#N/A</v>
          </cell>
          <cell r="AB98" t="e">
            <v>#N/A</v>
          </cell>
          <cell r="AC98" t="e">
            <v>#N/A</v>
          </cell>
          <cell r="AE98">
            <v>846.3</v>
          </cell>
          <cell r="AF98" t="e">
            <v>#N/A</v>
          </cell>
          <cell r="AG98" t="e">
            <v>#N/A</v>
          </cell>
          <cell r="AH98" t="e">
            <v>#N/A</v>
          </cell>
          <cell r="AI98" t="e">
            <v>#N/A</v>
          </cell>
          <cell r="AJ98" t="e">
            <v>#N/A</v>
          </cell>
          <cell r="AK98" t="e">
            <v>#N/A</v>
          </cell>
          <cell r="AL98" t="e">
            <v>#N/A</v>
          </cell>
          <cell r="AM98" t="e">
            <v>#N/A</v>
          </cell>
          <cell r="AN98">
            <v>0</v>
          </cell>
          <cell r="AR98" t="e">
            <v>#N/A</v>
          </cell>
          <cell r="AS98">
            <v>75</v>
          </cell>
          <cell r="AT98" t="e">
            <v>#N/A</v>
          </cell>
          <cell r="AU98">
            <v>117.95</v>
          </cell>
          <cell r="AV98">
            <v>4</v>
          </cell>
          <cell r="AX98">
            <v>0</v>
          </cell>
          <cell r="AY98" t="e">
            <v>#N/A</v>
          </cell>
          <cell r="BA98">
            <v>18.309999999999899</v>
          </cell>
          <cell r="BB98" t="e">
            <v>#N/A</v>
          </cell>
          <cell r="BC98">
            <v>0</v>
          </cell>
          <cell r="BD98" t="e">
            <v>#N/A</v>
          </cell>
          <cell r="BE98" t="e">
            <v>#N/A</v>
          </cell>
          <cell r="BF98" t="e">
            <v>#N/A</v>
          </cell>
          <cell r="BL98">
            <v>0</v>
          </cell>
          <cell r="BM98" t="e">
            <v>#N/A</v>
          </cell>
          <cell r="BN98" t="e">
            <v>#N/A</v>
          </cell>
          <cell r="BO98" t="e">
            <v>#N/A</v>
          </cell>
          <cell r="BP98" t="e">
            <v>#N/A</v>
          </cell>
          <cell r="BQ98" t="e">
            <v>#N/A</v>
          </cell>
          <cell r="BR98">
            <v>-0.38784232365145227</v>
          </cell>
          <cell r="BT98">
            <v>-0.38784232365145227</v>
          </cell>
          <cell r="BU98" t="e">
            <v>#N/A</v>
          </cell>
          <cell r="BV98" t="e">
            <v>#N/A</v>
          </cell>
          <cell r="BW98" t="e">
            <v>#N/A</v>
          </cell>
          <cell r="BX98" t="e">
            <v>#N/A</v>
          </cell>
          <cell r="BY98" t="e">
            <v>#N/A</v>
          </cell>
          <cell r="BZ98" t="str">
            <v>CDI</v>
          </cell>
          <cell r="CA98" t="str">
            <v/>
          </cell>
          <cell r="CB98" t="str">
            <v/>
          </cell>
          <cell r="CC98" t="str">
            <v>BANQUE</v>
          </cell>
          <cell r="CD98" t="str">
            <v>281-Kitchen</v>
          </cell>
          <cell r="CE98">
            <v>281</v>
          </cell>
        </row>
        <row r="99">
          <cell r="B99" t="str">
            <v>05302</v>
          </cell>
          <cell r="C99" t="str">
            <v>MUNTUNU BALIA CHRISTELLE</v>
          </cell>
          <cell r="D99" t="str">
            <v>Kitchen</v>
          </cell>
          <cell r="E99" t="str">
            <v>00018000360001272120072</v>
          </cell>
          <cell r="F99" t="str">
            <v>209428707020J</v>
          </cell>
          <cell r="G99" t="str">
            <v>Chef de partie</v>
          </cell>
          <cell r="H99">
            <v>13.7</v>
          </cell>
          <cell r="I99">
            <v>15.85</v>
          </cell>
          <cell r="J99">
            <v>15.850000000000001</v>
          </cell>
          <cell r="K99" t="str">
            <v>THQ0-9.V</v>
          </cell>
          <cell r="L99" t="str">
            <v>TRAVAILLEUR HAUTEMENT QUALIFIE</v>
          </cell>
          <cell r="M99" t="str">
            <v>CATEGORIE 1 A 5</v>
          </cell>
          <cell r="N99" t="str">
            <v>TRAVAILLEUR HAUTEMENT QUALIFIE (THQ), Echellon 0, Classe 9</v>
          </cell>
          <cell r="P99">
            <v>41862</v>
          </cell>
          <cell r="Q99" t="e">
            <v>#N/A</v>
          </cell>
          <cell r="R99" t="e">
            <v>#N/A</v>
          </cell>
          <cell r="S99" t="e">
            <v>#N/A</v>
          </cell>
          <cell r="T99" t="e">
            <v>#N/A</v>
          </cell>
          <cell r="U99" t="e">
            <v>#N/A</v>
          </cell>
          <cell r="V99" t="e">
            <v>#N/A</v>
          </cell>
          <cell r="W99" t="e">
            <v>#N/A</v>
          </cell>
          <cell r="X99" t="e">
            <v>#N/A</v>
          </cell>
          <cell r="Y99" t="e">
            <v>#N/A</v>
          </cell>
          <cell r="Z99" t="e">
            <v>#N/A</v>
          </cell>
          <cell r="AA99" t="e">
            <v>#N/A</v>
          </cell>
          <cell r="AB99" t="e">
            <v>#N/A</v>
          </cell>
          <cell r="AC99" t="e">
            <v>#N/A</v>
          </cell>
          <cell r="AE99">
            <v>412.1</v>
          </cell>
          <cell r="AF99" t="e">
            <v>#N/A</v>
          </cell>
          <cell r="AG99" t="e">
            <v>#N/A</v>
          </cell>
          <cell r="AH99" t="e">
            <v>#N/A</v>
          </cell>
          <cell r="AI99" t="e">
            <v>#N/A</v>
          </cell>
          <cell r="AJ99" t="e">
            <v>#N/A</v>
          </cell>
          <cell r="AK99" t="e">
            <v>#N/A</v>
          </cell>
          <cell r="AL99" t="e">
            <v>#N/A</v>
          </cell>
          <cell r="AM99" t="e">
            <v>#N/A</v>
          </cell>
          <cell r="AN99">
            <v>0</v>
          </cell>
          <cell r="AR99" t="e">
            <v>#N/A</v>
          </cell>
          <cell r="AS99">
            <v>50</v>
          </cell>
          <cell r="AT99" t="e">
            <v>#N/A</v>
          </cell>
          <cell r="AU99">
            <v>103.03</v>
          </cell>
          <cell r="AV99">
            <v>1</v>
          </cell>
          <cell r="AX99">
            <v>0</v>
          </cell>
          <cell r="AY99" t="e">
            <v>#N/A</v>
          </cell>
          <cell r="BA99">
            <v>5.2799999999999701</v>
          </cell>
          <cell r="BB99" t="e">
            <v>#N/A</v>
          </cell>
          <cell r="BC99">
            <v>0</v>
          </cell>
          <cell r="BD99" t="e">
            <v>#N/A</v>
          </cell>
          <cell r="BE99" t="e">
            <v>#N/A</v>
          </cell>
          <cell r="BF99" t="e">
            <v>#N/A</v>
          </cell>
          <cell r="BL99">
            <v>0</v>
          </cell>
          <cell r="BM99" t="e">
            <v>#N/A</v>
          </cell>
          <cell r="BN99" t="e">
            <v>#N/A</v>
          </cell>
          <cell r="BO99" t="e">
            <v>#N/A</v>
          </cell>
          <cell r="BP99" t="e">
            <v>#N/A</v>
          </cell>
          <cell r="BQ99" t="e">
            <v>#N/A</v>
          </cell>
          <cell r="BR99">
            <v>-0.38784232365145227</v>
          </cell>
          <cell r="BT99">
            <v>-0.38784232365145227</v>
          </cell>
          <cell r="BU99" t="e">
            <v>#N/A</v>
          </cell>
          <cell r="BV99" t="e">
            <v>#N/A</v>
          </cell>
          <cell r="BW99" t="e">
            <v>#N/A</v>
          </cell>
          <cell r="BX99" t="e">
            <v>#N/A</v>
          </cell>
          <cell r="BY99" t="e">
            <v>#N/A</v>
          </cell>
          <cell r="BZ99" t="str">
            <v>CDI</v>
          </cell>
          <cell r="CA99" t="str">
            <v/>
          </cell>
          <cell r="CB99" t="str">
            <v/>
          </cell>
          <cell r="CC99" t="str">
            <v>BANQUE</v>
          </cell>
          <cell r="CD99" t="str">
            <v>281-Kitchen</v>
          </cell>
          <cell r="CE99">
            <v>281</v>
          </cell>
        </row>
        <row r="100">
          <cell r="B100" t="str">
            <v>05303</v>
          </cell>
          <cell r="C100" t="str">
            <v>NZUZI SIAMI JEANCY</v>
          </cell>
          <cell r="D100" t="str">
            <v>Kitchen</v>
          </cell>
          <cell r="E100" t="str">
            <v>00018000360001207120081</v>
          </cell>
          <cell r="F100" t="str">
            <v>108428609100E</v>
          </cell>
          <cell r="G100" t="str">
            <v>Commis II</v>
          </cell>
          <cell r="H100">
            <v>6.65</v>
          </cell>
          <cell r="I100">
            <v>7.7</v>
          </cell>
          <cell r="J100">
            <v>7.6999999999999993</v>
          </cell>
          <cell r="K100" t="str">
            <v>TSQ1-4.III</v>
          </cell>
          <cell r="L100" t="str">
            <v>TRAVAILLEUR SEMI QUALIFIE</v>
          </cell>
          <cell r="M100" t="str">
            <v>CATEGORIE 1 A 5</v>
          </cell>
          <cell r="N100" t="str">
            <v>TRAVAILLEUR SEMI QUALIFIE (TSQ), Echellon 1, Classe 4</v>
          </cell>
          <cell r="P100">
            <v>41870</v>
          </cell>
          <cell r="Q100" t="e">
            <v>#N/A</v>
          </cell>
          <cell r="R100" t="e">
            <v>#N/A</v>
          </cell>
          <cell r="S100" t="e">
            <v>#N/A</v>
          </cell>
          <cell r="T100" t="e">
            <v>#N/A</v>
          </cell>
          <cell r="U100" t="e">
            <v>#N/A</v>
          </cell>
          <cell r="V100" t="e">
            <v>#N/A</v>
          </cell>
          <cell r="W100" t="e">
            <v>#N/A</v>
          </cell>
          <cell r="X100" t="e">
            <v>#N/A</v>
          </cell>
          <cell r="Y100" t="e">
            <v>#N/A</v>
          </cell>
          <cell r="Z100" t="e">
            <v>#N/A</v>
          </cell>
          <cell r="AA100" t="e">
            <v>#N/A</v>
          </cell>
          <cell r="AB100" t="e">
            <v>#N/A</v>
          </cell>
          <cell r="AC100" t="e">
            <v>#N/A</v>
          </cell>
          <cell r="AE100">
            <v>200.2</v>
          </cell>
          <cell r="AF100" t="e">
            <v>#N/A</v>
          </cell>
          <cell r="AG100" t="e">
            <v>#N/A</v>
          </cell>
          <cell r="AH100" t="e">
            <v>#N/A</v>
          </cell>
          <cell r="AI100" t="e">
            <v>#N/A</v>
          </cell>
          <cell r="AJ100" t="e">
            <v>#N/A</v>
          </cell>
          <cell r="AK100" t="e">
            <v>#N/A</v>
          </cell>
          <cell r="AL100" t="e">
            <v>#N/A</v>
          </cell>
          <cell r="AM100" t="e">
            <v>#N/A</v>
          </cell>
          <cell r="AN100">
            <v>0</v>
          </cell>
          <cell r="AR100" t="e">
            <v>#N/A</v>
          </cell>
          <cell r="AS100">
            <v>60</v>
          </cell>
          <cell r="AT100" t="e">
            <v>#N/A</v>
          </cell>
          <cell r="AU100">
            <v>46.95</v>
          </cell>
          <cell r="AV100">
            <v>1</v>
          </cell>
          <cell r="AX100">
            <v>0</v>
          </cell>
          <cell r="AY100" t="e">
            <v>#N/A</v>
          </cell>
          <cell r="BA100">
            <v>1.19</v>
          </cell>
          <cell r="BB100" t="e">
            <v>#N/A</v>
          </cell>
          <cell r="BC100">
            <v>0</v>
          </cell>
          <cell r="BD100" t="e">
            <v>#N/A</v>
          </cell>
          <cell r="BE100" t="e">
            <v>#N/A</v>
          </cell>
          <cell r="BF100" t="e">
            <v>#N/A</v>
          </cell>
          <cell r="BL100">
            <v>0</v>
          </cell>
          <cell r="BM100" t="e">
            <v>#N/A</v>
          </cell>
          <cell r="BN100" t="e">
            <v>#N/A</v>
          </cell>
          <cell r="BO100" t="e">
            <v>#N/A</v>
          </cell>
          <cell r="BP100" t="e">
            <v>#N/A</v>
          </cell>
          <cell r="BQ100" t="e">
            <v>#N/A</v>
          </cell>
          <cell r="BR100">
            <v>-0.38784232365145227</v>
          </cell>
          <cell r="BT100">
            <v>-0.38784232365145227</v>
          </cell>
          <cell r="BU100" t="e">
            <v>#N/A</v>
          </cell>
          <cell r="BV100" t="e">
            <v>#N/A</v>
          </cell>
          <cell r="BW100" t="e">
            <v>#N/A</v>
          </cell>
          <cell r="BX100" t="e">
            <v>#N/A</v>
          </cell>
          <cell r="BY100" t="e">
            <v>#N/A</v>
          </cell>
          <cell r="BZ100" t="str">
            <v>CDI</v>
          </cell>
          <cell r="CA100" t="str">
            <v/>
          </cell>
          <cell r="CB100" t="str">
            <v/>
          </cell>
          <cell r="CC100" t="str">
            <v>BANQUE</v>
          </cell>
          <cell r="CD100" t="str">
            <v>281-Kitchen</v>
          </cell>
          <cell r="CE100">
            <v>281</v>
          </cell>
        </row>
        <row r="101">
          <cell r="B101" t="str">
            <v>05304</v>
          </cell>
          <cell r="C101" t="str">
            <v>KATUNDA MWELA ARNAUD</v>
          </cell>
          <cell r="D101" t="str">
            <v>Kitchen</v>
          </cell>
          <cell r="E101" t="str">
            <v>00018000360001246120095</v>
          </cell>
          <cell r="F101" t="str">
            <v>109428912280S</v>
          </cell>
          <cell r="G101" t="str">
            <v>Chef de Partie</v>
          </cell>
          <cell r="H101">
            <v>11.85</v>
          </cell>
          <cell r="I101">
            <v>13.7</v>
          </cell>
          <cell r="J101">
            <v>13.7</v>
          </cell>
          <cell r="K101" t="str">
            <v>TRQ2-8.IV</v>
          </cell>
          <cell r="L101" t="str">
            <v>TRAVAILLEUR QUALIFIE</v>
          </cell>
          <cell r="M101" t="str">
            <v>CATEGORIE 1 A 5</v>
          </cell>
          <cell r="N101" t="str">
            <v>TRAVAILLEUR QUALIFIE (TQ), Echellon 2, Classe 8</v>
          </cell>
          <cell r="P101">
            <v>41870</v>
          </cell>
          <cell r="Q101" t="e">
            <v>#N/A</v>
          </cell>
          <cell r="R101" t="e">
            <v>#N/A</v>
          </cell>
          <cell r="S101" t="e">
            <v>#N/A</v>
          </cell>
          <cell r="T101" t="e">
            <v>#N/A</v>
          </cell>
          <cell r="U101" t="e">
            <v>#N/A</v>
          </cell>
          <cell r="V101" t="e">
            <v>#N/A</v>
          </cell>
          <cell r="W101" t="e">
            <v>#N/A</v>
          </cell>
          <cell r="X101" t="e">
            <v>#N/A</v>
          </cell>
          <cell r="Y101" t="e">
            <v>#N/A</v>
          </cell>
          <cell r="Z101" t="e">
            <v>#N/A</v>
          </cell>
          <cell r="AA101" t="e">
            <v>#N/A</v>
          </cell>
          <cell r="AB101" t="e">
            <v>#N/A</v>
          </cell>
          <cell r="AC101" t="e">
            <v>#N/A</v>
          </cell>
          <cell r="AE101">
            <v>356.2</v>
          </cell>
          <cell r="AF101" t="e">
            <v>#N/A</v>
          </cell>
          <cell r="AG101" t="e">
            <v>#N/A</v>
          </cell>
          <cell r="AH101" t="e">
            <v>#N/A</v>
          </cell>
          <cell r="AI101" t="e">
            <v>#N/A</v>
          </cell>
          <cell r="AJ101" t="e">
            <v>#N/A</v>
          </cell>
          <cell r="AK101" t="e">
            <v>#N/A</v>
          </cell>
          <cell r="AL101" t="e">
            <v>#N/A</v>
          </cell>
          <cell r="AM101" t="e">
            <v>#N/A</v>
          </cell>
          <cell r="AN101">
            <v>0</v>
          </cell>
          <cell r="AR101" t="e">
            <v>#N/A</v>
          </cell>
          <cell r="AS101">
            <v>80</v>
          </cell>
          <cell r="AT101" t="e">
            <v>#N/A</v>
          </cell>
          <cell r="AU101">
            <v>88.8</v>
          </cell>
          <cell r="AV101">
            <v>3</v>
          </cell>
          <cell r="AX101">
            <v>0</v>
          </cell>
          <cell r="AY101" t="e">
            <v>#N/A</v>
          </cell>
          <cell r="BA101">
            <v>0.599999999999966</v>
          </cell>
          <cell r="BB101" t="e">
            <v>#N/A</v>
          </cell>
          <cell r="BC101">
            <v>0</v>
          </cell>
          <cell r="BD101" t="e">
            <v>#N/A</v>
          </cell>
          <cell r="BE101" t="e">
            <v>#N/A</v>
          </cell>
          <cell r="BF101" t="e">
            <v>#N/A</v>
          </cell>
          <cell r="BL101">
            <v>0</v>
          </cell>
          <cell r="BM101" t="e">
            <v>#N/A</v>
          </cell>
          <cell r="BN101" t="e">
            <v>#N/A</v>
          </cell>
          <cell r="BO101" t="e">
            <v>#N/A</v>
          </cell>
          <cell r="BP101" t="e">
            <v>#N/A</v>
          </cell>
          <cell r="BQ101" t="e">
            <v>#N/A</v>
          </cell>
          <cell r="BR101">
            <v>-0.38784232365145227</v>
          </cell>
          <cell r="BT101">
            <v>-0.38784232365145227</v>
          </cell>
          <cell r="BU101" t="e">
            <v>#N/A</v>
          </cell>
          <cell r="BV101" t="e">
            <v>#N/A</v>
          </cell>
          <cell r="BW101" t="e">
            <v>#N/A</v>
          </cell>
          <cell r="BX101" t="e">
            <v>#N/A</v>
          </cell>
          <cell r="BY101" t="e">
            <v>#N/A</v>
          </cell>
          <cell r="BZ101" t="str">
            <v>CDI</v>
          </cell>
          <cell r="CA101" t="str">
            <v/>
          </cell>
          <cell r="CB101" t="str">
            <v/>
          </cell>
          <cell r="CC101" t="str">
            <v>BANQUE</v>
          </cell>
          <cell r="CD101" t="str">
            <v>281-Kitchen</v>
          </cell>
          <cell r="CE101">
            <v>281</v>
          </cell>
        </row>
        <row r="102">
          <cell r="B102" t="str">
            <v>07105</v>
          </cell>
          <cell r="C102" t="str">
            <v>KASOTA KAKUMA AMEDE</v>
          </cell>
          <cell r="D102" t="str">
            <v>Stewarding</v>
          </cell>
          <cell r="E102" t="str">
            <v>00018000360001124120091</v>
          </cell>
          <cell r="F102" t="str">
            <v>109428110201S</v>
          </cell>
          <cell r="G102" t="str">
            <v>Commis de Patissier II</v>
          </cell>
          <cell r="H102">
            <v>6.65</v>
          </cell>
          <cell r="I102">
            <v>7.7</v>
          </cell>
          <cell r="J102">
            <v>7.6999999999999993</v>
          </cell>
          <cell r="K102" t="str">
            <v>TSQ1-4.III</v>
          </cell>
          <cell r="L102" t="str">
            <v>TRAVAILLEUR SEMI QUALIFIE</v>
          </cell>
          <cell r="M102" t="str">
            <v>CATEGORIE 1 A 5</v>
          </cell>
          <cell r="N102" t="str">
            <v>TRAVAILLEUR SEMI QUALIFIE (TSQ), Echellon 1, Classe 4</v>
          </cell>
          <cell r="P102">
            <v>42121</v>
          </cell>
          <cell r="Q102" t="e">
            <v>#N/A</v>
          </cell>
          <cell r="R102" t="e">
            <v>#N/A</v>
          </cell>
          <cell r="S102" t="e">
            <v>#N/A</v>
          </cell>
          <cell r="T102" t="e">
            <v>#N/A</v>
          </cell>
          <cell r="U102" t="e">
            <v>#N/A</v>
          </cell>
          <cell r="V102" t="e">
            <v>#N/A</v>
          </cell>
          <cell r="W102" t="e">
            <v>#N/A</v>
          </cell>
          <cell r="X102" t="e">
            <v>#N/A</v>
          </cell>
          <cell r="Y102" t="e">
            <v>#N/A</v>
          </cell>
          <cell r="Z102" t="e">
            <v>#N/A</v>
          </cell>
          <cell r="AA102" t="e">
            <v>#N/A</v>
          </cell>
          <cell r="AB102" t="e">
            <v>#N/A</v>
          </cell>
          <cell r="AC102" t="e">
            <v>#N/A</v>
          </cell>
          <cell r="AE102">
            <v>200.2</v>
          </cell>
          <cell r="AF102" t="e">
            <v>#N/A</v>
          </cell>
          <cell r="AG102" t="e">
            <v>#N/A</v>
          </cell>
          <cell r="AH102" t="e">
            <v>#N/A</v>
          </cell>
          <cell r="AI102" t="e">
            <v>#N/A</v>
          </cell>
          <cell r="AJ102" t="e">
            <v>#N/A</v>
          </cell>
          <cell r="AK102" t="e">
            <v>#N/A</v>
          </cell>
          <cell r="AL102" t="e">
            <v>#N/A</v>
          </cell>
          <cell r="AM102" t="e">
            <v>#N/A</v>
          </cell>
          <cell r="AN102">
            <v>0</v>
          </cell>
          <cell r="AR102" t="e">
            <v>#N/A</v>
          </cell>
          <cell r="AS102">
            <v>60</v>
          </cell>
          <cell r="AT102" t="e">
            <v>#N/A</v>
          </cell>
          <cell r="AU102">
            <v>47.23</v>
          </cell>
          <cell r="AV102">
            <v>2</v>
          </cell>
          <cell r="AX102">
            <v>0</v>
          </cell>
          <cell r="AY102" t="e">
            <v>#N/A</v>
          </cell>
          <cell r="BA102">
            <v>0.37000000000000499</v>
          </cell>
          <cell r="BB102" t="e">
            <v>#N/A</v>
          </cell>
          <cell r="BC102">
            <v>0</v>
          </cell>
          <cell r="BD102" t="e">
            <v>#N/A</v>
          </cell>
          <cell r="BE102" t="e">
            <v>#N/A</v>
          </cell>
          <cell r="BF102" t="e">
            <v>#N/A</v>
          </cell>
          <cell r="BL102">
            <v>0</v>
          </cell>
          <cell r="BM102" t="e">
            <v>#N/A</v>
          </cell>
          <cell r="BN102" t="e">
            <v>#N/A</v>
          </cell>
          <cell r="BO102" t="e">
            <v>#N/A</v>
          </cell>
          <cell r="BP102" t="e">
            <v>#N/A</v>
          </cell>
          <cell r="BQ102" t="e">
            <v>#N/A</v>
          </cell>
          <cell r="BR102">
            <v>-0.38784232365145227</v>
          </cell>
          <cell r="BT102">
            <v>-0.38784232365145227</v>
          </cell>
          <cell r="BU102" t="e">
            <v>#N/A</v>
          </cell>
          <cell r="BV102" t="e">
            <v>#N/A</v>
          </cell>
          <cell r="BW102" t="e">
            <v>#N/A</v>
          </cell>
          <cell r="BX102" t="e">
            <v>#N/A</v>
          </cell>
          <cell r="BY102" t="e">
            <v>#N/A</v>
          </cell>
          <cell r="BZ102" t="str">
            <v>CDI</v>
          </cell>
          <cell r="CA102" t="str">
            <v/>
          </cell>
          <cell r="CB102" t="str">
            <v/>
          </cell>
          <cell r="CC102" t="str">
            <v>BANQUE</v>
          </cell>
          <cell r="CD102" t="str">
            <v>282-Stewarding</v>
          </cell>
          <cell r="CE102">
            <v>282</v>
          </cell>
        </row>
        <row r="103">
          <cell r="B103" t="str">
            <v>07106</v>
          </cell>
          <cell r="C103" t="str">
            <v>KEMBO MAMBU JACQUET</v>
          </cell>
          <cell r="D103" t="str">
            <v>Kitchen</v>
          </cell>
          <cell r="E103" t="str">
            <v>00018000360001130120026</v>
          </cell>
          <cell r="F103" t="str">
            <v>209319312280I</v>
          </cell>
          <cell r="G103" t="str">
            <v>Commis de Patissier II</v>
          </cell>
          <cell r="H103">
            <v>6.65</v>
          </cell>
          <cell r="I103">
            <v>7.7</v>
          </cell>
          <cell r="J103">
            <v>7.6999999999999993</v>
          </cell>
          <cell r="K103" t="str">
            <v>TSQ1-4.III</v>
          </cell>
          <cell r="L103" t="str">
            <v>TRAVAILLEUR SEMI QUALIFIE</v>
          </cell>
          <cell r="M103" t="str">
            <v>CATEGORIE 1 A 5</v>
          </cell>
          <cell r="N103" t="str">
            <v>TRAVAILLEUR SEMI QUALIFIE (TSQ), Echellon 1, Classe 4</v>
          </cell>
          <cell r="P103">
            <v>42154</v>
          </cell>
          <cell r="Q103" t="e">
            <v>#N/A</v>
          </cell>
          <cell r="R103" t="e">
            <v>#N/A</v>
          </cell>
          <cell r="S103" t="e">
            <v>#N/A</v>
          </cell>
          <cell r="T103" t="e">
            <v>#N/A</v>
          </cell>
          <cell r="U103" t="e">
            <v>#N/A</v>
          </cell>
          <cell r="V103" t="e">
            <v>#N/A</v>
          </cell>
          <cell r="W103" t="e">
            <v>#N/A</v>
          </cell>
          <cell r="X103" t="e">
            <v>#N/A</v>
          </cell>
          <cell r="Y103" t="e">
            <v>#N/A</v>
          </cell>
          <cell r="Z103" t="e">
            <v>#N/A</v>
          </cell>
          <cell r="AA103" t="e">
            <v>#N/A</v>
          </cell>
          <cell r="AB103" t="e">
            <v>#N/A</v>
          </cell>
          <cell r="AC103" t="e">
            <v>#N/A</v>
          </cell>
          <cell r="AE103">
            <v>200.2</v>
          </cell>
          <cell r="AF103" t="e">
            <v>#N/A</v>
          </cell>
          <cell r="AG103" t="e">
            <v>#N/A</v>
          </cell>
          <cell r="AH103" t="e">
            <v>#N/A</v>
          </cell>
          <cell r="AI103" t="e">
            <v>#N/A</v>
          </cell>
          <cell r="AJ103" t="e">
            <v>#N/A</v>
          </cell>
          <cell r="AK103" t="e">
            <v>#N/A</v>
          </cell>
          <cell r="AL103" t="e">
            <v>#N/A</v>
          </cell>
          <cell r="AM103" t="e">
            <v>#N/A</v>
          </cell>
          <cell r="AN103">
            <v>0</v>
          </cell>
          <cell r="AR103" t="e">
            <v>#N/A</v>
          </cell>
          <cell r="AS103">
            <v>60</v>
          </cell>
          <cell r="AT103" t="e">
            <v>#N/A</v>
          </cell>
          <cell r="AU103">
            <v>46.95</v>
          </cell>
          <cell r="AV103">
            <v>0</v>
          </cell>
          <cell r="AX103">
            <v>0</v>
          </cell>
          <cell r="AY103" t="e">
            <v>#N/A</v>
          </cell>
          <cell r="BA103">
            <v>1.55000000000001</v>
          </cell>
          <cell r="BB103" t="e">
            <v>#N/A</v>
          </cell>
          <cell r="BC103">
            <v>0</v>
          </cell>
          <cell r="BD103" t="e">
            <v>#N/A</v>
          </cell>
          <cell r="BE103" t="e">
            <v>#N/A</v>
          </cell>
          <cell r="BF103" t="e">
            <v>#N/A</v>
          </cell>
          <cell r="BL103">
            <v>0</v>
          </cell>
          <cell r="BM103" t="e">
            <v>#N/A</v>
          </cell>
          <cell r="BN103" t="e">
            <v>#N/A</v>
          </cell>
          <cell r="BO103" t="e">
            <v>#N/A</v>
          </cell>
          <cell r="BP103" t="e">
            <v>#N/A</v>
          </cell>
          <cell r="BQ103" t="e">
            <v>#N/A</v>
          </cell>
          <cell r="BR103">
            <v>-0.38784232365145227</v>
          </cell>
          <cell r="BT103">
            <v>-0.38784232365145227</v>
          </cell>
          <cell r="BU103" t="e">
            <v>#N/A</v>
          </cell>
          <cell r="BV103" t="e">
            <v>#N/A</v>
          </cell>
          <cell r="BW103" t="e">
            <v>#N/A</v>
          </cell>
          <cell r="BX103" t="e">
            <v>#N/A</v>
          </cell>
          <cell r="BY103" t="e">
            <v>#N/A</v>
          </cell>
          <cell r="BZ103" t="str">
            <v>CDI</v>
          </cell>
          <cell r="CA103" t="str">
            <v/>
          </cell>
          <cell r="CB103" t="str">
            <v/>
          </cell>
          <cell r="CC103" t="str">
            <v>BANQUE</v>
          </cell>
          <cell r="CD103" t="str">
            <v>281-Kitchen</v>
          </cell>
          <cell r="CE103">
            <v>281</v>
          </cell>
        </row>
        <row r="104">
          <cell r="B104" t="str">
            <v>07119</v>
          </cell>
          <cell r="C104" t="str">
            <v>MAMONO DIKUIZA JOSE</v>
          </cell>
          <cell r="D104" t="str">
            <v>Kitchen</v>
          </cell>
          <cell r="E104" t="str">
            <v>00018000360001295120033</v>
          </cell>
          <cell r="F104" t="str">
            <v>109429206240P</v>
          </cell>
          <cell r="G104" t="str">
            <v>chef de partie</v>
          </cell>
          <cell r="H104">
            <v>10.3</v>
          </cell>
          <cell r="I104">
            <v>11.85</v>
          </cell>
          <cell r="J104">
            <v>11.850000000000001</v>
          </cell>
          <cell r="K104" t="str">
            <v>TRQ1-7.IV</v>
          </cell>
          <cell r="L104" t="str">
            <v>TRAVAILLEUR QUALIFIE</v>
          </cell>
          <cell r="M104" t="str">
            <v>CATEGORIE 1 A 5</v>
          </cell>
          <cell r="N104" t="str">
            <v>TRAVAILLEUR QUALIFIE (TQ), Echellon 1, Classe 7</v>
          </cell>
          <cell r="P104">
            <v>42345</v>
          </cell>
          <cell r="Q104" t="e">
            <v>#N/A</v>
          </cell>
          <cell r="R104" t="e">
            <v>#N/A</v>
          </cell>
          <cell r="S104" t="e">
            <v>#N/A</v>
          </cell>
          <cell r="T104" t="e">
            <v>#N/A</v>
          </cell>
          <cell r="U104" t="e">
            <v>#N/A</v>
          </cell>
          <cell r="V104" t="e">
            <v>#N/A</v>
          </cell>
          <cell r="W104" t="e">
            <v>#N/A</v>
          </cell>
          <cell r="X104" t="e">
            <v>#N/A</v>
          </cell>
          <cell r="Y104" t="e">
            <v>#N/A</v>
          </cell>
          <cell r="Z104" t="e">
            <v>#N/A</v>
          </cell>
          <cell r="AA104" t="e">
            <v>#N/A</v>
          </cell>
          <cell r="AB104" t="e">
            <v>#N/A</v>
          </cell>
          <cell r="AC104" t="e">
            <v>#N/A</v>
          </cell>
          <cell r="AE104">
            <v>308.10000000000002</v>
          </cell>
          <cell r="AF104" t="e">
            <v>#N/A</v>
          </cell>
          <cell r="AG104" t="e">
            <v>#N/A</v>
          </cell>
          <cell r="AH104" t="e">
            <v>#N/A</v>
          </cell>
          <cell r="AI104" t="e">
            <v>#N/A</v>
          </cell>
          <cell r="AJ104" t="e">
            <v>#N/A</v>
          </cell>
          <cell r="AK104" t="e">
            <v>#N/A</v>
          </cell>
          <cell r="AL104" t="e">
            <v>#N/A</v>
          </cell>
          <cell r="AM104" t="e">
            <v>#N/A</v>
          </cell>
          <cell r="AN104">
            <v>0</v>
          </cell>
          <cell r="AR104" t="e">
            <v>#N/A</v>
          </cell>
          <cell r="AS104">
            <v>96</v>
          </cell>
          <cell r="AT104" t="e">
            <v>#N/A</v>
          </cell>
          <cell r="AU104">
            <v>55.9</v>
          </cell>
          <cell r="AV104">
            <v>4</v>
          </cell>
          <cell r="AX104">
            <v>0</v>
          </cell>
          <cell r="AY104" t="e">
            <v>#N/A</v>
          </cell>
          <cell r="AZ104">
            <v>60</v>
          </cell>
          <cell r="BA104">
            <v>5.25999999999999</v>
          </cell>
          <cell r="BB104" t="e">
            <v>#N/A</v>
          </cell>
          <cell r="BC104">
            <v>0</v>
          </cell>
          <cell r="BD104" t="e">
            <v>#N/A</v>
          </cell>
          <cell r="BE104" t="e">
            <v>#N/A</v>
          </cell>
          <cell r="BF104" t="e">
            <v>#N/A</v>
          </cell>
          <cell r="BI104">
            <v>33</v>
          </cell>
          <cell r="BL104">
            <v>33</v>
          </cell>
          <cell r="BM104" t="e">
            <v>#N/A</v>
          </cell>
          <cell r="BN104" t="e">
            <v>#N/A</v>
          </cell>
          <cell r="BO104" t="e">
            <v>#N/A</v>
          </cell>
          <cell r="BP104" t="e">
            <v>#N/A</v>
          </cell>
          <cell r="BQ104" t="e">
            <v>#N/A</v>
          </cell>
          <cell r="BR104">
            <v>-0.38784232365145227</v>
          </cell>
          <cell r="BT104">
            <v>-0.38784232365145227</v>
          </cell>
          <cell r="BU104" t="e">
            <v>#N/A</v>
          </cell>
          <cell r="BV104" t="e">
            <v>#N/A</v>
          </cell>
          <cell r="BW104" t="e">
            <v>#N/A</v>
          </cell>
          <cell r="BX104" t="e">
            <v>#N/A</v>
          </cell>
          <cell r="BY104" t="e">
            <v>#N/A</v>
          </cell>
          <cell r="BZ104" t="str">
            <v>CDI</v>
          </cell>
          <cell r="CA104" t="str">
            <v/>
          </cell>
          <cell r="CB104" t="str">
            <v/>
          </cell>
          <cell r="CC104" t="str">
            <v>BANQUE</v>
          </cell>
          <cell r="CD104" t="str">
            <v>281-Kitchen</v>
          </cell>
          <cell r="CE104">
            <v>281</v>
          </cell>
        </row>
        <row r="105">
          <cell r="B105" t="str">
            <v>07122</v>
          </cell>
          <cell r="C105" t="str">
            <v>YANGE MOISE</v>
          </cell>
          <cell r="D105" t="str">
            <v>Kitchen</v>
          </cell>
          <cell r="E105" t="str">
            <v>00018000360001234120031</v>
          </cell>
          <cell r="F105" t="str">
            <v>103159008280B</v>
          </cell>
          <cell r="G105" t="str">
            <v>Commis</v>
          </cell>
          <cell r="H105">
            <v>6.65</v>
          </cell>
          <cell r="I105">
            <v>7.7</v>
          </cell>
          <cell r="J105">
            <v>7.6999999999999993</v>
          </cell>
          <cell r="K105" t="str">
            <v>TSQ1-4.III</v>
          </cell>
          <cell r="L105" t="str">
            <v>TRAVAILLEUR SEMI QUALIFIE</v>
          </cell>
          <cell r="M105" t="str">
            <v>CATEGORIE 1 A 5</v>
          </cell>
          <cell r="N105" t="str">
            <v>TRAVAILLEUR SEMI QUALIFIE (TSQ), Echellon 1, Classe 4</v>
          </cell>
          <cell r="P105">
            <v>42359</v>
          </cell>
          <cell r="Q105" t="e">
            <v>#N/A</v>
          </cell>
          <cell r="R105" t="e">
            <v>#N/A</v>
          </cell>
          <cell r="S105" t="e">
            <v>#N/A</v>
          </cell>
          <cell r="T105" t="e">
            <v>#N/A</v>
          </cell>
          <cell r="U105" t="e">
            <v>#N/A</v>
          </cell>
          <cell r="V105" t="e">
            <v>#N/A</v>
          </cell>
          <cell r="W105" t="e">
            <v>#N/A</v>
          </cell>
          <cell r="X105" t="e">
            <v>#N/A</v>
          </cell>
          <cell r="Y105" t="e">
            <v>#N/A</v>
          </cell>
          <cell r="Z105" t="e">
            <v>#N/A</v>
          </cell>
          <cell r="AA105" t="e">
            <v>#N/A</v>
          </cell>
          <cell r="AB105" t="e">
            <v>#N/A</v>
          </cell>
          <cell r="AC105" t="e">
            <v>#N/A</v>
          </cell>
          <cell r="AE105">
            <v>200.2</v>
          </cell>
          <cell r="AF105" t="e">
            <v>#N/A</v>
          </cell>
          <cell r="AG105" t="e">
            <v>#N/A</v>
          </cell>
          <cell r="AH105" t="e">
            <v>#N/A</v>
          </cell>
          <cell r="AI105" t="e">
            <v>#N/A</v>
          </cell>
          <cell r="AJ105" t="e">
            <v>#N/A</v>
          </cell>
          <cell r="AK105" t="e">
            <v>#N/A</v>
          </cell>
          <cell r="AL105" t="e">
            <v>#N/A</v>
          </cell>
          <cell r="AM105" t="e">
            <v>#N/A</v>
          </cell>
          <cell r="AN105">
            <v>0</v>
          </cell>
          <cell r="AR105" t="e">
            <v>#N/A</v>
          </cell>
          <cell r="AS105">
            <v>60</v>
          </cell>
          <cell r="AT105" t="e">
            <v>#N/A</v>
          </cell>
          <cell r="AU105">
            <v>19.8</v>
          </cell>
          <cell r="AV105">
            <v>2</v>
          </cell>
          <cell r="AX105">
            <v>0</v>
          </cell>
          <cell r="AY105" t="e">
            <v>#N/A</v>
          </cell>
          <cell r="BA105">
            <v>2.12</v>
          </cell>
          <cell r="BB105" t="e">
            <v>#N/A</v>
          </cell>
          <cell r="BC105">
            <v>0</v>
          </cell>
          <cell r="BD105" t="e">
            <v>#N/A</v>
          </cell>
          <cell r="BE105" t="e">
            <v>#N/A</v>
          </cell>
          <cell r="BF105" t="e">
            <v>#N/A</v>
          </cell>
          <cell r="BL105">
            <v>0</v>
          </cell>
          <cell r="BM105" t="e">
            <v>#N/A</v>
          </cell>
          <cell r="BN105" t="e">
            <v>#N/A</v>
          </cell>
          <cell r="BO105" t="e">
            <v>#N/A</v>
          </cell>
          <cell r="BP105" t="e">
            <v>#N/A</v>
          </cell>
          <cell r="BQ105" t="e">
            <v>#N/A</v>
          </cell>
          <cell r="BR105">
            <v>-0.38784232365145227</v>
          </cell>
          <cell r="BT105">
            <v>-0.38784232365145227</v>
          </cell>
          <cell r="BU105" t="e">
            <v>#N/A</v>
          </cell>
          <cell r="BV105" t="e">
            <v>#N/A</v>
          </cell>
          <cell r="BW105" t="e">
            <v>#N/A</v>
          </cell>
          <cell r="BX105" t="e">
            <v>#N/A</v>
          </cell>
          <cell r="BY105" t="e">
            <v>#N/A</v>
          </cell>
          <cell r="BZ105" t="str">
            <v>CDI</v>
          </cell>
          <cell r="CA105" t="str">
            <v/>
          </cell>
          <cell r="CB105" t="str">
            <v/>
          </cell>
          <cell r="CC105" t="str">
            <v>BANQUE</v>
          </cell>
          <cell r="CD105" t="str">
            <v>281-Kitchen</v>
          </cell>
          <cell r="CE105">
            <v>281</v>
          </cell>
        </row>
        <row r="106">
          <cell r="B106" t="str">
            <v>07156</v>
          </cell>
          <cell r="C106" t="str">
            <v>LUVUNGU LUKAMBA ALPHONSINE</v>
          </cell>
          <cell r="D106" t="str">
            <v>Kitchen</v>
          </cell>
          <cell r="E106" t="str">
            <v>00018000360001259120035</v>
          </cell>
          <cell r="F106" t="str">
            <v>21973395517L</v>
          </cell>
          <cell r="G106" t="str">
            <v>Commis</v>
          </cell>
          <cell r="H106">
            <v>0</v>
          </cell>
          <cell r="I106">
            <v>5</v>
          </cell>
          <cell r="J106">
            <v>5</v>
          </cell>
          <cell r="K106" t="str">
            <v>MAO1-1.I</v>
          </cell>
          <cell r="L106" t="str">
            <v>MANŒUVRE ORDINAIRE</v>
          </cell>
          <cell r="M106" t="str">
            <v>CATEGORIE 1 A 5</v>
          </cell>
          <cell r="N106" t="str">
            <v>MANŒUVRE ORDINAIRE (MO), Echellon 1, Classe 1</v>
          </cell>
          <cell r="P106">
            <v>42653</v>
          </cell>
          <cell r="Q106" t="e">
            <v>#N/A</v>
          </cell>
          <cell r="R106" t="e">
            <v>#N/A</v>
          </cell>
          <cell r="S106" t="e">
            <v>#N/A</v>
          </cell>
          <cell r="T106" t="e">
            <v>#N/A</v>
          </cell>
          <cell r="U106" t="e">
            <v>#N/A</v>
          </cell>
          <cell r="V106" t="e">
            <v>#N/A</v>
          </cell>
          <cell r="W106" t="e">
            <v>#N/A</v>
          </cell>
          <cell r="X106" t="e">
            <v>#N/A</v>
          </cell>
          <cell r="Y106" t="e">
            <v>#N/A</v>
          </cell>
          <cell r="Z106" t="e">
            <v>#N/A</v>
          </cell>
          <cell r="AA106" t="e">
            <v>#N/A</v>
          </cell>
          <cell r="AB106" t="e">
            <v>#N/A</v>
          </cell>
          <cell r="AC106" t="e">
            <v>#N/A</v>
          </cell>
          <cell r="AE106">
            <v>130</v>
          </cell>
          <cell r="AF106" t="e">
            <v>#N/A</v>
          </cell>
          <cell r="AG106" t="e">
            <v>#N/A</v>
          </cell>
          <cell r="AH106" t="e">
            <v>#N/A</v>
          </cell>
          <cell r="AI106" t="e">
            <v>#N/A</v>
          </cell>
          <cell r="AJ106" t="e">
            <v>#N/A</v>
          </cell>
          <cell r="AK106" t="e">
            <v>#N/A</v>
          </cell>
          <cell r="AL106" t="e">
            <v>#N/A</v>
          </cell>
          <cell r="AM106" t="e">
            <v>#N/A</v>
          </cell>
          <cell r="AN106">
            <v>0</v>
          </cell>
          <cell r="AR106" t="e">
            <v>#N/A</v>
          </cell>
          <cell r="AS106">
            <v>61</v>
          </cell>
          <cell r="AT106" t="e">
            <v>#N/A</v>
          </cell>
          <cell r="AU106">
            <v>39</v>
          </cell>
          <cell r="AV106">
            <v>0</v>
          </cell>
          <cell r="AX106">
            <v>0</v>
          </cell>
          <cell r="AY106" t="e">
            <v>#N/A</v>
          </cell>
          <cell r="BA106">
            <v>0</v>
          </cell>
          <cell r="BB106" t="e">
            <v>#N/A</v>
          </cell>
          <cell r="BC106">
            <v>0</v>
          </cell>
          <cell r="BD106" t="e">
            <v>#N/A</v>
          </cell>
          <cell r="BE106" t="e">
            <v>#N/A</v>
          </cell>
          <cell r="BF106" t="e">
            <v>#N/A</v>
          </cell>
          <cell r="BL106">
            <v>0</v>
          </cell>
          <cell r="BM106" t="e">
            <v>#N/A</v>
          </cell>
          <cell r="BN106" t="e">
            <v>#N/A</v>
          </cell>
          <cell r="BO106" t="e">
            <v>#N/A</v>
          </cell>
          <cell r="BP106" t="e">
            <v>#N/A</v>
          </cell>
          <cell r="BQ106" t="e">
            <v>#N/A</v>
          </cell>
          <cell r="BR106">
            <v>-0.38784232365145227</v>
          </cell>
          <cell r="BT106">
            <v>-0.38784232365145227</v>
          </cell>
          <cell r="BU106" t="e">
            <v>#N/A</v>
          </cell>
          <cell r="BV106" t="e">
            <v>#N/A</v>
          </cell>
          <cell r="BW106" t="e">
            <v>#N/A</v>
          </cell>
          <cell r="BX106" t="e">
            <v>#N/A</v>
          </cell>
          <cell r="BY106" t="e">
            <v>#N/A</v>
          </cell>
          <cell r="BZ106" t="str">
            <v>CDI</v>
          </cell>
          <cell r="CA106" t="str">
            <v/>
          </cell>
          <cell r="CB106" t="str">
            <v/>
          </cell>
          <cell r="CC106" t="str">
            <v>BANQUE</v>
          </cell>
          <cell r="CD106" t="str">
            <v>281-Kitchen</v>
          </cell>
          <cell r="CE106">
            <v>281</v>
          </cell>
        </row>
        <row r="107">
          <cell r="B107" t="str">
            <v>03044</v>
          </cell>
          <cell r="C107" t="str">
            <v>KANDE MISENGA NADINE</v>
          </cell>
          <cell r="D107" t="str">
            <v>Purchasing and Receiving</v>
          </cell>
          <cell r="E107" t="str">
            <v>00018000360001114120070</v>
          </cell>
          <cell r="F107" t="str">
            <v>207517703290Q</v>
          </cell>
          <cell r="G107" t="str">
            <v>Ass.Purchasing &amp;Stores</v>
          </cell>
          <cell r="H107">
            <v>18.3</v>
          </cell>
          <cell r="I107">
            <v>21.1</v>
          </cell>
          <cell r="J107">
            <v>21.1</v>
          </cell>
          <cell r="K107" t="str">
            <v>MAT2-11.M</v>
          </cell>
          <cell r="L107" t="str">
            <v>MAITRISE</v>
          </cell>
          <cell r="M107" t="str">
            <v>MAITRISE</v>
          </cell>
          <cell r="N107" t="str">
            <v>MAITRISES, Echellon 2, Classe 11</v>
          </cell>
          <cell r="P107">
            <v>41790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X107" t="e">
            <v>#N/A</v>
          </cell>
          <cell r="Y107" t="e">
            <v>#N/A</v>
          </cell>
          <cell r="Z107" t="e">
            <v>#N/A</v>
          </cell>
          <cell r="AA107" t="e">
            <v>#N/A</v>
          </cell>
          <cell r="AB107" t="e">
            <v>#N/A</v>
          </cell>
          <cell r="AC107" t="e">
            <v>#N/A</v>
          </cell>
          <cell r="AE107">
            <v>548.6</v>
          </cell>
          <cell r="AF107" t="e">
            <v>#N/A</v>
          </cell>
          <cell r="AG107" t="e">
            <v>#N/A</v>
          </cell>
          <cell r="AH107" t="e">
            <v>#N/A</v>
          </cell>
          <cell r="AI107" t="e">
            <v>#N/A</v>
          </cell>
          <cell r="AJ107" t="e">
            <v>#N/A</v>
          </cell>
          <cell r="AK107" t="e">
            <v>#N/A</v>
          </cell>
          <cell r="AL107" t="e">
            <v>#N/A</v>
          </cell>
          <cell r="AM107" t="e">
            <v>#N/A</v>
          </cell>
          <cell r="AN107">
            <v>0</v>
          </cell>
          <cell r="AO107">
            <v>30</v>
          </cell>
          <cell r="AR107" t="e">
            <v>#N/A</v>
          </cell>
          <cell r="AS107">
            <v>70</v>
          </cell>
          <cell r="AT107" t="e">
            <v>#N/A</v>
          </cell>
          <cell r="AU107">
            <v>81.849999999999994</v>
          </cell>
          <cell r="AV107">
            <v>2</v>
          </cell>
          <cell r="AX107">
            <v>0</v>
          </cell>
          <cell r="AY107" t="e">
            <v>#N/A</v>
          </cell>
          <cell r="AZ107">
            <v>200</v>
          </cell>
          <cell r="BA107">
            <v>8.8300000000000392</v>
          </cell>
          <cell r="BB107" t="e">
            <v>#N/A</v>
          </cell>
          <cell r="BC107">
            <v>10</v>
          </cell>
          <cell r="BD107" t="e">
            <v>#N/A</v>
          </cell>
          <cell r="BE107" t="e">
            <v>#N/A</v>
          </cell>
          <cell r="BF107" t="e">
            <v>#N/A</v>
          </cell>
          <cell r="BL107">
            <v>0</v>
          </cell>
          <cell r="BM107" t="e">
            <v>#N/A</v>
          </cell>
          <cell r="BN107" t="e">
            <v>#N/A</v>
          </cell>
          <cell r="BO107" t="e">
            <v>#N/A</v>
          </cell>
          <cell r="BP107" t="e">
            <v>#N/A</v>
          </cell>
          <cell r="BQ107" t="e">
            <v>#N/A</v>
          </cell>
          <cell r="BR107">
            <v>-0.38784232365145227</v>
          </cell>
          <cell r="BT107">
            <v>-0.38784232365145227</v>
          </cell>
          <cell r="BU107" t="e">
            <v>#N/A</v>
          </cell>
          <cell r="BV107" t="e">
            <v>#N/A</v>
          </cell>
          <cell r="BW107" t="e">
            <v>#N/A</v>
          </cell>
          <cell r="BX107" t="e">
            <v>#N/A</v>
          </cell>
          <cell r="BY107" t="e">
            <v>#N/A</v>
          </cell>
          <cell r="BZ107" t="str">
            <v>CDI</v>
          </cell>
          <cell r="CA107" t="str">
            <v/>
          </cell>
          <cell r="CB107" t="str">
            <v/>
          </cell>
          <cell r="CC107" t="str">
            <v>BANQUE</v>
          </cell>
          <cell r="CD107" t="str">
            <v>640-Purchasing and Receiving</v>
          </cell>
          <cell r="CE107">
            <v>640</v>
          </cell>
        </row>
        <row r="108">
          <cell r="B108" t="str">
            <v>05025</v>
          </cell>
          <cell r="C108" t="str">
            <v>KIOWA NSUNGU ANGEL</v>
          </cell>
          <cell r="D108" t="str">
            <v>La Riviera</v>
          </cell>
          <cell r="E108" t="str">
            <v>00018000360001253120003</v>
          </cell>
          <cell r="F108" t="str">
            <v>208318705130P</v>
          </cell>
          <cell r="G108" t="str">
            <v>Restaurant Supervisor</v>
          </cell>
          <cell r="H108">
            <v>10.3</v>
          </cell>
          <cell r="I108">
            <v>11.85</v>
          </cell>
          <cell r="J108">
            <v>11.850000000000001</v>
          </cell>
          <cell r="K108" t="str">
            <v>TRQ1-7.IV</v>
          </cell>
          <cell r="L108" t="str">
            <v>TRAVAILLEUR QUALIFIE</v>
          </cell>
          <cell r="M108" t="str">
            <v>CATEGORIE 1 A 5</v>
          </cell>
          <cell r="N108" t="str">
            <v>TRAVAILLEUR QUALIFIE (TQ), Echellon 1, Classe 7</v>
          </cell>
          <cell r="P108">
            <v>41153</v>
          </cell>
          <cell r="Q108" t="e">
            <v>#N/A</v>
          </cell>
          <cell r="R108" t="e">
            <v>#N/A</v>
          </cell>
          <cell r="S108" t="e">
            <v>#N/A</v>
          </cell>
          <cell r="T108" t="e">
            <v>#N/A</v>
          </cell>
          <cell r="U108" t="e">
            <v>#N/A</v>
          </cell>
          <cell r="V108" t="e">
            <v>#N/A</v>
          </cell>
          <cell r="W108" t="e">
            <v>#N/A</v>
          </cell>
          <cell r="X108" t="e">
            <v>#N/A</v>
          </cell>
          <cell r="Y108" t="e">
            <v>#N/A</v>
          </cell>
          <cell r="Z108" t="e">
            <v>#N/A</v>
          </cell>
          <cell r="AA108" t="e">
            <v>#N/A</v>
          </cell>
          <cell r="AB108" t="e">
            <v>#N/A</v>
          </cell>
          <cell r="AC108" t="e">
            <v>#N/A</v>
          </cell>
          <cell r="AE108">
            <v>308.10000000000002</v>
          </cell>
          <cell r="AF108" t="e">
            <v>#N/A</v>
          </cell>
          <cell r="AG108" t="e">
            <v>#N/A</v>
          </cell>
          <cell r="AH108" t="e">
            <v>#N/A</v>
          </cell>
          <cell r="AI108" t="e">
            <v>#N/A</v>
          </cell>
          <cell r="AJ108" t="e">
            <v>#N/A</v>
          </cell>
          <cell r="AK108" t="e">
            <v>#N/A</v>
          </cell>
          <cell r="AL108" t="e">
            <v>#N/A</v>
          </cell>
          <cell r="AM108" t="e">
            <v>#N/A</v>
          </cell>
          <cell r="AN108">
            <v>0</v>
          </cell>
          <cell r="AR108" t="e">
            <v>#N/A</v>
          </cell>
          <cell r="AS108">
            <v>79</v>
          </cell>
          <cell r="AT108" t="e">
            <v>#N/A</v>
          </cell>
          <cell r="AU108">
            <v>42.9</v>
          </cell>
          <cell r="AV108">
            <v>1</v>
          </cell>
          <cell r="AX108">
            <v>0</v>
          </cell>
          <cell r="AY108" t="e">
            <v>#N/A</v>
          </cell>
          <cell r="BA108">
            <v>7.23000000000002</v>
          </cell>
          <cell r="BB108" t="e">
            <v>#N/A</v>
          </cell>
          <cell r="BC108">
            <v>0</v>
          </cell>
          <cell r="BD108" t="e">
            <v>#N/A</v>
          </cell>
          <cell r="BE108" t="e">
            <v>#N/A</v>
          </cell>
          <cell r="BF108" t="e">
            <v>#N/A</v>
          </cell>
          <cell r="BL108">
            <v>0</v>
          </cell>
          <cell r="BM108" t="e">
            <v>#N/A</v>
          </cell>
          <cell r="BN108" t="e">
            <v>#N/A</v>
          </cell>
          <cell r="BO108" t="e">
            <v>#N/A</v>
          </cell>
          <cell r="BP108" t="e">
            <v>#N/A</v>
          </cell>
          <cell r="BQ108" t="e">
            <v>#N/A</v>
          </cell>
          <cell r="BR108">
            <v>-0.38784232365145227</v>
          </cell>
          <cell r="BT108">
            <v>-0.38784232365145227</v>
          </cell>
          <cell r="BU108" t="e">
            <v>#N/A</v>
          </cell>
          <cell r="BV108" t="e">
            <v>#N/A</v>
          </cell>
          <cell r="BW108" t="e">
            <v>#N/A</v>
          </cell>
          <cell r="BX108" t="e">
            <v>#N/A</v>
          </cell>
          <cell r="BY108" t="e">
            <v>#N/A</v>
          </cell>
          <cell r="BZ108" t="str">
            <v>CDI</v>
          </cell>
          <cell r="CA108" t="str">
            <v/>
          </cell>
          <cell r="CB108" t="str">
            <v/>
          </cell>
          <cell r="CC108" t="str">
            <v>BANQUE</v>
          </cell>
          <cell r="CD108" t="str">
            <v>212-La Riviera</v>
          </cell>
          <cell r="CE108">
            <v>212</v>
          </cell>
        </row>
        <row r="109">
          <cell r="B109" t="str">
            <v>05050</v>
          </cell>
          <cell r="C109" t="str">
            <v>MASSAYA MBUSO ANICA</v>
          </cell>
          <cell r="D109" t="str">
            <v>La Riviera</v>
          </cell>
          <cell r="E109" t="str">
            <v>00018000360100472120036</v>
          </cell>
          <cell r="F109" t="str">
            <v>203538307020N</v>
          </cell>
          <cell r="G109" t="str">
            <v>Chef  de Rang</v>
          </cell>
          <cell r="H109">
            <v>10.3</v>
          </cell>
          <cell r="I109">
            <v>11.85</v>
          </cell>
          <cell r="J109">
            <v>11.850000000000001</v>
          </cell>
          <cell r="K109" t="str">
            <v>TRQ1-7.IV</v>
          </cell>
          <cell r="L109" t="str">
            <v>TRAVAILLEUR QUALIFIE</v>
          </cell>
          <cell r="M109" t="str">
            <v>CATEGORIE 1 A 5</v>
          </cell>
          <cell r="N109" t="str">
            <v>TRAVAILLEUR QUALIFIE (TQ), Echellon 1, Classe 7</v>
          </cell>
          <cell r="P109">
            <v>41153</v>
          </cell>
          <cell r="Q109" t="e">
            <v>#N/A</v>
          </cell>
          <cell r="R109" t="e">
            <v>#N/A</v>
          </cell>
          <cell r="S109" t="e">
            <v>#N/A</v>
          </cell>
          <cell r="T109" t="e">
            <v>#N/A</v>
          </cell>
          <cell r="U109" t="e">
            <v>#N/A</v>
          </cell>
          <cell r="V109" t="e">
            <v>#N/A</v>
          </cell>
          <cell r="W109" t="e">
            <v>#N/A</v>
          </cell>
          <cell r="X109" t="e">
            <v>#N/A</v>
          </cell>
          <cell r="Y109" t="e">
            <v>#N/A</v>
          </cell>
          <cell r="Z109" t="e">
            <v>#N/A</v>
          </cell>
          <cell r="AA109" t="e">
            <v>#N/A</v>
          </cell>
          <cell r="AB109" t="e">
            <v>#N/A</v>
          </cell>
          <cell r="AC109" t="e">
            <v>#N/A</v>
          </cell>
          <cell r="AE109">
            <v>308.10000000000002</v>
          </cell>
          <cell r="AF109" t="e">
            <v>#N/A</v>
          </cell>
          <cell r="AG109" t="e">
            <v>#N/A</v>
          </cell>
          <cell r="AH109" t="e">
            <v>#N/A</v>
          </cell>
          <cell r="AI109" t="e">
            <v>#N/A</v>
          </cell>
          <cell r="AJ109" t="e">
            <v>#N/A</v>
          </cell>
          <cell r="AK109" t="e">
            <v>#N/A</v>
          </cell>
          <cell r="AL109" t="e">
            <v>#N/A</v>
          </cell>
          <cell r="AM109" t="e">
            <v>#N/A</v>
          </cell>
          <cell r="AN109">
            <v>0</v>
          </cell>
          <cell r="AR109" t="e">
            <v>#N/A</v>
          </cell>
          <cell r="AS109">
            <v>50</v>
          </cell>
          <cell r="AT109" t="e">
            <v>#N/A</v>
          </cell>
          <cell r="AU109">
            <v>77.03</v>
          </cell>
          <cell r="AV109">
            <v>1</v>
          </cell>
          <cell r="AX109">
            <v>0</v>
          </cell>
          <cell r="AY109" t="e">
            <v>#N/A</v>
          </cell>
          <cell r="BA109">
            <v>1.1100000000000101</v>
          </cell>
          <cell r="BB109" t="e">
            <v>#N/A</v>
          </cell>
          <cell r="BC109">
            <v>0</v>
          </cell>
          <cell r="BD109" t="e">
            <v>#N/A</v>
          </cell>
          <cell r="BE109" t="e">
            <v>#N/A</v>
          </cell>
          <cell r="BF109" t="e">
            <v>#N/A</v>
          </cell>
          <cell r="BL109">
            <v>0</v>
          </cell>
          <cell r="BM109" t="e">
            <v>#N/A</v>
          </cell>
          <cell r="BN109" t="e">
            <v>#N/A</v>
          </cell>
          <cell r="BO109" t="e">
            <v>#N/A</v>
          </cell>
          <cell r="BP109" t="e">
            <v>#N/A</v>
          </cell>
          <cell r="BQ109" t="e">
            <v>#N/A</v>
          </cell>
          <cell r="BR109">
            <v>-0.38784232365145227</v>
          </cell>
          <cell r="BT109">
            <v>-0.38784232365145227</v>
          </cell>
          <cell r="BU109" t="e">
            <v>#N/A</v>
          </cell>
          <cell r="BV109" t="e">
            <v>#N/A</v>
          </cell>
          <cell r="BW109" t="e">
            <v>#N/A</v>
          </cell>
          <cell r="BX109" t="e">
            <v>#N/A</v>
          </cell>
          <cell r="BY109" t="e">
            <v>#N/A</v>
          </cell>
          <cell r="BZ109" t="str">
            <v>CDI</v>
          </cell>
          <cell r="CA109" t="str">
            <v/>
          </cell>
          <cell r="CB109" t="str">
            <v/>
          </cell>
          <cell r="CC109" t="str">
            <v>BANQUE</v>
          </cell>
          <cell r="CD109" t="str">
            <v>212-La Riviera</v>
          </cell>
          <cell r="CE109">
            <v>212</v>
          </cell>
        </row>
        <row r="110">
          <cell r="B110" t="str">
            <v>05059</v>
          </cell>
          <cell r="C110" t="str">
            <v>ATUBUNA MBANGU RODRIGUE</v>
          </cell>
          <cell r="D110" t="str">
            <v>La Riviera</v>
          </cell>
          <cell r="E110" t="str">
            <v>00018000360129706120007</v>
          </cell>
          <cell r="F110" t="str">
            <v>109459003230W</v>
          </cell>
          <cell r="G110" t="str">
            <v>Restaurant Supervisor</v>
          </cell>
          <cell r="H110">
            <v>10.3</v>
          </cell>
          <cell r="I110">
            <v>11.85</v>
          </cell>
          <cell r="J110">
            <v>11.850000000000001</v>
          </cell>
          <cell r="K110" t="str">
            <v>TRQ1-7.IV</v>
          </cell>
          <cell r="L110" t="str">
            <v>TRAVAILLEUR QUALIFIE</v>
          </cell>
          <cell r="M110" t="str">
            <v>CATEGORIE 1 A 5</v>
          </cell>
          <cell r="N110" t="str">
            <v>TRAVAILLEUR QUALIFIE (TQ), Echellon 1, Classe 7</v>
          </cell>
          <cell r="P110">
            <v>41153</v>
          </cell>
          <cell r="Q110" t="e">
            <v>#N/A</v>
          </cell>
          <cell r="R110" t="e">
            <v>#N/A</v>
          </cell>
          <cell r="S110" t="e">
            <v>#N/A</v>
          </cell>
          <cell r="T110" t="e">
            <v>#N/A</v>
          </cell>
          <cell r="U110" t="e">
            <v>#N/A</v>
          </cell>
          <cell r="V110" t="e">
            <v>#N/A</v>
          </cell>
          <cell r="W110" t="e">
            <v>#N/A</v>
          </cell>
          <cell r="X110" t="e">
            <v>#N/A</v>
          </cell>
          <cell r="Y110" t="e">
            <v>#N/A</v>
          </cell>
          <cell r="Z110" t="e">
            <v>#N/A</v>
          </cell>
          <cell r="AA110" t="e">
            <v>#N/A</v>
          </cell>
          <cell r="AB110" t="e">
            <v>#N/A</v>
          </cell>
          <cell r="AC110" t="e">
            <v>#N/A</v>
          </cell>
          <cell r="AE110">
            <v>308.10000000000002</v>
          </cell>
          <cell r="AF110" t="e">
            <v>#N/A</v>
          </cell>
          <cell r="AG110" t="e">
            <v>#N/A</v>
          </cell>
          <cell r="AH110" t="e">
            <v>#N/A</v>
          </cell>
          <cell r="AI110" t="e">
            <v>#N/A</v>
          </cell>
          <cell r="AJ110" t="e">
            <v>#N/A</v>
          </cell>
          <cell r="AK110" t="e">
            <v>#N/A</v>
          </cell>
          <cell r="AL110" t="e">
            <v>#N/A</v>
          </cell>
          <cell r="AM110" t="e">
            <v>#N/A</v>
          </cell>
          <cell r="AN110">
            <v>0</v>
          </cell>
          <cell r="AR110" t="e">
            <v>#N/A</v>
          </cell>
          <cell r="AS110">
            <v>79</v>
          </cell>
          <cell r="AT110" t="e">
            <v>#N/A</v>
          </cell>
          <cell r="AU110">
            <v>42.9</v>
          </cell>
          <cell r="AV110">
            <v>0</v>
          </cell>
          <cell r="AX110">
            <v>0</v>
          </cell>
          <cell r="AY110" t="e">
            <v>#N/A</v>
          </cell>
          <cell r="BA110">
            <v>7.3400000000000301</v>
          </cell>
          <cell r="BB110" t="e">
            <v>#N/A</v>
          </cell>
          <cell r="BC110">
            <v>0</v>
          </cell>
          <cell r="BD110" t="e">
            <v>#N/A</v>
          </cell>
          <cell r="BE110" t="e">
            <v>#N/A</v>
          </cell>
          <cell r="BF110" t="e">
            <v>#N/A</v>
          </cell>
          <cell r="BL110">
            <v>0</v>
          </cell>
          <cell r="BM110" t="e">
            <v>#N/A</v>
          </cell>
          <cell r="BN110" t="e">
            <v>#N/A</v>
          </cell>
          <cell r="BO110" t="e">
            <v>#N/A</v>
          </cell>
          <cell r="BP110" t="e">
            <v>#N/A</v>
          </cell>
          <cell r="BQ110" t="e">
            <v>#N/A</v>
          </cell>
          <cell r="BR110">
            <v>-0.38784232365145227</v>
          </cell>
          <cell r="BT110">
            <v>-0.38784232365145227</v>
          </cell>
          <cell r="BU110" t="e">
            <v>#N/A</v>
          </cell>
          <cell r="BV110" t="e">
            <v>#N/A</v>
          </cell>
          <cell r="BW110" t="e">
            <v>#N/A</v>
          </cell>
          <cell r="BX110" t="e">
            <v>#N/A</v>
          </cell>
          <cell r="BY110" t="e">
            <v>#N/A</v>
          </cell>
          <cell r="BZ110" t="str">
            <v>CDI</v>
          </cell>
          <cell r="CA110" t="str">
            <v/>
          </cell>
          <cell r="CB110" t="str">
            <v/>
          </cell>
          <cell r="CC110" t="str">
            <v>BANQUE</v>
          </cell>
          <cell r="CD110" t="str">
            <v>212-La Riviera</v>
          </cell>
          <cell r="CE110">
            <v>212</v>
          </cell>
        </row>
        <row r="111">
          <cell r="B111" t="str">
            <v>05060</v>
          </cell>
          <cell r="C111" t="str">
            <v>BADIASHILE KASENDUE ABEDNEGO</v>
          </cell>
          <cell r="D111" t="str">
            <v>Stewarding</v>
          </cell>
          <cell r="E111" t="str">
            <v>00018000360001053120068</v>
          </cell>
          <cell r="F111" t="str">
            <v>107349008270P</v>
          </cell>
          <cell r="G111" t="str">
            <v>Chef Steward</v>
          </cell>
          <cell r="H111">
            <v>15.85</v>
          </cell>
          <cell r="I111">
            <v>18.3</v>
          </cell>
          <cell r="J111">
            <v>18.3</v>
          </cell>
          <cell r="K111" t="str">
            <v>MAT1-10.M</v>
          </cell>
          <cell r="L111" t="str">
            <v>MAITRISE</v>
          </cell>
          <cell r="M111" t="str">
            <v>MAITRISE</v>
          </cell>
          <cell r="N111" t="str">
            <v>MAITRISES, Echellon 1, Classe 10</v>
          </cell>
          <cell r="P111">
            <v>41153</v>
          </cell>
          <cell r="Q111" t="e">
            <v>#N/A</v>
          </cell>
          <cell r="R111" t="e">
            <v>#N/A</v>
          </cell>
          <cell r="S111" t="e">
            <v>#N/A</v>
          </cell>
          <cell r="T111" t="e">
            <v>#N/A</v>
          </cell>
          <cell r="U111" t="e">
            <v>#N/A</v>
          </cell>
          <cell r="V111" t="e">
            <v>#N/A</v>
          </cell>
          <cell r="W111" t="e">
            <v>#N/A</v>
          </cell>
          <cell r="X111" t="e">
            <v>#N/A</v>
          </cell>
          <cell r="Y111" t="e">
            <v>#N/A</v>
          </cell>
          <cell r="Z111" t="e">
            <v>#N/A</v>
          </cell>
          <cell r="AA111" t="e">
            <v>#N/A</v>
          </cell>
          <cell r="AB111" t="e">
            <v>#N/A</v>
          </cell>
          <cell r="AC111" t="e">
            <v>#N/A</v>
          </cell>
          <cell r="AE111">
            <v>475.8</v>
          </cell>
          <cell r="AF111" t="e">
            <v>#N/A</v>
          </cell>
          <cell r="AG111" t="e">
            <v>#N/A</v>
          </cell>
          <cell r="AH111" t="e">
            <v>#N/A</v>
          </cell>
          <cell r="AI111" t="e">
            <v>#N/A</v>
          </cell>
          <cell r="AJ111" t="e">
            <v>#N/A</v>
          </cell>
          <cell r="AK111" t="e">
            <v>#N/A</v>
          </cell>
          <cell r="AL111" t="e">
            <v>#N/A</v>
          </cell>
          <cell r="AM111" t="e">
            <v>#N/A</v>
          </cell>
          <cell r="AN111">
            <v>0</v>
          </cell>
          <cell r="AR111" t="e">
            <v>#N/A</v>
          </cell>
          <cell r="AS111">
            <v>150.4</v>
          </cell>
          <cell r="AT111" t="e">
            <v>#N/A</v>
          </cell>
          <cell r="AU111">
            <v>98.8</v>
          </cell>
          <cell r="AV111">
            <v>0</v>
          </cell>
          <cell r="AX111">
            <v>0</v>
          </cell>
          <cell r="AY111" t="e">
            <v>#N/A</v>
          </cell>
          <cell r="BA111">
            <v>6.24000000000001</v>
          </cell>
          <cell r="BB111" t="e">
            <v>#N/A</v>
          </cell>
          <cell r="BC111">
            <v>0</v>
          </cell>
          <cell r="BD111" t="e">
            <v>#N/A</v>
          </cell>
          <cell r="BE111" t="e">
            <v>#N/A</v>
          </cell>
          <cell r="BF111" t="e">
            <v>#N/A</v>
          </cell>
          <cell r="BL111">
            <v>0</v>
          </cell>
          <cell r="BM111" t="e">
            <v>#N/A</v>
          </cell>
          <cell r="BN111" t="e">
            <v>#N/A</v>
          </cell>
          <cell r="BO111" t="e">
            <v>#N/A</v>
          </cell>
          <cell r="BP111" t="e">
            <v>#N/A</v>
          </cell>
          <cell r="BQ111" t="e">
            <v>#N/A</v>
          </cell>
          <cell r="BR111">
            <v>-0.38784232365145227</v>
          </cell>
          <cell r="BT111">
            <v>-0.38784232365145227</v>
          </cell>
          <cell r="BU111" t="e">
            <v>#N/A</v>
          </cell>
          <cell r="BV111" t="e">
            <v>#N/A</v>
          </cell>
          <cell r="BW111" t="e">
            <v>#N/A</v>
          </cell>
          <cell r="BX111" t="e">
            <v>#N/A</v>
          </cell>
          <cell r="BY111" t="e">
            <v>#N/A</v>
          </cell>
          <cell r="BZ111" t="str">
            <v>CDI</v>
          </cell>
          <cell r="CA111" t="str">
            <v/>
          </cell>
          <cell r="CB111" t="str">
            <v/>
          </cell>
          <cell r="CC111" t="str">
            <v>BANQUE</v>
          </cell>
          <cell r="CD111" t="str">
            <v>282-Stewarding</v>
          </cell>
          <cell r="CE111">
            <v>282</v>
          </cell>
        </row>
        <row r="112">
          <cell r="B112" t="str">
            <v>05218</v>
          </cell>
          <cell r="C112" t="str">
            <v>NSANGU NZUZI MARAY</v>
          </cell>
          <cell r="D112" t="str">
            <v>In-Room Dining</v>
          </cell>
          <cell r="E112" t="str">
            <v>00018000360001198120033</v>
          </cell>
          <cell r="F112" t="str">
            <v>11966532132R</v>
          </cell>
          <cell r="G112" t="str">
            <v>Restaurant Waiter</v>
          </cell>
          <cell r="H112">
            <v>6.65</v>
          </cell>
          <cell r="I112">
            <v>7.7</v>
          </cell>
          <cell r="J112">
            <v>7.6999999999999993</v>
          </cell>
          <cell r="K112" t="str">
            <v>TSQ1-4.III</v>
          </cell>
          <cell r="L112" t="str">
            <v>TRAVAILLEUR SEMI QUALIFIE</v>
          </cell>
          <cell r="M112" t="str">
            <v>CATEGORIE 1 A 5</v>
          </cell>
          <cell r="N112" t="str">
            <v>TRAVAILLEUR SEMI QUALIFIE (TSQ), Echellon 1, Classe 4</v>
          </cell>
          <cell r="P112">
            <v>41366</v>
          </cell>
          <cell r="Q112" t="e">
            <v>#N/A</v>
          </cell>
          <cell r="R112" t="e">
            <v>#N/A</v>
          </cell>
          <cell r="S112" t="e">
            <v>#N/A</v>
          </cell>
          <cell r="T112" t="e">
            <v>#N/A</v>
          </cell>
          <cell r="U112" t="e">
            <v>#N/A</v>
          </cell>
          <cell r="V112" t="e">
            <v>#N/A</v>
          </cell>
          <cell r="W112" t="e">
            <v>#N/A</v>
          </cell>
          <cell r="X112" t="e">
            <v>#N/A</v>
          </cell>
          <cell r="Y112" t="e">
            <v>#N/A</v>
          </cell>
          <cell r="Z112" t="e">
            <v>#N/A</v>
          </cell>
          <cell r="AA112" t="e">
            <v>#N/A</v>
          </cell>
          <cell r="AB112" t="e">
            <v>#N/A</v>
          </cell>
          <cell r="AC112" t="e">
            <v>#N/A</v>
          </cell>
          <cell r="AE112">
            <v>200.2</v>
          </cell>
          <cell r="AF112" t="e">
            <v>#N/A</v>
          </cell>
          <cell r="AG112" t="e">
            <v>#N/A</v>
          </cell>
          <cell r="AH112" t="e">
            <v>#N/A</v>
          </cell>
          <cell r="AI112" t="e">
            <v>#N/A</v>
          </cell>
          <cell r="AJ112" t="e">
            <v>#N/A</v>
          </cell>
          <cell r="AK112" t="e">
            <v>#N/A</v>
          </cell>
          <cell r="AL112" t="e">
            <v>#N/A</v>
          </cell>
          <cell r="AM112" t="e">
            <v>#N/A</v>
          </cell>
          <cell r="AN112">
            <v>0</v>
          </cell>
          <cell r="AR112" t="e">
            <v>#N/A</v>
          </cell>
          <cell r="AS112">
            <v>60</v>
          </cell>
          <cell r="AT112" t="e">
            <v>#N/A</v>
          </cell>
          <cell r="AU112">
            <v>48.05</v>
          </cell>
          <cell r="AV112">
            <v>2</v>
          </cell>
          <cell r="AX112">
            <v>0</v>
          </cell>
          <cell r="AY112" t="e">
            <v>#N/A</v>
          </cell>
          <cell r="BA112">
            <v>0.96999999999999897</v>
          </cell>
          <cell r="BB112" t="e">
            <v>#N/A</v>
          </cell>
          <cell r="BC112">
            <v>0</v>
          </cell>
          <cell r="BD112" t="e">
            <v>#N/A</v>
          </cell>
          <cell r="BE112" t="e">
            <v>#N/A</v>
          </cell>
          <cell r="BF112" t="e">
            <v>#N/A</v>
          </cell>
          <cell r="BL112">
            <v>0</v>
          </cell>
          <cell r="BM112" t="e">
            <v>#N/A</v>
          </cell>
          <cell r="BN112" t="e">
            <v>#N/A</v>
          </cell>
          <cell r="BO112" t="e">
            <v>#N/A</v>
          </cell>
          <cell r="BP112" t="e">
            <v>#N/A</v>
          </cell>
          <cell r="BQ112" t="e">
            <v>#N/A</v>
          </cell>
          <cell r="BR112">
            <v>-0.38784232365145227</v>
          </cell>
          <cell r="BT112">
            <v>-0.38784232365145227</v>
          </cell>
          <cell r="BU112" t="e">
            <v>#N/A</v>
          </cell>
          <cell r="BV112" t="e">
            <v>#N/A</v>
          </cell>
          <cell r="BW112" t="e">
            <v>#N/A</v>
          </cell>
          <cell r="BX112" t="e">
            <v>#N/A</v>
          </cell>
          <cell r="BY112" t="e">
            <v>#N/A</v>
          </cell>
          <cell r="BZ112" t="str">
            <v>CDI</v>
          </cell>
          <cell r="CA112" t="str">
            <v/>
          </cell>
          <cell r="CB112" t="str">
            <v/>
          </cell>
          <cell r="CC112" t="str">
            <v>BANQUE</v>
          </cell>
          <cell r="CD112" t="str">
            <v>260-In-Room Dining</v>
          </cell>
          <cell r="CE112">
            <v>260</v>
          </cell>
        </row>
        <row r="113">
          <cell r="B113" t="str">
            <v>05301</v>
          </cell>
          <cell r="C113" t="str">
            <v>NSALA NICOLE</v>
          </cell>
          <cell r="D113" t="str">
            <v>La Riviera</v>
          </cell>
          <cell r="E113" t="str">
            <v>00018000360001197120060</v>
          </cell>
          <cell r="F113" t="str">
            <v>202478004120L</v>
          </cell>
          <cell r="G113" t="str">
            <v>cashier</v>
          </cell>
          <cell r="H113">
            <v>6.65</v>
          </cell>
          <cell r="I113">
            <v>7.7</v>
          </cell>
          <cell r="J113">
            <v>7.6999999999999993</v>
          </cell>
          <cell r="K113" t="str">
            <v>TSQ1-4.III</v>
          </cell>
          <cell r="L113" t="str">
            <v>TRAVAILLEUR SEMI QUALIFIE</v>
          </cell>
          <cell r="M113" t="str">
            <v>CATEGORIE 1 A 5</v>
          </cell>
          <cell r="N113" t="str">
            <v>TRAVAILLEUR SEMI QUALIFIE (TSQ), Echellon 1, Classe 4</v>
          </cell>
          <cell r="P113">
            <v>41848</v>
          </cell>
          <cell r="Q113" t="e">
            <v>#N/A</v>
          </cell>
          <cell r="R113" t="e">
            <v>#N/A</v>
          </cell>
          <cell r="S113" t="e">
            <v>#N/A</v>
          </cell>
          <cell r="T113" t="e">
            <v>#N/A</v>
          </cell>
          <cell r="U113" t="e">
            <v>#N/A</v>
          </cell>
          <cell r="V113" t="e">
            <v>#N/A</v>
          </cell>
          <cell r="W113" t="e">
            <v>#N/A</v>
          </cell>
          <cell r="X113" t="e">
            <v>#N/A</v>
          </cell>
          <cell r="Y113" t="e">
            <v>#N/A</v>
          </cell>
          <cell r="Z113" t="e">
            <v>#N/A</v>
          </cell>
          <cell r="AA113" t="e">
            <v>#N/A</v>
          </cell>
          <cell r="AB113" t="e">
            <v>#N/A</v>
          </cell>
          <cell r="AC113" t="e">
            <v>#N/A</v>
          </cell>
          <cell r="AE113">
            <v>200.2</v>
          </cell>
          <cell r="AF113" t="e">
            <v>#N/A</v>
          </cell>
          <cell r="AG113" t="e">
            <v>#N/A</v>
          </cell>
          <cell r="AH113" t="e">
            <v>#N/A</v>
          </cell>
          <cell r="AI113" t="e">
            <v>#N/A</v>
          </cell>
          <cell r="AJ113" t="e">
            <v>#N/A</v>
          </cell>
          <cell r="AK113" t="e">
            <v>#N/A</v>
          </cell>
          <cell r="AL113" t="e">
            <v>#N/A</v>
          </cell>
          <cell r="AM113" t="e">
            <v>#N/A</v>
          </cell>
          <cell r="AN113">
            <v>0</v>
          </cell>
          <cell r="AO113">
            <v>30</v>
          </cell>
          <cell r="AR113" t="e">
            <v>#N/A</v>
          </cell>
          <cell r="AS113">
            <v>60</v>
          </cell>
          <cell r="AT113" t="e">
            <v>#N/A</v>
          </cell>
          <cell r="AU113">
            <v>48.05</v>
          </cell>
          <cell r="AV113">
            <v>2</v>
          </cell>
          <cell r="AX113">
            <v>0</v>
          </cell>
          <cell r="AY113" t="e">
            <v>#N/A</v>
          </cell>
          <cell r="BA113">
            <v>1.1200000000000001</v>
          </cell>
          <cell r="BB113" t="e">
            <v>#N/A</v>
          </cell>
          <cell r="BC113">
            <v>0</v>
          </cell>
          <cell r="BD113" t="e">
            <v>#N/A</v>
          </cell>
          <cell r="BE113" t="e">
            <v>#N/A</v>
          </cell>
          <cell r="BF113" t="e">
            <v>#N/A</v>
          </cell>
          <cell r="BG113">
            <v>10</v>
          </cell>
          <cell r="BL113">
            <v>10</v>
          </cell>
          <cell r="BM113" t="e">
            <v>#N/A</v>
          </cell>
          <cell r="BN113" t="e">
            <v>#N/A</v>
          </cell>
          <cell r="BO113" t="e">
            <v>#N/A</v>
          </cell>
          <cell r="BP113" t="e">
            <v>#N/A</v>
          </cell>
          <cell r="BQ113" t="e">
            <v>#N/A</v>
          </cell>
          <cell r="BR113">
            <v>-0.38784232365145227</v>
          </cell>
          <cell r="BT113">
            <v>-0.38784232365145227</v>
          </cell>
          <cell r="BU113" t="e">
            <v>#N/A</v>
          </cell>
          <cell r="BV113" t="e">
            <v>#N/A</v>
          </cell>
          <cell r="BW113" t="e">
            <v>#N/A</v>
          </cell>
          <cell r="BX113" t="e">
            <v>#N/A</v>
          </cell>
          <cell r="BY113" t="e">
            <v>#N/A</v>
          </cell>
          <cell r="BZ113" t="str">
            <v>CDI</v>
          </cell>
          <cell r="CA113" t="str">
            <v/>
          </cell>
          <cell r="CB113" t="str">
            <v/>
          </cell>
          <cell r="CC113" t="str">
            <v>BANQUE</v>
          </cell>
          <cell r="CD113" t="str">
            <v>212-La Riviera</v>
          </cell>
          <cell r="CE113">
            <v>212</v>
          </cell>
        </row>
        <row r="114">
          <cell r="B114" t="str">
            <v>07117</v>
          </cell>
          <cell r="C114" t="str">
            <v>CIBANGU MUKUNA LAURENT</v>
          </cell>
          <cell r="D114" t="str">
            <v>In-Room Dining</v>
          </cell>
          <cell r="E114" t="str">
            <v>00018000360001074120083</v>
          </cell>
          <cell r="F114" t="str">
            <v>107538911260J</v>
          </cell>
          <cell r="G114" t="str">
            <v>Order taker/Cashier</v>
          </cell>
          <cell r="H114">
            <v>5.8</v>
          </cell>
          <cell r="I114">
            <v>6.65</v>
          </cell>
          <cell r="J114">
            <v>6.65</v>
          </cell>
          <cell r="K114" t="str">
            <v>TSP0-3.II</v>
          </cell>
          <cell r="L114" t="str">
            <v>TRAVAILLEUR SPECIALISE</v>
          </cell>
          <cell r="M114" t="str">
            <v>CATEGORIE 1 A 5</v>
          </cell>
          <cell r="N114" t="str">
            <v>TRAVAILLEUR SPECIALISE (TS), Echellon 0 , Classe 3</v>
          </cell>
          <cell r="P114">
            <v>42345</v>
          </cell>
          <cell r="Q114" t="e">
            <v>#N/A</v>
          </cell>
          <cell r="R114" t="e">
            <v>#N/A</v>
          </cell>
          <cell r="S114" t="e">
            <v>#N/A</v>
          </cell>
          <cell r="T114" t="e">
            <v>#N/A</v>
          </cell>
          <cell r="U114" t="e">
            <v>#N/A</v>
          </cell>
          <cell r="V114" t="e">
            <v>#N/A</v>
          </cell>
          <cell r="W114" t="e">
            <v>#N/A</v>
          </cell>
          <cell r="X114" t="e">
            <v>#N/A</v>
          </cell>
          <cell r="Y114" t="e">
            <v>#N/A</v>
          </cell>
          <cell r="Z114" t="e">
            <v>#N/A</v>
          </cell>
          <cell r="AA114" t="e">
            <v>#N/A</v>
          </cell>
          <cell r="AB114" t="e">
            <v>#N/A</v>
          </cell>
          <cell r="AC114" t="e">
            <v>#N/A</v>
          </cell>
          <cell r="AE114">
            <v>172.9</v>
          </cell>
          <cell r="AF114" t="e">
            <v>#N/A</v>
          </cell>
          <cell r="AG114" t="e">
            <v>#N/A</v>
          </cell>
          <cell r="AH114" t="e">
            <v>#N/A</v>
          </cell>
          <cell r="AI114" t="e">
            <v>#N/A</v>
          </cell>
          <cell r="AJ114" t="e">
            <v>#N/A</v>
          </cell>
          <cell r="AK114" t="e">
            <v>#N/A</v>
          </cell>
          <cell r="AL114" t="e">
            <v>#N/A</v>
          </cell>
          <cell r="AM114" t="e">
            <v>#N/A</v>
          </cell>
          <cell r="AN114">
            <v>0</v>
          </cell>
          <cell r="AO114">
            <v>30</v>
          </cell>
          <cell r="AR114" t="e">
            <v>#N/A</v>
          </cell>
          <cell r="AS114">
            <v>60</v>
          </cell>
          <cell r="AT114" t="e">
            <v>#N/A</v>
          </cell>
          <cell r="AU114">
            <v>27.1</v>
          </cell>
          <cell r="AV114">
            <v>0</v>
          </cell>
          <cell r="AX114">
            <v>0</v>
          </cell>
          <cell r="AY114" t="e">
            <v>#N/A</v>
          </cell>
          <cell r="BA114">
            <v>1.6399999999999899</v>
          </cell>
          <cell r="BB114" t="e">
            <v>#N/A</v>
          </cell>
          <cell r="BC114">
            <v>0</v>
          </cell>
          <cell r="BD114" t="e">
            <v>#N/A</v>
          </cell>
          <cell r="BE114" t="e">
            <v>#N/A</v>
          </cell>
          <cell r="BF114" t="e">
            <v>#N/A</v>
          </cell>
          <cell r="BL114">
            <v>0</v>
          </cell>
          <cell r="BM114" t="e">
            <v>#N/A</v>
          </cell>
          <cell r="BN114" t="e">
            <v>#N/A</v>
          </cell>
          <cell r="BO114" t="e">
            <v>#N/A</v>
          </cell>
          <cell r="BP114" t="e">
            <v>#N/A</v>
          </cell>
          <cell r="BQ114" t="e">
            <v>#N/A</v>
          </cell>
          <cell r="BR114">
            <v>-0.38784232365145227</v>
          </cell>
          <cell r="BT114">
            <v>-0.38784232365145227</v>
          </cell>
          <cell r="BU114" t="e">
            <v>#N/A</v>
          </cell>
          <cell r="BV114" t="e">
            <v>#N/A</v>
          </cell>
          <cell r="BW114" t="e">
            <v>#N/A</v>
          </cell>
          <cell r="BX114" t="e">
            <v>#N/A</v>
          </cell>
          <cell r="BY114" t="e">
            <v>#N/A</v>
          </cell>
          <cell r="BZ114" t="str">
            <v>CDI</v>
          </cell>
          <cell r="CA114" t="str">
            <v/>
          </cell>
          <cell r="CB114" t="str">
            <v/>
          </cell>
          <cell r="CC114" t="str">
            <v>BANQUE</v>
          </cell>
          <cell r="CD114" t="str">
            <v>260-In-Room Dining</v>
          </cell>
          <cell r="CE114">
            <v>260</v>
          </cell>
        </row>
        <row r="115">
          <cell r="B115" t="str">
            <v>07131</v>
          </cell>
          <cell r="C115" t="str">
            <v>NSUMBU MABETI MICHEL</v>
          </cell>
          <cell r="D115" t="str">
            <v>Lobby Bar</v>
          </cell>
          <cell r="E115" t="str">
            <v>00018000360001203120092</v>
          </cell>
          <cell r="F115" t="str">
            <v>108338205230D</v>
          </cell>
          <cell r="G115" t="str">
            <v>Bartender</v>
          </cell>
          <cell r="H115">
            <v>5.8</v>
          </cell>
          <cell r="I115">
            <v>6.65</v>
          </cell>
          <cell r="J115">
            <v>6.65</v>
          </cell>
          <cell r="K115" t="str">
            <v>TSP0-3.II</v>
          </cell>
          <cell r="L115" t="str">
            <v>TRAVAILLEUR SPECIALISE</v>
          </cell>
          <cell r="M115" t="str">
            <v>CATEGORIE 1 A 5</v>
          </cell>
          <cell r="N115" t="str">
            <v>TRAVAILLEUR SPECIALISE (TS), Echellon 0 , Classe 3</v>
          </cell>
          <cell r="P115">
            <v>42443</v>
          </cell>
          <cell r="Q115" t="e">
            <v>#N/A</v>
          </cell>
          <cell r="R115" t="e">
            <v>#N/A</v>
          </cell>
          <cell r="S115" t="e">
            <v>#N/A</v>
          </cell>
          <cell r="T115" t="e">
            <v>#N/A</v>
          </cell>
          <cell r="U115" t="e">
            <v>#N/A</v>
          </cell>
          <cell r="V115" t="e">
            <v>#N/A</v>
          </cell>
          <cell r="W115" t="e">
            <v>#N/A</v>
          </cell>
          <cell r="X115" t="e">
            <v>#N/A</v>
          </cell>
          <cell r="Y115" t="e">
            <v>#N/A</v>
          </cell>
          <cell r="Z115" t="e">
            <v>#N/A</v>
          </cell>
          <cell r="AA115" t="e">
            <v>#N/A</v>
          </cell>
          <cell r="AB115" t="e">
            <v>#N/A</v>
          </cell>
          <cell r="AC115" t="e">
            <v>#N/A</v>
          </cell>
          <cell r="AE115">
            <v>172.9</v>
          </cell>
          <cell r="AF115" t="e">
            <v>#N/A</v>
          </cell>
          <cell r="AG115" t="e">
            <v>#N/A</v>
          </cell>
          <cell r="AH115" t="e">
            <v>#N/A</v>
          </cell>
          <cell r="AI115" t="e">
            <v>#N/A</v>
          </cell>
          <cell r="AJ115" t="e">
            <v>#N/A</v>
          </cell>
          <cell r="AK115" t="e">
            <v>#N/A</v>
          </cell>
          <cell r="AL115" t="e">
            <v>#N/A</v>
          </cell>
          <cell r="AM115" t="e">
            <v>#N/A</v>
          </cell>
          <cell r="AN115">
            <v>0</v>
          </cell>
          <cell r="AO115">
            <v>30</v>
          </cell>
          <cell r="AR115" t="e">
            <v>#N/A</v>
          </cell>
          <cell r="AS115">
            <v>60</v>
          </cell>
          <cell r="AT115" t="e">
            <v>#N/A</v>
          </cell>
          <cell r="AU115">
            <v>27.1</v>
          </cell>
          <cell r="AV115">
            <v>1</v>
          </cell>
          <cell r="AX115">
            <v>0</v>
          </cell>
          <cell r="AY115" t="e">
            <v>#N/A</v>
          </cell>
          <cell r="BA115">
            <v>1.24000000000001</v>
          </cell>
          <cell r="BB115" t="e">
            <v>#N/A</v>
          </cell>
          <cell r="BC115">
            <v>0</v>
          </cell>
          <cell r="BD115" t="e">
            <v>#N/A</v>
          </cell>
          <cell r="BE115" t="e">
            <v>#N/A</v>
          </cell>
          <cell r="BF115" t="e">
            <v>#N/A</v>
          </cell>
          <cell r="BL115">
            <v>0</v>
          </cell>
          <cell r="BM115" t="e">
            <v>#N/A</v>
          </cell>
          <cell r="BN115" t="e">
            <v>#N/A</v>
          </cell>
          <cell r="BO115" t="e">
            <v>#N/A</v>
          </cell>
          <cell r="BP115" t="e">
            <v>#N/A</v>
          </cell>
          <cell r="BQ115" t="e">
            <v>#N/A</v>
          </cell>
          <cell r="BR115">
            <v>-0.38784232365145227</v>
          </cell>
          <cell r="BT115">
            <v>-0.38784232365145227</v>
          </cell>
          <cell r="BU115" t="e">
            <v>#N/A</v>
          </cell>
          <cell r="BV115" t="e">
            <v>#N/A</v>
          </cell>
          <cell r="BW115" t="e">
            <v>#N/A</v>
          </cell>
          <cell r="BX115" t="e">
            <v>#N/A</v>
          </cell>
          <cell r="BY115" t="e">
            <v>#N/A</v>
          </cell>
          <cell r="BZ115" t="str">
            <v>CDI</v>
          </cell>
          <cell r="CA115" t="str">
            <v/>
          </cell>
          <cell r="CB115" t="str">
            <v/>
          </cell>
          <cell r="CC115" t="str">
            <v>BANQUE</v>
          </cell>
          <cell r="CD115" t="str">
            <v>215-Lobby Bar</v>
          </cell>
          <cell r="CE115">
            <v>215</v>
          </cell>
        </row>
        <row r="116">
          <cell r="B116" t="str">
            <v>05039</v>
          </cell>
          <cell r="C116" t="str">
            <v>MUNIRA MUANA CARINE</v>
          </cell>
          <cell r="D116" t="str">
            <v>La Riviera</v>
          </cell>
          <cell r="E116" t="str">
            <v>00018000360107389120002</v>
          </cell>
          <cell r="F116" t="str">
            <v>209538304010V</v>
          </cell>
          <cell r="G116" t="str">
            <v>F&amp;B Controller</v>
          </cell>
          <cell r="H116">
            <v>13.7</v>
          </cell>
          <cell r="I116">
            <v>15.85</v>
          </cell>
          <cell r="J116">
            <v>15.850000000000001</v>
          </cell>
          <cell r="K116" t="str">
            <v>THQ0-9.V</v>
          </cell>
          <cell r="L116" t="str">
            <v>TRAVAILLEUR HAUTEMENT QUALIFIE</v>
          </cell>
          <cell r="M116" t="str">
            <v>CATEGORIE 1 A 5</v>
          </cell>
          <cell r="N116" t="str">
            <v>TRAVAILLEUR HAUTEMENT QUALIFIE (THQ), Echellon 0, Classe 9</v>
          </cell>
          <cell r="P116">
            <v>41153</v>
          </cell>
          <cell r="Q116" t="e">
            <v>#N/A</v>
          </cell>
          <cell r="R116" t="e">
            <v>#N/A</v>
          </cell>
          <cell r="S116" t="e">
            <v>#N/A</v>
          </cell>
          <cell r="T116" t="e">
            <v>#N/A</v>
          </cell>
          <cell r="U116" t="e">
            <v>#N/A</v>
          </cell>
          <cell r="V116" t="e">
            <v>#N/A</v>
          </cell>
          <cell r="W116" t="e">
            <v>#N/A</v>
          </cell>
          <cell r="X116" t="e">
            <v>#N/A</v>
          </cell>
          <cell r="Y116" t="e">
            <v>#N/A</v>
          </cell>
          <cell r="Z116" t="e">
            <v>#N/A</v>
          </cell>
          <cell r="AA116" t="e">
            <v>#N/A</v>
          </cell>
          <cell r="AB116" t="e">
            <v>#N/A</v>
          </cell>
          <cell r="AC116" t="e">
            <v>#N/A</v>
          </cell>
          <cell r="AE116">
            <v>412.1</v>
          </cell>
          <cell r="AF116" t="e">
            <v>#N/A</v>
          </cell>
          <cell r="AG116" t="e">
            <v>#N/A</v>
          </cell>
          <cell r="AH116" t="e">
            <v>#N/A</v>
          </cell>
          <cell r="AI116" t="e">
            <v>#N/A</v>
          </cell>
          <cell r="AJ116" t="e">
            <v>#N/A</v>
          </cell>
          <cell r="AK116" t="e">
            <v>#N/A</v>
          </cell>
          <cell r="AL116" t="e">
            <v>#N/A</v>
          </cell>
          <cell r="AM116" t="e">
            <v>#N/A</v>
          </cell>
          <cell r="AN116">
            <v>0</v>
          </cell>
          <cell r="AO116">
            <v>30</v>
          </cell>
          <cell r="AR116" t="e">
            <v>#N/A</v>
          </cell>
          <cell r="AS116">
            <v>129.71</v>
          </cell>
          <cell r="AT116" t="e">
            <v>#N/A</v>
          </cell>
          <cell r="AU116">
            <v>65.81</v>
          </cell>
          <cell r="AV116">
            <v>3</v>
          </cell>
          <cell r="AX116">
            <v>0</v>
          </cell>
          <cell r="AY116" t="e">
            <v>#N/A</v>
          </cell>
          <cell r="AZ116">
            <v>100</v>
          </cell>
          <cell r="BA116">
            <v>4.7899999999999601</v>
          </cell>
          <cell r="BB116" t="e">
            <v>#N/A</v>
          </cell>
          <cell r="BC116">
            <v>0</v>
          </cell>
          <cell r="BD116" t="e">
            <v>#N/A</v>
          </cell>
          <cell r="BE116" t="e">
            <v>#N/A</v>
          </cell>
          <cell r="BF116" t="e">
            <v>#N/A</v>
          </cell>
          <cell r="BL116">
            <v>0</v>
          </cell>
          <cell r="BM116" t="e">
            <v>#N/A</v>
          </cell>
          <cell r="BN116" t="e">
            <v>#N/A</v>
          </cell>
          <cell r="BO116" t="e">
            <v>#N/A</v>
          </cell>
          <cell r="BP116" t="e">
            <v>#N/A</v>
          </cell>
          <cell r="BQ116" t="e">
            <v>#N/A</v>
          </cell>
          <cell r="BR116">
            <v>-0.38784232365145227</v>
          </cell>
          <cell r="BT116">
            <v>-0.38784232365145227</v>
          </cell>
          <cell r="BU116" t="e">
            <v>#N/A</v>
          </cell>
          <cell r="BV116" t="e">
            <v>#N/A</v>
          </cell>
          <cell r="BW116" t="e">
            <v>#N/A</v>
          </cell>
          <cell r="BX116" t="e">
            <v>#N/A</v>
          </cell>
          <cell r="BY116" t="e">
            <v>#N/A</v>
          </cell>
          <cell r="BZ116" t="str">
            <v>CDI</v>
          </cell>
          <cell r="CA116" t="str">
            <v/>
          </cell>
          <cell r="CB116" t="str">
            <v/>
          </cell>
          <cell r="CC116" t="str">
            <v>BANQUE</v>
          </cell>
          <cell r="CD116" t="str">
            <v>212-La Riviera</v>
          </cell>
          <cell r="CE116">
            <v>212</v>
          </cell>
        </row>
        <row r="117">
          <cell r="B117" t="str">
            <v>05051</v>
          </cell>
          <cell r="C117" t="str">
            <v>IKOSE BAMENGA MAMIE</v>
          </cell>
          <cell r="D117" t="str">
            <v>La Riviera</v>
          </cell>
          <cell r="E117" t="str">
            <v>00018000360001092120179</v>
          </cell>
          <cell r="F117" t="str">
            <v>207438405200P</v>
          </cell>
          <cell r="G117" t="str">
            <v>F&amp;B Controller</v>
          </cell>
          <cell r="H117">
            <v>13.7</v>
          </cell>
          <cell r="I117">
            <v>15.85</v>
          </cell>
          <cell r="J117">
            <v>15.850000000000001</v>
          </cell>
          <cell r="K117" t="str">
            <v>THQ0-9.V</v>
          </cell>
          <cell r="L117" t="str">
            <v>TRAVAILLEUR HAUTEMENT QUALIFIE</v>
          </cell>
          <cell r="M117" t="str">
            <v>CATEGORIE 1 A 5</v>
          </cell>
          <cell r="N117" t="str">
            <v>TRAVAILLEUR HAUTEMENT QUALIFIE (THQ), Echellon 0, Classe 9</v>
          </cell>
          <cell r="P117">
            <v>41153</v>
          </cell>
          <cell r="Q117" t="e">
            <v>#N/A</v>
          </cell>
          <cell r="R117" t="e">
            <v>#N/A</v>
          </cell>
          <cell r="S117" t="e">
            <v>#N/A</v>
          </cell>
          <cell r="T117" t="e">
            <v>#N/A</v>
          </cell>
          <cell r="U117" t="e">
            <v>#N/A</v>
          </cell>
          <cell r="V117" t="e">
            <v>#N/A</v>
          </cell>
          <cell r="W117" t="e">
            <v>#N/A</v>
          </cell>
          <cell r="X117" t="e">
            <v>#N/A</v>
          </cell>
          <cell r="Y117" t="e">
            <v>#N/A</v>
          </cell>
          <cell r="Z117" t="e">
            <v>#N/A</v>
          </cell>
          <cell r="AA117" t="e">
            <v>#N/A</v>
          </cell>
          <cell r="AB117" t="e">
            <v>#N/A</v>
          </cell>
          <cell r="AC117" t="e">
            <v>#N/A</v>
          </cell>
          <cell r="AE117">
            <v>412.1</v>
          </cell>
          <cell r="AF117" t="e">
            <v>#N/A</v>
          </cell>
          <cell r="AG117" t="e">
            <v>#N/A</v>
          </cell>
          <cell r="AH117" t="e">
            <v>#N/A</v>
          </cell>
          <cell r="AI117" t="e">
            <v>#N/A</v>
          </cell>
          <cell r="AJ117" t="e">
            <v>#N/A</v>
          </cell>
          <cell r="AK117" t="e">
            <v>#N/A</v>
          </cell>
          <cell r="AL117" t="e">
            <v>#N/A</v>
          </cell>
          <cell r="AM117" t="e">
            <v>#N/A</v>
          </cell>
          <cell r="AN117">
            <v>0</v>
          </cell>
          <cell r="AO117">
            <v>30</v>
          </cell>
          <cell r="AR117" t="e">
            <v>#N/A</v>
          </cell>
          <cell r="AS117">
            <v>65</v>
          </cell>
          <cell r="AT117" t="e">
            <v>#N/A</v>
          </cell>
          <cell r="AU117">
            <v>52.15</v>
          </cell>
          <cell r="AV117">
            <v>2</v>
          </cell>
          <cell r="AX117">
            <v>0</v>
          </cell>
          <cell r="AY117" t="e">
            <v>#N/A</v>
          </cell>
          <cell r="AZ117">
            <v>100</v>
          </cell>
          <cell r="BA117">
            <v>8.6800000000000104</v>
          </cell>
          <cell r="BB117" t="e">
            <v>#N/A</v>
          </cell>
          <cell r="BC117">
            <v>0</v>
          </cell>
          <cell r="BD117" t="e">
            <v>#N/A</v>
          </cell>
          <cell r="BE117" t="e">
            <v>#N/A</v>
          </cell>
          <cell r="BF117" t="e">
            <v>#N/A</v>
          </cell>
          <cell r="BG117">
            <v>100</v>
          </cell>
          <cell r="BL117">
            <v>100</v>
          </cell>
          <cell r="BM117" t="e">
            <v>#N/A</v>
          </cell>
          <cell r="BN117" t="e">
            <v>#N/A</v>
          </cell>
          <cell r="BO117" t="e">
            <v>#N/A</v>
          </cell>
          <cell r="BP117" t="e">
            <v>#N/A</v>
          </cell>
          <cell r="BQ117" t="e">
            <v>#N/A</v>
          </cell>
          <cell r="BR117">
            <v>-0.38784232365145227</v>
          </cell>
          <cell r="BT117">
            <v>-0.38784232365145227</v>
          </cell>
          <cell r="BU117" t="e">
            <v>#N/A</v>
          </cell>
          <cell r="BV117" t="e">
            <v>#N/A</v>
          </cell>
          <cell r="BW117" t="e">
            <v>#N/A</v>
          </cell>
          <cell r="BX117" t="e">
            <v>#N/A</v>
          </cell>
          <cell r="BY117" t="e">
            <v>#N/A</v>
          </cell>
          <cell r="BZ117" t="str">
            <v>CDI</v>
          </cell>
          <cell r="CA117" t="str">
            <v/>
          </cell>
          <cell r="CB117" t="str">
            <v/>
          </cell>
          <cell r="CC117" t="str">
            <v>BANQUE</v>
          </cell>
          <cell r="CD117" t="str">
            <v>212-La Riviera</v>
          </cell>
          <cell r="CE117">
            <v>212</v>
          </cell>
        </row>
        <row r="118">
          <cell r="B118" t="str">
            <v>04096</v>
          </cell>
          <cell r="C118" t="str">
            <v>MATAMPILA MVULA PATHY</v>
          </cell>
          <cell r="D118" t="str">
            <v>Pool / Beach / Fitness Centre</v>
          </cell>
          <cell r="E118" t="str">
            <v>00018000360119972120052</v>
          </cell>
          <cell r="F118" t="str">
            <v>109428103140S</v>
          </cell>
          <cell r="G118" t="str">
            <v>Gym Supervisor</v>
          </cell>
          <cell r="H118">
            <v>8.9</v>
          </cell>
          <cell r="I118">
            <v>10.3</v>
          </cell>
          <cell r="J118">
            <v>10.3</v>
          </cell>
          <cell r="K118" t="str">
            <v>TSQ3-6.III</v>
          </cell>
          <cell r="L118" t="str">
            <v>TRAVAILLEUR SEMI QUALIFIE</v>
          </cell>
          <cell r="M118" t="str">
            <v>CATEGORIE 1 A 5</v>
          </cell>
          <cell r="N118" t="str">
            <v>TRAVAILLEUR SEMI QUALIFIE (TSQ), Echellon 3, Classe 6</v>
          </cell>
          <cell r="P118">
            <v>41153</v>
          </cell>
          <cell r="Q118" t="e">
            <v>#N/A</v>
          </cell>
          <cell r="R118" t="e">
            <v>#N/A</v>
          </cell>
          <cell r="S118" t="e">
            <v>#N/A</v>
          </cell>
          <cell r="T118" t="e">
            <v>#N/A</v>
          </cell>
          <cell r="U118" t="e">
            <v>#N/A</v>
          </cell>
          <cell r="V118" t="e">
            <v>#N/A</v>
          </cell>
          <cell r="W118" t="e">
            <v>#N/A</v>
          </cell>
          <cell r="X118" t="e">
            <v>#N/A</v>
          </cell>
          <cell r="Y118" t="e">
            <v>#N/A</v>
          </cell>
          <cell r="Z118" t="e">
            <v>#N/A</v>
          </cell>
          <cell r="AA118" t="e">
            <v>#N/A</v>
          </cell>
          <cell r="AB118" t="e">
            <v>#N/A</v>
          </cell>
          <cell r="AC118" t="e">
            <v>#N/A</v>
          </cell>
          <cell r="AE118">
            <v>267.8</v>
          </cell>
          <cell r="AF118" t="e">
            <v>#N/A</v>
          </cell>
          <cell r="AG118" t="e">
            <v>#N/A</v>
          </cell>
          <cell r="AH118" t="e">
            <v>#N/A</v>
          </cell>
          <cell r="AI118" t="e">
            <v>#N/A</v>
          </cell>
          <cell r="AJ118" t="e">
            <v>#N/A</v>
          </cell>
          <cell r="AK118" t="e">
            <v>#N/A</v>
          </cell>
          <cell r="AL118" t="e">
            <v>#N/A</v>
          </cell>
          <cell r="AM118" t="e">
            <v>#N/A</v>
          </cell>
          <cell r="AN118">
            <v>0</v>
          </cell>
          <cell r="AR118" t="e">
            <v>#N/A</v>
          </cell>
          <cell r="AS118">
            <v>75</v>
          </cell>
          <cell r="AT118" t="e">
            <v>#N/A</v>
          </cell>
          <cell r="AU118">
            <v>52.2</v>
          </cell>
          <cell r="AV118">
            <v>2</v>
          </cell>
          <cell r="AX118">
            <v>0</v>
          </cell>
          <cell r="AY118" t="e">
            <v>#N/A</v>
          </cell>
          <cell r="BA118">
            <v>2.2200000000000299</v>
          </cell>
          <cell r="BB118" t="e">
            <v>#N/A</v>
          </cell>
          <cell r="BC118">
            <v>0</v>
          </cell>
          <cell r="BD118" t="e">
            <v>#N/A</v>
          </cell>
          <cell r="BE118" t="e">
            <v>#N/A</v>
          </cell>
          <cell r="BF118" t="e">
            <v>#N/A</v>
          </cell>
          <cell r="BL118">
            <v>0</v>
          </cell>
          <cell r="BM118" t="e">
            <v>#N/A</v>
          </cell>
          <cell r="BN118" t="e">
            <v>#N/A</v>
          </cell>
          <cell r="BO118" t="e">
            <v>#N/A</v>
          </cell>
          <cell r="BP118" t="e">
            <v>#N/A</v>
          </cell>
          <cell r="BQ118" t="e">
            <v>#N/A</v>
          </cell>
          <cell r="BR118">
            <v>-0.38784232365145227</v>
          </cell>
          <cell r="BT118">
            <v>-0.38784232365145227</v>
          </cell>
          <cell r="BU118" t="e">
            <v>#N/A</v>
          </cell>
          <cell r="BV118" t="e">
            <v>#N/A</v>
          </cell>
          <cell r="BW118" t="e">
            <v>#N/A</v>
          </cell>
          <cell r="BX118" t="e">
            <v>#N/A</v>
          </cell>
          <cell r="BY118" t="e">
            <v>#N/A</v>
          </cell>
          <cell r="BZ118" t="str">
            <v>CDI</v>
          </cell>
          <cell r="CA118" t="str">
            <v/>
          </cell>
          <cell r="CB118" t="str">
            <v/>
          </cell>
          <cell r="CC118" t="str">
            <v>BANQUE</v>
          </cell>
          <cell r="CD118" t="str">
            <v>443-Pool / Beach / Fitness Centre</v>
          </cell>
          <cell r="CE118">
            <v>443</v>
          </cell>
        </row>
        <row r="119">
          <cell r="B119" t="str">
            <v>04109</v>
          </cell>
          <cell r="C119" t="str">
            <v>MASSY PANZAKA CEDRICK</v>
          </cell>
          <cell r="D119" t="str">
            <v>Pool / Beach / Fitness Centre</v>
          </cell>
          <cell r="E119" t="str">
            <v>00018000360001155120030</v>
          </cell>
          <cell r="F119" t="str">
            <v>103358712180H</v>
          </cell>
          <cell r="G119" t="str">
            <v>Lifeguard</v>
          </cell>
          <cell r="H119">
            <v>7.7</v>
          </cell>
          <cell r="I119">
            <v>8.9</v>
          </cell>
          <cell r="J119">
            <v>8.9</v>
          </cell>
          <cell r="K119" t="str">
            <v>TSQ2-5.III</v>
          </cell>
          <cell r="L119" t="str">
            <v>TRAVAILLEUR SEMI QUALIFIE</v>
          </cell>
          <cell r="M119" t="str">
            <v>CATEGORIE 1 A 5</v>
          </cell>
          <cell r="N119" t="str">
            <v>TRAVAILLEUR SEMI QUALIFIE (TSQ), Echellon 2, Classe 5</v>
          </cell>
          <cell r="P119">
            <v>41153</v>
          </cell>
          <cell r="Q119" t="e">
            <v>#N/A</v>
          </cell>
          <cell r="R119" t="e">
            <v>#N/A</v>
          </cell>
          <cell r="S119" t="e">
            <v>#N/A</v>
          </cell>
          <cell r="T119" t="e">
            <v>#N/A</v>
          </cell>
          <cell r="U119" t="e">
            <v>#N/A</v>
          </cell>
          <cell r="V119" t="e">
            <v>#N/A</v>
          </cell>
          <cell r="W119" t="e">
            <v>#N/A</v>
          </cell>
          <cell r="X119" t="e">
            <v>#N/A</v>
          </cell>
          <cell r="Y119" t="e">
            <v>#N/A</v>
          </cell>
          <cell r="Z119" t="e">
            <v>#N/A</v>
          </cell>
          <cell r="AA119" t="e">
            <v>#N/A</v>
          </cell>
          <cell r="AB119" t="e">
            <v>#N/A</v>
          </cell>
          <cell r="AC119" t="e">
            <v>#N/A</v>
          </cell>
          <cell r="AE119">
            <v>231.4</v>
          </cell>
          <cell r="AF119" t="e">
            <v>#N/A</v>
          </cell>
          <cell r="AG119" t="e">
            <v>#N/A</v>
          </cell>
          <cell r="AH119" t="e">
            <v>#N/A</v>
          </cell>
          <cell r="AI119" t="e">
            <v>#N/A</v>
          </cell>
          <cell r="AJ119" t="e">
            <v>#N/A</v>
          </cell>
          <cell r="AK119" t="e">
            <v>#N/A</v>
          </cell>
          <cell r="AL119" t="e">
            <v>#N/A</v>
          </cell>
          <cell r="AM119" t="e">
            <v>#N/A</v>
          </cell>
          <cell r="AN119">
            <v>0</v>
          </cell>
          <cell r="AR119" t="e">
            <v>#N/A</v>
          </cell>
          <cell r="AS119">
            <v>75</v>
          </cell>
          <cell r="AT119" t="e">
            <v>#N/A</v>
          </cell>
          <cell r="AU119">
            <v>48.1</v>
          </cell>
          <cell r="AV119">
            <v>2</v>
          </cell>
          <cell r="AX119">
            <v>0</v>
          </cell>
          <cell r="AY119" t="e">
            <v>#N/A</v>
          </cell>
          <cell r="BA119">
            <v>3.1099999999999599</v>
          </cell>
          <cell r="BB119" t="e">
            <v>#N/A</v>
          </cell>
          <cell r="BC119">
            <v>0</v>
          </cell>
          <cell r="BD119" t="e">
            <v>#N/A</v>
          </cell>
          <cell r="BE119" t="e">
            <v>#N/A</v>
          </cell>
          <cell r="BF119" t="e">
            <v>#N/A</v>
          </cell>
          <cell r="BL119">
            <v>0</v>
          </cell>
          <cell r="BM119" t="e">
            <v>#N/A</v>
          </cell>
          <cell r="BN119" t="e">
            <v>#N/A</v>
          </cell>
          <cell r="BO119" t="e">
            <v>#N/A</v>
          </cell>
          <cell r="BP119" t="e">
            <v>#N/A</v>
          </cell>
          <cell r="BQ119" t="e">
            <v>#N/A</v>
          </cell>
          <cell r="BR119">
            <v>-0.38784232365145227</v>
          </cell>
          <cell r="BT119">
            <v>-0.38784232365145227</v>
          </cell>
          <cell r="BU119" t="e">
            <v>#N/A</v>
          </cell>
          <cell r="BV119" t="e">
            <v>#N/A</v>
          </cell>
          <cell r="BW119" t="e">
            <v>#N/A</v>
          </cell>
          <cell r="BX119" t="e">
            <v>#N/A</v>
          </cell>
          <cell r="BY119" t="e">
            <v>#N/A</v>
          </cell>
          <cell r="BZ119" t="str">
            <v>CDI</v>
          </cell>
          <cell r="CA119" t="str">
            <v/>
          </cell>
          <cell r="CB119" t="str">
            <v/>
          </cell>
          <cell r="CC119" t="str">
            <v>BANQUE</v>
          </cell>
          <cell r="CD119" t="str">
            <v>443-Pool / Beach / Fitness Centre</v>
          </cell>
          <cell r="CE119">
            <v>443</v>
          </cell>
        </row>
        <row r="120">
          <cell r="B120" t="str">
            <v>04118</v>
          </cell>
          <cell r="C120" t="str">
            <v>LUBAKI BABELA JACQUES</v>
          </cell>
          <cell r="D120" t="str">
            <v>Pool / Beach / Fitness Centre</v>
          </cell>
          <cell r="E120" t="str">
            <v>00018000360001142120090</v>
          </cell>
          <cell r="F120" t="str">
            <v>108427610220O</v>
          </cell>
          <cell r="G120" t="str">
            <v>Gym Instructor</v>
          </cell>
          <cell r="H120">
            <v>7.7</v>
          </cell>
          <cell r="I120">
            <v>8.9</v>
          </cell>
          <cell r="J120">
            <v>8.9</v>
          </cell>
          <cell r="K120" t="str">
            <v>TSQ2-5.III</v>
          </cell>
          <cell r="L120" t="str">
            <v>TRAVAILLEUR SEMI QUALIFIE</v>
          </cell>
          <cell r="M120" t="str">
            <v>CATEGORIE 1 A 5</v>
          </cell>
          <cell r="N120" t="str">
            <v>TRAVAILLEUR SEMI QUALIFIE (TSQ), Echellon 2, Classe 5</v>
          </cell>
          <cell r="P120">
            <v>41153</v>
          </cell>
          <cell r="Q120" t="e">
            <v>#N/A</v>
          </cell>
          <cell r="R120" t="e">
            <v>#N/A</v>
          </cell>
          <cell r="S120" t="e">
            <v>#N/A</v>
          </cell>
          <cell r="T120" t="e">
            <v>#N/A</v>
          </cell>
          <cell r="U120" t="e">
            <v>#N/A</v>
          </cell>
          <cell r="V120" t="e">
            <v>#N/A</v>
          </cell>
          <cell r="W120" t="e">
            <v>#N/A</v>
          </cell>
          <cell r="X120" t="e">
            <v>#N/A</v>
          </cell>
          <cell r="Y120" t="e">
            <v>#N/A</v>
          </cell>
          <cell r="Z120" t="e">
            <v>#N/A</v>
          </cell>
          <cell r="AA120" t="e">
            <v>#N/A</v>
          </cell>
          <cell r="AB120" t="e">
            <v>#N/A</v>
          </cell>
          <cell r="AC120" t="e">
            <v>#N/A</v>
          </cell>
          <cell r="AE120">
            <v>231.4</v>
          </cell>
          <cell r="AF120" t="e">
            <v>#N/A</v>
          </cell>
          <cell r="AG120" t="e">
            <v>#N/A</v>
          </cell>
          <cell r="AH120" t="e">
            <v>#N/A</v>
          </cell>
          <cell r="AI120" t="e">
            <v>#N/A</v>
          </cell>
          <cell r="AJ120" t="e">
            <v>#N/A</v>
          </cell>
          <cell r="AK120" t="e">
            <v>#N/A</v>
          </cell>
          <cell r="AL120" t="e">
            <v>#N/A</v>
          </cell>
          <cell r="AM120" t="e">
            <v>#N/A</v>
          </cell>
          <cell r="AN120">
            <v>0</v>
          </cell>
          <cell r="AR120" t="e">
            <v>#N/A</v>
          </cell>
          <cell r="AS120">
            <v>75</v>
          </cell>
          <cell r="AT120" t="e">
            <v>#N/A</v>
          </cell>
          <cell r="AU120">
            <v>48.1</v>
          </cell>
          <cell r="AV120">
            <v>3</v>
          </cell>
          <cell r="AX120">
            <v>0</v>
          </cell>
          <cell r="AY120" t="e">
            <v>#N/A</v>
          </cell>
          <cell r="BA120">
            <v>2.73000000000002</v>
          </cell>
          <cell r="BB120" t="e">
            <v>#N/A</v>
          </cell>
          <cell r="BC120">
            <v>0</v>
          </cell>
          <cell r="BD120" t="e">
            <v>#N/A</v>
          </cell>
          <cell r="BE120" t="e">
            <v>#N/A</v>
          </cell>
          <cell r="BF120" t="e">
            <v>#N/A</v>
          </cell>
          <cell r="BL120">
            <v>0</v>
          </cell>
          <cell r="BM120" t="e">
            <v>#N/A</v>
          </cell>
          <cell r="BN120" t="e">
            <v>#N/A</v>
          </cell>
          <cell r="BO120" t="e">
            <v>#N/A</v>
          </cell>
          <cell r="BP120" t="e">
            <v>#N/A</v>
          </cell>
          <cell r="BQ120" t="e">
            <v>#N/A</v>
          </cell>
          <cell r="BR120">
            <v>-0.38784232365145227</v>
          </cell>
          <cell r="BT120">
            <v>-0.38784232365145227</v>
          </cell>
          <cell r="BU120" t="e">
            <v>#N/A</v>
          </cell>
          <cell r="BV120" t="e">
            <v>#N/A</v>
          </cell>
          <cell r="BW120" t="e">
            <v>#N/A</v>
          </cell>
          <cell r="BX120" t="e">
            <v>#N/A</v>
          </cell>
          <cell r="BY120" t="e">
            <v>#N/A</v>
          </cell>
          <cell r="BZ120" t="str">
            <v>CDI</v>
          </cell>
          <cell r="CA120" t="str">
            <v/>
          </cell>
          <cell r="CB120" t="str">
            <v/>
          </cell>
          <cell r="CC120" t="str">
            <v>BANQUE</v>
          </cell>
          <cell r="CD120" t="str">
            <v>443-Pool / Beach / Fitness Centre</v>
          </cell>
          <cell r="CE120">
            <v>443</v>
          </cell>
        </row>
        <row r="121">
          <cell r="B121" t="str">
            <v>04239</v>
          </cell>
          <cell r="C121" t="str">
            <v>BAMA NSALAMBOTE HYPPOLITE</v>
          </cell>
          <cell r="D121" t="str">
            <v>Pool / Beach / Fitness Centre</v>
          </cell>
          <cell r="E121" t="str">
            <v>00018000360001056120084</v>
          </cell>
          <cell r="F121" t="str">
            <v>108516507230O</v>
          </cell>
          <cell r="G121" t="str">
            <v>Gym Supervisor</v>
          </cell>
          <cell r="H121">
            <v>8.9</v>
          </cell>
          <cell r="I121">
            <v>10.3</v>
          </cell>
          <cell r="J121">
            <v>10.3</v>
          </cell>
          <cell r="K121" t="str">
            <v>TSQ3-6.III</v>
          </cell>
          <cell r="L121" t="str">
            <v>TRAVAILLEUR SEMI QUALIFIE</v>
          </cell>
          <cell r="M121" t="str">
            <v>CATEGORIE 1 A 5</v>
          </cell>
          <cell r="N121" t="str">
            <v>TRAVAILLEUR SEMI QUALIFIE (TSQ), Echellon 3, Classe 6</v>
          </cell>
          <cell r="P121">
            <v>41754</v>
          </cell>
          <cell r="Q121" t="e">
            <v>#N/A</v>
          </cell>
          <cell r="R121" t="e">
            <v>#N/A</v>
          </cell>
          <cell r="S121" t="e">
            <v>#N/A</v>
          </cell>
          <cell r="T121" t="e">
            <v>#N/A</v>
          </cell>
          <cell r="U121" t="e">
            <v>#N/A</v>
          </cell>
          <cell r="V121" t="e">
            <v>#N/A</v>
          </cell>
          <cell r="W121" t="e">
            <v>#N/A</v>
          </cell>
          <cell r="X121" t="e">
            <v>#N/A</v>
          </cell>
          <cell r="Y121" t="e">
            <v>#N/A</v>
          </cell>
          <cell r="Z121" t="e">
            <v>#N/A</v>
          </cell>
          <cell r="AA121" t="e">
            <v>#N/A</v>
          </cell>
          <cell r="AB121" t="e">
            <v>#N/A</v>
          </cell>
          <cell r="AC121" t="e">
            <v>#N/A</v>
          </cell>
          <cell r="AE121">
            <v>267.8</v>
          </cell>
          <cell r="AF121" t="e">
            <v>#N/A</v>
          </cell>
          <cell r="AG121" t="e">
            <v>#N/A</v>
          </cell>
          <cell r="AH121" t="e">
            <v>#N/A</v>
          </cell>
          <cell r="AI121" t="e">
            <v>#N/A</v>
          </cell>
          <cell r="AJ121" t="e">
            <v>#N/A</v>
          </cell>
          <cell r="AK121" t="e">
            <v>#N/A</v>
          </cell>
          <cell r="AL121" t="e">
            <v>#N/A</v>
          </cell>
          <cell r="AM121" t="e">
            <v>#N/A</v>
          </cell>
          <cell r="AN121">
            <v>0</v>
          </cell>
          <cell r="AR121" t="e">
            <v>#N/A</v>
          </cell>
          <cell r="AS121">
            <v>75</v>
          </cell>
          <cell r="AT121" t="e">
            <v>#N/A</v>
          </cell>
          <cell r="AU121">
            <v>47.2</v>
          </cell>
          <cell r="AV121">
            <v>4</v>
          </cell>
          <cell r="AX121">
            <v>0</v>
          </cell>
          <cell r="AY121" t="e">
            <v>#N/A</v>
          </cell>
          <cell r="BA121">
            <v>2.1099999999999599</v>
          </cell>
          <cell r="BB121" t="e">
            <v>#N/A</v>
          </cell>
          <cell r="BC121">
            <v>0</v>
          </cell>
          <cell r="BD121" t="e">
            <v>#N/A</v>
          </cell>
          <cell r="BE121" t="e">
            <v>#N/A</v>
          </cell>
          <cell r="BF121" t="e">
            <v>#N/A</v>
          </cell>
          <cell r="BL121">
            <v>0</v>
          </cell>
          <cell r="BM121" t="e">
            <v>#N/A</v>
          </cell>
          <cell r="BN121" t="e">
            <v>#N/A</v>
          </cell>
          <cell r="BO121" t="e">
            <v>#N/A</v>
          </cell>
          <cell r="BP121" t="e">
            <v>#N/A</v>
          </cell>
          <cell r="BQ121" t="e">
            <v>#N/A</v>
          </cell>
          <cell r="BR121">
            <v>-0.38784232365145227</v>
          </cell>
          <cell r="BT121">
            <v>-0.38784232365145227</v>
          </cell>
          <cell r="BU121" t="e">
            <v>#N/A</v>
          </cell>
          <cell r="BV121" t="e">
            <v>#N/A</v>
          </cell>
          <cell r="BW121" t="e">
            <v>#N/A</v>
          </cell>
          <cell r="BX121" t="e">
            <v>#N/A</v>
          </cell>
          <cell r="BY121" t="e">
            <v>#N/A</v>
          </cell>
          <cell r="BZ121" t="str">
            <v>CDI</v>
          </cell>
          <cell r="CA121" t="str">
            <v/>
          </cell>
          <cell r="CB121" t="str">
            <v/>
          </cell>
          <cell r="CC121" t="str">
            <v>BANQUE</v>
          </cell>
          <cell r="CD121" t="str">
            <v>443-Pool / Beach / Fitness Centre</v>
          </cell>
          <cell r="CE121">
            <v>443</v>
          </cell>
        </row>
        <row r="122">
          <cell r="B122" t="str">
            <v>06010</v>
          </cell>
          <cell r="C122" t="str">
            <v>KUTUNA KUABANTU JONAS</v>
          </cell>
          <cell r="D122" t="str">
            <v>Property Operation and Maintenance</v>
          </cell>
          <cell r="E122" t="str">
            <v>00018000360115622120035</v>
          </cell>
          <cell r="F122" t="str">
            <v>108528402020S</v>
          </cell>
          <cell r="G122" t="str">
            <v>Room Maintener</v>
          </cell>
          <cell r="H122">
            <v>8.9</v>
          </cell>
          <cell r="I122">
            <v>10.3</v>
          </cell>
          <cell r="J122">
            <v>10.3</v>
          </cell>
          <cell r="K122" t="str">
            <v>TSQ3-6.III</v>
          </cell>
          <cell r="L122" t="str">
            <v>TRAVAILLEUR SEMI QUALIFIE</v>
          </cell>
          <cell r="M122" t="str">
            <v>CATEGORIE 1 A 5</v>
          </cell>
          <cell r="N122" t="str">
            <v>TRAVAILLEUR SEMI QUALIFIE (TSQ), Echellon 3, Classe 6</v>
          </cell>
          <cell r="P122">
            <v>41153</v>
          </cell>
          <cell r="Q122" t="e">
            <v>#N/A</v>
          </cell>
          <cell r="R122" t="e">
            <v>#N/A</v>
          </cell>
          <cell r="S122" t="e">
            <v>#N/A</v>
          </cell>
          <cell r="T122" t="e">
            <v>#N/A</v>
          </cell>
          <cell r="U122" t="e">
            <v>#N/A</v>
          </cell>
          <cell r="V122" t="e">
            <v>#N/A</v>
          </cell>
          <cell r="W122" t="e">
            <v>#N/A</v>
          </cell>
          <cell r="X122" t="e">
            <v>#N/A</v>
          </cell>
          <cell r="Y122" t="e">
            <v>#N/A</v>
          </cell>
          <cell r="Z122" t="e">
            <v>#N/A</v>
          </cell>
          <cell r="AA122" t="e">
            <v>#N/A</v>
          </cell>
          <cell r="AB122" t="e">
            <v>#N/A</v>
          </cell>
          <cell r="AC122" t="e">
            <v>#N/A</v>
          </cell>
          <cell r="AE122">
            <v>267.8</v>
          </cell>
          <cell r="AF122" t="e">
            <v>#N/A</v>
          </cell>
          <cell r="AG122" t="e">
            <v>#N/A</v>
          </cell>
          <cell r="AH122" t="e">
            <v>#N/A</v>
          </cell>
          <cell r="AI122" t="e">
            <v>#N/A</v>
          </cell>
          <cell r="AJ122" t="e">
            <v>#N/A</v>
          </cell>
          <cell r="AK122" t="e">
            <v>#N/A</v>
          </cell>
          <cell r="AL122" t="e">
            <v>#N/A</v>
          </cell>
          <cell r="AM122" t="e">
            <v>#N/A</v>
          </cell>
          <cell r="AN122">
            <v>0</v>
          </cell>
          <cell r="AR122" t="e">
            <v>#N/A</v>
          </cell>
          <cell r="AS122">
            <v>65.5</v>
          </cell>
          <cell r="AT122" t="e">
            <v>#N/A</v>
          </cell>
          <cell r="AU122">
            <v>50.7</v>
          </cell>
          <cell r="AV122">
            <v>1</v>
          </cell>
          <cell r="AX122">
            <v>0</v>
          </cell>
          <cell r="AY122" t="e">
            <v>#N/A</v>
          </cell>
          <cell r="BA122">
            <v>4.3299999999999796</v>
          </cell>
          <cell r="BB122" t="e">
            <v>#N/A</v>
          </cell>
          <cell r="BC122">
            <v>0</v>
          </cell>
          <cell r="BD122" t="e">
            <v>#N/A</v>
          </cell>
          <cell r="BE122" t="e">
            <v>#N/A</v>
          </cell>
          <cell r="BF122" t="e">
            <v>#N/A</v>
          </cell>
          <cell r="BL122">
            <v>0</v>
          </cell>
          <cell r="BM122" t="e">
            <v>#N/A</v>
          </cell>
          <cell r="BN122" t="e">
            <v>#N/A</v>
          </cell>
          <cell r="BO122" t="e">
            <v>#N/A</v>
          </cell>
          <cell r="BP122" t="e">
            <v>#N/A</v>
          </cell>
          <cell r="BQ122" t="e">
            <v>#N/A</v>
          </cell>
          <cell r="BR122">
            <v>-0.38784232365145227</v>
          </cell>
          <cell r="BT122">
            <v>-0.38784232365145227</v>
          </cell>
          <cell r="BU122" t="e">
            <v>#N/A</v>
          </cell>
          <cell r="BV122" t="e">
            <v>#N/A</v>
          </cell>
          <cell r="BW122" t="e">
            <v>#N/A</v>
          </cell>
          <cell r="BX122" t="e">
            <v>#N/A</v>
          </cell>
          <cell r="BY122" t="e">
            <v>#N/A</v>
          </cell>
          <cell r="BZ122" t="str">
            <v>CDI</v>
          </cell>
          <cell r="CA122" t="str">
            <v/>
          </cell>
          <cell r="CB122" t="str">
            <v/>
          </cell>
          <cell r="CC122" t="str">
            <v>BANQUE</v>
          </cell>
          <cell r="CD122" t="str">
            <v>810-Property Operation and Maintenance</v>
          </cell>
          <cell r="CE122">
            <v>810</v>
          </cell>
        </row>
        <row r="123">
          <cell r="B123" t="str">
            <v>06012</v>
          </cell>
          <cell r="C123" t="str">
            <v>NSIMBA MPASI LEON</v>
          </cell>
          <cell r="D123" t="str">
            <v>Property Operation and Maintenance</v>
          </cell>
          <cell r="E123" t="str">
            <v>00018000360001200120076</v>
          </cell>
          <cell r="F123" t="str">
            <v>108536905290E</v>
          </cell>
          <cell r="G123" t="str">
            <v>MECHANICIAN</v>
          </cell>
          <cell r="H123">
            <v>6.65</v>
          </cell>
          <cell r="I123">
            <v>7.7</v>
          </cell>
          <cell r="J123">
            <v>7.6999999999999993</v>
          </cell>
          <cell r="K123" t="str">
            <v>TSQ1-4.III</v>
          </cell>
          <cell r="L123" t="str">
            <v>TRAVAILLEUR SEMI QUALIFIE</v>
          </cell>
          <cell r="M123" t="str">
            <v>CATEGORIE 1 A 5</v>
          </cell>
          <cell r="N123" t="str">
            <v>TRAVAILLEUR SEMI QUALIFIE (TSQ), Echellon 1, Classe 4</v>
          </cell>
          <cell r="P123">
            <v>41153</v>
          </cell>
          <cell r="Q123" t="e">
            <v>#N/A</v>
          </cell>
          <cell r="R123" t="e">
            <v>#N/A</v>
          </cell>
          <cell r="S123" t="e">
            <v>#N/A</v>
          </cell>
          <cell r="T123" t="e">
            <v>#N/A</v>
          </cell>
          <cell r="U123" t="e">
            <v>#N/A</v>
          </cell>
          <cell r="V123" t="e">
            <v>#N/A</v>
          </cell>
          <cell r="W123" t="e">
            <v>#N/A</v>
          </cell>
          <cell r="X123" t="e">
            <v>#N/A</v>
          </cell>
          <cell r="Y123" t="e">
            <v>#N/A</v>
          </cell>
          <cell r="Z123" t="e">
            <v>#N/A</v>
          </cell>
          <cell r="AA123" t="e">
            <v>#N/A</v>
          </cell>
          <cell r="AB123" t="e">
            <v>#N/A</v>
          </cell>
          <cell r="AC123" t="e">
            <v>#N/A</v>
          </cell>
          <cell r="AE123">
            <v>200.2</v>
          </cell>
          <cell r="AF123" t="e">
            <v>#N/A</v>
          </cell>
          <cell r="AG123" t="e">
            <v>#N/A</v>
          </cell>
          <cell r="AH123" t="e">
            <v>#N/A</v>
          </cell>
          <cell r="AI123" t="e">
            <v>#N/A</v>
          </cell>
          <cell r="AJ123" t="e">
            <v>#N/A</v>
          </cell>
          <cell r="AK123" t="e">
            <v>#N/A</v>
          </cell>
          <cell r="AL123" t="e">
            <v>#N/A</v>
          </cell>
          <cell r="AM123" t="e">
            <v>#N/A</v>
          </cell>
          <cell r="AN123">
            <v>0</v>
          </cell>
          <cell r="AR123" t="e">
            <v>#N/A</v>
          </cell>
          <cell r="AS123">
            <v>60.8</v>
          </cell>
          <cell r="AT123" t="e">
            <v>#N/A</v>
          </cell>
          <cell r="AU123">
            <v>45.5</v>
          </cell>
          <cell r="AV123">
            <v>3</v>
          </cell>
          <cell r="AX123">
            <v>0</v>
          </cell>
          <cell r="AY123" t="e">
            <v>#N/A</v>
          </cell>
          <cell r="BA123">
            <v>1.45999999999998</v>
          </cell>
          <cell r="BB123" t="e">
            <v>#N/A</v>
          </cell>
          <cell r="BC123">
            <v>0</v>
          </cell>
          <cell r="BD123" t="e">
            <v>#N/A</v>
          </cell>
          <cell r="BE123" t="e">
            <v>#N/A</v>
          </cell>
          <cell r="BF123" t="e">
            <v>#N/A</v>
          </cell>
          <cell r="BL123">
            <v>0</v>
          </cell>
          <cell r="BM123" t="e">
            <v>#N/A</v>
          </cell>
          <cell r="BN123" t="e">
            <v>#N/A</v>
          </cell>
          <cell r="BO123" t="e">
            <v>#N/A</v>
          </cell>
          <cell r="BP123" t="e">
            <v>#N/A</v>
          </cell>
          <cell r="BQ123" t="e">
            <v>#N/A</v>
          </cell>
          <cell r="BR123">
            <v>-0.38784232365145227</v>
          </cell>
          <cell r="BT123">
            <v>-0.38784232365145227</v>
          </cell>
          <cell r="BU123" t="e">
            <v>#N/A</v>
          </cell>
          <cell r="BV123" t="e">
            <v>#N/A</v>
          </cell>
          <cell r="BW123" t="e">
            <v>#N/A</v>
          </cell>
          <cell r="BX123" t="e">
            <v>#N/A</v>
          </cell>
          <cell r="BY123" t="e">
            <v>#N/A</v>
          </cell>
          <cell r="BZ123" t="str">
            <v>CDI</v>
          </cell>
          <cell r="CA123" t="str">
            <v/>
          </cell>
          <cell r="CB123" t="str">
            <v/>
          </cell>
          <cell r="CC123" t="str">
            <v>BANQUE</v>
          </cell>
          <cell r="CD123" t="str">
            <v>810-Property Operation and Maintenance</v>
          </cell>
          <cell r="CE123">
            <v>810</v>
          </cell>
        </row>
        <row r="124">
          <cell r="B124" t="str">
            <v>06016</v>
          </cell>
          <cell r="C124" t="str">
            <v>DJUGU FRANCOIS MARCEL</v>
          </cell>
          <cell r="D124" t="str">
            <v>Property Operation and Maintenance</v>
          </cell>
          <cell r="E124" t="str">
            <v>00018000360001080120018</v>
          </cell>
          <cell r="F124" t="str">
            <v>110038807020J</v>
          </cell>
          <cell r="G124" t="str">
            <v>MECHANICIAN</v>
          </cell>
          <cell r="H124">
            <v>6.65</v>
          </cell>
          <cell r="I124">
            <v>7.7</v>
          </cell>
          <cell r="J124">
            <v>7.6999999999999993</v>
          </cell>
          <cell r="K124" t="str">
            <v>TSQ1-4.III</v>
          </cell>
          <cell r="L124" t="str">
            <v>TRAVAILLEUR SEMI QUALIFIE</v>
          </cell>
          <cell r="M124" t="str">
            <v>CATEGORIE 1 A 5</v>
          </cell>
          <cell r="N124" t="str">
            <v>TRAVAILLEUR SEMI QUALIFIE (TSQ), Echellon 1, Classe 4</v>
          </cell>
          <cell r="P124">
            <v>41153</v>
          </cell>
          <cell r="Q124" t="e">
            <v>#N/A</v>
          </cell>
          <cell r="R124" t="e">
            <v>#N/A</v>
          </cell>
          <cell r="S124" t="e">
            <v>#N/A</v>
          </cell>
          <cell r="T124" t="e">
            <v>#N/A</v>
          </cell>
          <cell r="U124" t="e">
            <v>#N/A</v>
          </cell>
          <cell r="V124" t="e">
            <v>#N/A</v>
          </cell>
          <cell r="W124" t="e">
            <v>#N/A</v>
          </cell>
          <cell r="X124" t="e">
            <v>#N/A</v>
          </cell>
          <cell r="Y124" t="e">
            <v>#N/A</v>
          </cell>
          <cell r="Z124" t="e">
            <v>#N/A</v>
          </cell>
          <cell r="AA124" t="e">
            <v>#N/A</v>
          </cell>
          <cell r="AB124" t="e">
            <v>#N/A</v>
          </cell>
          <cell r="AC124" t="e">
            <v>#N/A</v>
          </cell>
          <cell r="AE124">
            <v>200.2</v>
          </cell>
          <cell r="AF124" t="e">
            <v>#N/A</v>
          </cell>
          <cell r="AG124" t="e">
            <v>#N/A</v>
          </cell>
          <cell r="AH124" t="e">
            <v>#N/A</v>
          </cell>
          <cell r="AI124" t="e">
            <v>#N/A</v>
          </cell>
          <cell r="AJ124" t="e">
            <v>#N/A</v>
          </cell>
          <cell r="AK124" t="e">
            <v>#N/A</v>
          </cell>
          <cell r="AL124" t="e">
            <v>#N/A</v>
          </cell>
          <cell r="AM124" t="e">
            <v>#N/A</v>
          </cell>
          <cell r="AN124">
            <v>0</v>
          </cell>
          <cell r="AR124" t="e">
            <v>#N/A</v>
          </cell>
          <cell r="AS124">
            <v>68</v>
          </cell>
          <cell r="AT124" t="e">
            <v>#N/A</v>
          </cell>
          <cell r="AU124">
            <v>45.5</v>
          </cell>
          <cell r="AV124">
            <v>1</v>
          </cell>
          <cell r="AX124">
            <v>0</v>
          </cell>
          <cell r="AY124" t="e">
            <v>#N/A</v>
          </cell>
          <cell r="AZ124">
            <v>100</v>
          </cell>
          <cell r="BA124">
            <v>2.13</v>
          </cell>
          <cell r="BB124" t="e">
            <v>#N/A</v>
          </cell>
          <cell r="BC124">
            <v>10</v>
          </cell>
          <cell r="BD124" t="e">
            <v>#N/A</v>
          </cell>
          <cell r="BE124" t="e">
            <v>#N/A</v>
          </cell>
          <cell r="BF124" t="e">
            <v>#N/A</v>
          </cell>
          <cell r="BL124">
            <v>0</v>
          </cell>
          <cell r="BM124" t="e">
            <v>#N/A</v>
          </cell>
          <cell r="BN124" t="e">
            <v>#N/A</v>
          </cell>
          <cell r="BO124" t="e">
            <v>#N/A</v>
          </cell>
          <cell r="BP124" t="e">
            <v>#N/A</v>
          </cell>
          <cell r="BQ124" t="e">
            <v>#N/A</v>
          </cell>
          <cell r="BR124">
            <v>-0.38784232365145227</v>
          </cell>
          <cell r="BT124">
            <v>-0.38784232365145227</v>
          </cell>
          <cell r="BU124" t="e">
            <v>#N/A</v>
          </cell>
          <cell r="BV124" t="e">
            <v>#N/A</v>
          </cell>
          <cell r="BW124" t="e">
            <v>#N/A</v>
          </cell>
          <cell r="BX124" t="e">
            <v>#N/A</v>
          </cell>
          <cell r="BY124" t="e">
            <v>#N/A</v>
          </cell>
          <cell r="BZ124" t="str">
            <v>CDI</v>
          </cell>
          <cell r="CA124" t="str">
            <v/>
          </cell>
          <cell r="CB124" t="str">
            <v/>
          </cell>
          <cell r="CC124" t="str">
            <v>BANQUE</v>
          </cell>
          <cell r="CD124" t="str">
            <v>810-Property Operation and Maintenance</v>
          </cell>
          <cell r="CE124">
            <v>810</v>
          </cell>
        </row>
        <row r="125">
          <cell r="B125" t="str">
            <v>06017</v>
          </cell>
          <cell r="C125" t="str">
            <v>KANUMUTAMBI LUMU SHAMBUYI</v>
          </cell>
          <cell r="D125" t="str">
            <v>Property Operation and Maintenance</v>
          </cell>
          <cell r="E125" t="str">
            <v>00018000360001115120043</v>
          </cell>
          <cell r="F125" t="str">
            <v>106448901090U</v>
          </cell>
          <cell r="G125" t="str">
            <v>MECHANICIAN</v>
          </cell>
          <cell r="H125">
            <v>6.65</v>
          </cell>
          <cell r="I125">
            <v>7.7</v>
          </cell>
          <cell r="J125">
            <v>7.6999999999999993</v>
          </cell>
          <cell r="K125" t="str">
            <v>TSQ1-4.III</v>
          </cell>
          <cell r="L125" t="str">
            <v>TRAVAILLEUR SEMI QUALIFIE</v>
          </cell>
          <cell r="M125" t="str">
            <v>CATEGORIE 1 A 5</v>
          </cell>
          <cell r="N125" t="str">
            <v>TRAVAILLEUR SEMI QUALIFIE (TSQ), Echellon 1, Classe 4</v>
          </cell>
          <cell r="P125">
            <v>41153</v>
          </cell>
          <cell r="Q125" t="e">
            <v>#N/A</v>
          </cell>
          <cell r="R125" t="e">
            <v>#N/A</v>
          </cell>
          <cell r="S125" t="e">
            <v>#N/A</v>
          </cell>
          <cell r="T125" t="e">
            <v>#N/A</v>
          </cell>
          <cell r="U125" t="e">
            <v>#N/A</v>
          </cell>
          <cell r="V125" t="e">
            <v>#N/A</v>
          </cell>
          <cell r="W125" t="e">
            <v>#N/A</v>
          </cell>
          <cell r="X125" t="e">
            <v>#N/A</v>
          </cell>
          <cell r="Y125" t="e">
            <v>#N/A</v>
          </cell>
          <cell r="Z125" t="e">
            <v>#N/A</v>
          </cell>
          <cell r="AA125" t="e">
            <v>#N/A</v>
          </cell>
          <cell r="AB125" t="e">
            <v>#N/A</v>
          </cell>
          <cell r="AC125" t="e">
            <v>#N/A</v>
          </cell>
          <cell r="AE125">
            <v>200.2</v>
          </cell>
          <cell r="AF125" t="e">
            <v>#N/A</v>
          </cell>
          <cell r="AG125" t="e">
            <v>#N/A</v>
          </cell>
          <cell r="AH125" t="e">
            <v>#N/A</v>
          </cell>
          <cell r="AI125" t="e">
            <v>#N/A</v>
          </cell>
          <cell r="AJ125" t="e">
            <v>#N/A</v>
          </cell>
          <cell r="AK125" t="e">
            <v>#N/A</v>
          </cell>
          <cell r="AL125" t="e">
            <v>#N/A</v>
          </cell>
          <cell r="AM125" t="e">
            <v>#N/A</v>
          </cell>
          <cell r="AN125">
            <v>0</v>
          </cell>
          <cell r="AR125" t="e">
            <v>#N/A</v>
          </cell>
          <cell r="AS125">
            <v>60.8</v>
          </cell>
          <cell r="AT125" t="e">
            <v>#N/A</v>
          </cell>
          <cell r="AU125">
            <v>45.5</v>
          </cell>
          <cell r="AV125">
            <v>4</v>
          </cell>
          <cell r="AX125">
            <v>0</v>
          </cell>
          <cell r="AY125" t="e">
            <v>#N/A</v>
          </cell>
          <cell r="BA125">
            <v>0.91999999999995896</v>
          </cell>
          <cell r="BB125" t="e">
            <v>#N/A</v>
          </cell>
          <cell r="BC125">
            <v>0</v>
          </cell>
          <cell r="BD125" t="e">
            <v>#N/A</v>
          </cell>
          <cell r="BE125" t="e">
            <v>#N/A</v>
          </cell>
          <cell r="BF125" t="e">
            <v>#N/A</v>
          </cell>
          <cell r="BL125">
            <v>0</v>
          </cell>
          <cell r="BM125" t="e">
            <v>#N/A</v>
          </cell>
          <cell r="BN125" t="e">
            <v>#N/A</v>
          </cell>
          <cell r="BO125" t="e">
            <v>#N/A</v>
          </cell>
          <cell r="BP125" t="e">
            <v>#N/A</v>
          </cell>
          <cell r="BQ125" t="e">
            <v>#N/A</v>
          </cell>
          <cell r="BR125">
            <v>-0.38784232365145227</v>
          </cell>
          <cell r="BT125">
            <v>-0.38784232365145227</v>
          </cell>
          <cell r="BU125" t="e">
            <v>#N/A</v>
          </cell>
          <cell r="BV125" t="e">
            <v>#N/A</v>
          </cell>
          <cell r="BW125" t="e">
            <v>#N/A</v>
          </cell>
          <cell r="BX125" t="e">
            <v>#N/A</v>
          </cell>
          <cell r="BY125" t="e">
            <v>#N/A</v>
          </cell>
          <cell r="BZ125" t="str">
            <v>CDI</v>
          </cell>
          <cell r="CA125" t="str">
            <v/>
          </cell>
          <cell r="CB125" t="str">
            <v/>
          </cell>
          <cell r="CC125" t="str">
            <v>BANQUE</v>
          </cell>
          <cell r="CD125" t="str">
            <v>810-Property Operation and Maintenance</v>
          </cell>
          <cell r="CE125">
            <v>810</v>
          </cell>
        </row>
        <row r="126">
          <cell r="B126" t="str">
            <v>06018</v>
          </cell>
          <cell r="C126" t="str">
            <v>WIZAMO KUNDANA DIEU MERCI</v>
          </cell>
          <cell r="D126" t="str">
            <v>Property Operation and Maintenance</v>
          </cell>
          <cell r="E126" t="str">
            <v>00018000360001232120085</v>
          </cell>
          <cell r="F126" t="str">
            <v>102519012250Q</v>
          </cell>
          <cell r="G126" t="str">
            <v>MECHANICIAN</v>
          </cell>
          <cell r="H126">
            <v>6.65</v>
          </cell>
          <cell r="I126">
            <v>7.7</v>
          </cell>
          <cell r="J126">
            <v>7.6999999999999993</v>
          </cell>
          <cell r="K126" t="str">
            <v>TSQ1-4.III</v>
          </cell>
          <cell r="L126" t="str">
            <v>TRAVAILLEUR SEMI QUALIFIE</v>
          </cell>
          <cell r="M126" t="str">
            <v>CATEGORIE 1 A 5</v>
          </cell>
          <cell r="N126" t="str">
            <v>TRAVAILLEUR SEMI QUALIFIE (TSQ), Echellon 1, Classe 4</v>
          </cell>
          <cell r="P126">
            <v>41153</v>
          </cell>
          <cell r="Q126" t="e">
            <v>#N/A</v>
          </cell>
          <cell r="R126" t="e">
            <v>#N/A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X126" t="e">
            <v>#N/A</v>
          </cell>
          <cell r="Y126" t="e">
            <v>#N/A</v>
          </cell>
          <cell r="Z126" t="e">
            <v>#N/A</v>
          </cell>
          <cell r="AA126" t="e">
            <v>#N/A</v>
          </cell>
          <cell r="AB126" t="e">
            <v>#N/A</v>
          </cell>
          <cell r="AC126" t="e">
            <v>#N/A</v>
          </cell>
          <cell r="AE126">
            <v>200.2</v>
          </cell>
          <cell r="AF126" t="e">
            <v>#N/A</v>
          </cell>
          <cell r="AG126" t="e">
            <v>#N/A</v>
          </cell>
          <cell r="AH126" t="e">
            <v>#N/A</v>
          </cell>
          <cell r="AI126" t="e">
            <v>#N/A</v>
          </cell>
          <cell r="AJ126" t="e">
            <v>#N/A</v>
          </cell>
          <cell r="AK126" t="e">
            <v>#N/A</v>
          </cell>
          <cell r="AL126" t="e">
            <v>#N/A</v>
          </cell>
          <cell r="AM126" t="e">
            <v>#N/A</v>
          </cell>
          <cell r="AN126">
            <v>0</v>
          </cell>
          <cell r="AR126" t="e">
            <v>#N/A</v>
          </cell>
          <cell r="AS126">
            <v>60.8</v>
          </cell>
          <cell r="AT126" t="e">
            <v>#N/A</v>
          </cell>
          <cell r="AU126">
            <v>45.5</v>
          </cell>
          <cell r="AV126">
            <v>3</v>
          </cell>
          <cell r="AX126">
            <v>0</v>
          </cell>
          <cell r="AY126" t="e">
            <v>#N/A</v>
          </cell>
          <cell r="BA126">
            <v>1.3500000000000201</v>
          </cell>
          <cell r="BB126" t="e">
            <v>#N/A</v>
          </cell>
          <cell r="BC126">
            <v>0</v>
          </cell>
          <cell r="BD126" t="e">
            <v>#N/A</v>
          </cell>
          <cell r="BE126" t="e">
            <v>#N/A</v>
          </cell>
          <cell r="BF126" t="e">
            <v>#N/A</v>
          </cell>
          <cell r="BL126">
            <v>0</v>
          </cell>
          <cell r="BM126" t="e">
            <v>#N/A</v>
          </cell>
          <cell r="BN126" t="e">
            <v>#N/A</v>
          </cell>
          <cell r="BO126" t="e">
            <v>#N/A</v>
          </cell>
          <cell r="BP126" t="e">
            <v>#N/A</v>
          </cell>
          <cell r="BQ126" t="e">
            <v>#N/A</v>
          </cell>
          <cell r="BR126">
            <v>-0.38784232365145227</v>
          </cell>
          <cell r="BT126">
            <v>-0.38784232365145227</v>
          </cell>
          <cell r="BU126" t="e">
            <v>#N/A</v>
          </cell>
          <cell r="BV126" t="e">
            <v>#N/A</v>
          </cell>
          <cell r="BW126" t="e">
            <v>#N/A</v>
          </cell>
          <cell r="BX126" t="e">
            <v>#N/A</v>
          </cell>
          <cell r="BY126" t="e">
            <v>#N/A</v>
          </cell>
          <cell r="BZ126" t="str">
            <v>CDI</v>
          </cell>
          <cell r="CA126" t="str">
            <v/>
          </cell>
          <cell r="CB126" t="str">
            <v/>
          </cell>
          <cell r="CC126" t="str">
            <v>BANQUE</v>
          </cell>
          <cell r="CD126" t="str">
            <v>810-Property Operation and Maintenance</v>
          </cell>
          <cell r="CE126">
            <v>810</v>
          </cell>
        </row>
        <row r="127">
          <cell r="B127" t="str">
            <v>06023</v>
          </cell>
          <cell r="C127" t="str">
            <v>KISANGI BISENGO MARTIN</v>
          </cell>
          <cell r="D127" t="str">
            <v>Property Operation and Maintenance</v>
          </cell>
          <cell r="E127" t="str">
            <v>00018000360001131120096</v>
          </cell>
          <cell r="F127" t="str">
            <v>108519105250J</v>
          </cell>
          <cell r="G127" t="str">
            <v>SHIFT LEADER</v>
          </cell>
          <cell r="H127">
            <v>10.3</v>
          </cell>
          <cell r="I127">
            <v>11.85</v>
          </cell>
          <cell r="J127">
            <v>11.850000000000001</v>
          </cell>
          <cell r="K127" t="str">
            <v>TRQ1-7.IV</v>
          </cell>
          <cell r="L127" t="str">
            <v>TRAVAILLEUR QUALIFIE</v>
          </cell>
          <cell r="M127" t="str">
            <v>CATEGORIE 1 A 5</v>
          </cell>
          <cell r="N127" t="str">
            <v>TRAVAILLEUR QUALIFIE (TQ), Echellon 1, Classe 7</v>
          </cell>
          <cell r="P127">
            <v>41153</v>
          </cell>
          <cell r="Q127" t="e">
            <v>#N/A</v>
          </cell>
          <cell r="R127" t="e">
            <v>#N/A</v>
          </cell>
          <cell r="S127" t="e">
            <v>#N/A</v>
          </cell>
          <cell r="T127" t="e">
            <v>#N/A</v>
          </cell>
          <cell r="U127" t="e">
            <v>#N/A</v>
          </cell>
          <cell r="V127" t="e">
            <v>#N/A</v>
          </cell>
          <cell r="W127" t="e">
            <v>#N/A</v>
          </cell>
          <cell r="X127" t="e">
            <v>#N/A</v>
          </cell>
          <cell r="Y127" t="e">
            <v>#N/A</v>
          </cell>
          <cell r="Z127" t="e">
            <v>#N/A</v>
          </cell>
          <cell r="AA127" t="e">
            <v>#N/A</v>
          </cell>
          <cell r="AB127" t="e">
            <v>#N/A</v>
          </cell>
          <cell r="AC127" t="e">
            <v>#N/A</v>
          </cell>
          <cell r="AE127">
            <v>308.10000000000002</v>
          </cell>
          <cell r="AF127" t="e">
            <v>#N/A</v>
          </cell>
          <cell r="AG127" t="e">
            <v>#N/A</v>
          </cell>
          <cell r="AH127" t="e">
            <v>#N/A</v>
          </cell>
          <cell r="AI127" t="e">
            <v>#N/A</v>
          </cell>
          <cell r="AJ127" t="e">
            <v>#N/A</v>
          </cell>
          <cell r="AK127" t="e">
            <v>#N/A</v>
          </cell>
          <cell r="AL127" t="e">
            <v>#N/A</v>
          </cell>
          <cell r="AM127" t="e">
            <v>#N/A</v>
          </cell>
          <cell r="AN127">
            <v>0</v>
          </cell>
          <cell r="AR127" t="e">
            <v>#N/A</v>
          </cell>
          <cell r="AS127">
            <v>79.91</v>
          </cell>
          <cell r="AT127" t="e">
            <v>#N/A</v>
          </cell>
          <cell r="AU127">
            <v>68.900000000000006</v>
          </cell>
          <cell r="AV127">
            <v>0</v>
          </cell>
          <cell r="AX127">
            <v>0</v>
          </cell>
          <cell r="AY127" t="e">
            <v>#N/A</v>
          </cell>
          <cell r="BA127">
            <v>3.49000000000001</v>
          </cell>
          <cell r="BB127" t="e">
            <v>#N/A</v>
          </cell>
          <cell r="BC127">
            <v>0</v>
          </cell>
          <cell r="BD127" t="e">
            <v>#N/A</v>
          </cell>
          <cell r="BE127" t="e">
            <v>#N/A</v>
          </cell>
          <cell r="BF127" t="e">
            <v>#N/A</v>
          </cell>
          <cell r="BL127">
            <v>0</v>
          </cell>
          <cell r="BM127" t="e">
            <v>#N/A</v>
          </cell>
          <cell r="BN127" t="e">
            <v>#N/A</v>
          </cell>
          <cell r="BO127" t="e">
            <v>#N/A</v>
          </cell>
          <cell r="BP127" t="e">
            <v>#N/A</v>
          </cell>
          <cell r="BQ127" t="e">
            <v>#N/A</v>
          </cell>
          <cell r="BR127">
            <v>-0.38784232365145227</v>
          </cell>
          <cell r="BT127">
            <v>-0.38784232365145227</v>
          </cell>
          <cell r="BU127" t="e">
            <v>#N/A</v>
          </cell>
          <cell r="BV127" t="e">
            <v>#N/A</v>
          </cell>
          <cell r="BW127" t="e">
            <v>#N/A</v>
          </cell>
          <cell r="BX127" t="e">
            <v>#N/A</v>
          </cell>
          <cell r="BY127" t="e">
            <v>#N/A</v>
          </cell>
          <cell r="BZ127" t="str">
            <v>CDI</v>
          </cell>
          <cell r="CA127" t="str">
            <v/>
          </cell>
          <cell r="CB127" t="str">
            <v/>
          </cell>
          <cell r="CC127" t="str">
            <v>BANQUE</v>
          </cell>
          <cell r="CD127" t="str">
            <v>810-Property Operation and Maintenance</v>
          </cell>
          <cell r="CE127">
            <v>810</v>
          </cell>
        </row>
        <row r="128">
          <cell r="B128" t="str">
            <v>06024</v>
          </cell>
          <cell r="C128" t="str">
            <v>OMUNGA W OMUNGA CHRISTOPHE</v>
          </cell>
          <cell r="D128" t="str">
            <v>Property Operation and Maintenance</v>
          </cell>
          <cell r="E128" t="str">
            <v>00018000360001209120027</v>
          </cell>
          <cell r="F128" t="str">
            <v>107418612200L</v>
          </cell>
          <cell r="G128" t="str">
            <v>MECHANICIAN</v>
          </cell>
          <cell r="H128">
            <v>7.7</v>
          </cell>
          <cell r="I128">
            <v>8.9</v>
          </cell>
          <cell r="J128">
            <v>8.9</v>
          </cell>
          <cell r="K128" t="str">
            <v>TSQ2-5.III</v>
          </cell>
          <cell r="L128" t="str">
            <v>TRAVAILLEUR SEMI QUALIFIE</v>
          </cell>
          <cell r="M128" t="str">
            <v>CATEGORIE 1 A 5</v>
          </cell>
          <cell r="N128" t="str">
            <v>TRAVAILLEUR SEMI QUALIFIE (TSQ), Echellon 2, Classe 5</v>
          </cell>
          <cell r="P128">
            <v>41275</v>
          </cell>
          <cell r="Q128" t="e">
            <v>#N/A</v>
          </cell>
          <cell r="R128" t="e">
            <v>#N/A</v>
          </cell>
          <cell r="S128" t="e">
            <v>#N/A</v>
          </cell>
          <cell r="T128" t="e">
            <v>#N/A</v>
          </cell>
          <cell r="U128" t="e">
            <v>#N/A</v>
          </cell>
          <cell r="V128" t="e">
            <v>#N/A</v>
          </cell>
          <cell r="W128" t="e">
            <v>#N/A</v>
          </cell>
          <cell r="X128" t="e">
            <v>#N/A</v>
          </cell>
          <cell r="Y128" t="e">
            <v>#N/A</v>
          </cell>
          <cell r="Z128" t="e">
            <v>#N/A</v>
          </cell>
          <cell r="AA128" t="e">
            <v>#N/A</v>
          </cell>
          <cell r="AB128" t="e">
            <v>#N/A</v>
          </cell>
          <cell r="AC128" t="e">
            <v>#N/A</v>
          </cell>
          <cell r="AE128">
            <v>231.4</v>
          </cell>
          <cell r="AF128" t="e">
            <v>#N/A</v>
          </cell>
          <cell r="AG128" t="e">
            <v>#N/A</v>
          </cell>
          <cell r="AH128" t="e">
            <v>#N/A</v>
          </cell>
          <cell r="AI128" t="e">
            <v>#N/A</v>
          </cell>
          <cell r="AJ128" t="e">
            <v>#N/A</v>
          </cell>
          <cell r="AK128" t="e">
            <v>#N/A</v>
          </cell>
          <cell r="AL128" t="e">
            <v>#N/A</v>
          </cell>
          <cell r="AM128" t="e">
            <v>#N/A</v>
          </cell>
          <cell r="AN128">
            <v>0</v>
          </cell>
          <cell r="AR128" t="e">
            <v>#N/A</v>
          </cell>
          <cell r="AS128">
            <v>64</v>
          </cell>
          <cell r="AT128" t="e">
            <v>#N/A</v>
          </cell>
          <cell r="AU128">
            <v>61.1</v>
          </cell>
          <cell r="AV128">
            <v>2</v>
          </cell>
          <cell r="AX128">
            <v>0</v>
          </cell>
          <cell r="AY128" t="e">
            <v>#N/A</v>
          </cell>
          <cell r="BA128">
            <v>1.19999999999999</v>
          </cell>
          <cell r="BB128" t="e">
            <v>#N/A</v>
          </cell>
          <cell r="BC128">
            <v>0</v>
          </cell>
          <cell r="BD128" t="e">
            <v>#N/A</v>
          </cell>
          <cell r="BE128" t="e">
            <v>#N/A</v>
          </cell>
          <cell r="BF128" t="e">
            <v>#N/A</v>
          </cell>
          <cell r="BL128">
            <v>0</v>
          </cell>
          <cell r="BM128" t="e">
            <v>#N/A</v>
          </cell>
          <cell r="BN128" t="e">
            <v>#N/A</v>
          </cell>
          <cell r="BO128" t="e">
            <v>#N/A</v>
          </cell>
          <cell r="BP128" t="e">
            <v>#N/A</v>
          </cell>
          <cell r="BQ128" t="e">
            <v>#N/A</v>
          </cell>
          <cell r="BR128">
            <v>-0.38784232365145227</v>
          </cell>
          <cell r="BT128">
            <v>-0.38784232365145227</v>
          </cell>
          <cell r="BU128" t="e">
            <v>#N/A</v>
          </cell>
          <cell r="BV128" t="e">
            <v>#N/A</v>
          </cell>
          <cell r="BW128" t="e">
            <v>#N/A</v>
          </cell>
          <cell r="BX128" t="e">
            <v>#N/A</v>
          </cell>
          <cell r="BY128" t="e">
            <v>#N/A</v>
          </cell>
          <cell r="BZ128" t="str">
            <v>CDI</v>
          </cell>
          <cell r="CA128" t="str">
            <v/>
          </cell>
          <cell r="CB128" t="str">
            <v/>
          </cell>
          <cell r="CC128" t="str">
            <v>BANQUE</v>
          </cell>
          <cell r="CD128" t="str">
            <v>810-Property Operation and Maintenance</v>
          </cell>
          <cell r="CE128">
            <v>810</v>
          </cell>
        </row>
        <row r="129">
          <cell r="B129" t="str">
            <v>06025</v>
          </cell>
          <cell r="C129" t="str">
            <v>KABUMUNA KAYEMBE LEONARD</v>
          </cell>
          <cell r="D129" t="str">
            <v>Property Operation and Maintenance</v>
          </cell>
          <cell r="E129" t="str">
            <v>00018000360001100120060</v>
          </cell>
          <cell r="F129" t="str">
            <v>106146707190P</v>
          </cell>
          <cell r="G129" t="str">
            <v>ENGINEERING</v>
          </cell>
          <cell r="H129">
            <v>6.65</v>
          </cell>
          <cell r="I129">
            <v>7.7</v>
          </cell>
          <cell r="J129">
            <v>7.6999999999999993</v>
          </cell>
          <cell r="K129" t="str">
            <v>TSQ1-4.III</v>
          </cell>
          <cell r="L129" t="str">
            <v>TRAVAILLEUR SEMI QUALIFIE</v>
          </cell>
          <cell r="M129" t="str">
            <v>CATEGORIE 1 A 5</v>
          </cell>
          <cell r="N129" t="str">
            <v>TRAVAILLEUR SEMI QUALIFIE (TSQ), Echellon 1, Classe 4</v>
          </cell>
          <cell r="P129">
            <v>41302</v>
          </cell>
          <cell r="Q129" t="e">
            <v>#N/A</v>
          </cell>
          <cell r="R129" t="e">
            <v>#N/A</v>
          </cell>
          <cell r="S129" t="e">
            <v>#N/A</v>
          </cell>
          <cell r="T129" t="e">
            <v>#N/A</v>
          </cell>
          <cell r="U129" t="e">
            <v>#N/A</v>
          </cell>
          <cell r="V129" t="e">
            <v>#N/A</v>
          </cell>
          <cell r="W129" t="e">
            <v>#N/A</v>
          </cell>
          <cell r="X129" t="e">
            <v>#N/A</v>
          </cell>
          <cell r="Y129" t="e">
            <v>#N/A</v>
          </cell>
          <cell r="Z129" t="e">
            <v>#N/A</v>
          </cell>
          <cell r="AA129" t="e">
            <v>#N/A</v>
          </cell>
          <cell r="AB129" t="e">
            <v>#N/A</v>
          </cell>
          <cell r="AC129" t="e">
            <v>#N/A</v>
          </cell>
          <cell r="AE129">
            <v>200.2</v>
          </cell>
          <cell r="AF129" t="e">
            <v>#N/A</v>
          </cell>
          <cell r="AG129" t="e">
            <v>#N/A</v>
          </cell>
          <cell r="AH129" t="e">
            <v>#N/A</v>
          </cell>
          <cell r="AI129" t="e">
            <v>#N/A</v>
          </cell>
          <cell r="AJ129" t="e">
            <v>#N/A</v>
          </cell>
          <cell r="AK129" t="e">
            <v>#N/A</v>
          </cell>
          <cell r="AL129" t="e">
            <v>#N/A</v>
          </cell>
          <cell r="AM129" t="e">
            <v>#N/A</v>
          </cell>
          <cell r="AN129">
            <v>0</v>
          </cell>
          <cell r="AR129" t="e">
            <v>#N/A</v>
          </cell>
          <cell r="AS129">
            <v>59.6</v>
          </cell>
          <cell r="AT129" t="e">
            <v>#N/A</v>
          </cell>
          <cell r="AU129">
            <v>53</v>
          </cell>
          <cell r="AV129">
            <v>4</v>
          </cell>
          <cell r="AX129">
            <v>0</v>
          </cell>
          <cell r="AY129" t="e">
            <v>#N/A</v>
          </cell>
          <cell r="BA129">
            <v>0.37000000000000499</v>
          </cell>
          <cell r="BB129" t="e">
            <v>#N/A</v>
          </cell>
          <cell r="BC129">
            <v>0</v>
          </cell>
          <cell r="BD129" t="e">
            <v>#N/A</v>
          </cell>
          <cell r="BE129" t="e">
            <v>#N/A</v>
          </cell>
          <cell r="BF129" t="e">
            <v>#N/A</v>
          </cell>
          <cell r="BL129">
            <v>0</v>
          </cell>
          <cell r="BM129" t="e">
            <v>#N/A</v>
          </cell>
          <cell r="BN129" t="e">
            <v>#N/A</v>
          </cell>
          <cell r="BO129" t="e">
            <v>#N/A</v>
          </cell>
          <cell r="BP129" t="e">
            <v>#N/A</v>
          </cell>
          <cell r="BQ129" t="e">
            <v>#N/A</v>
          </cell>
          <cell r="BR129">
            <v>-0.38784232365145227</v>
          </cell>
          <cell r="BT129">
            <v>-0.38784232365145227</v>
          </cell>
          <cell r="BU129" t="e">
            <v>#N/A</v>
          </cell>
          <cell r="BV129" t="e">
            <v>#N/A</v>
          </cell>
          <cell r="BW129" t="e">
            <v>#N/A</v>
          </cell>
          <cell r="BX129" t="e">
            <v>#N/A</v>
          </cell>
          <cell r="BY129" t="e">
            <v>#N/A</v>
          </cell>
          <cell r="BZ129" t="str">
            <v>CDI</v>
          </cell>
          <cell r="CA129" t="str">
            <v/>
          </cell>
          <cell r="CB129" t="str">
            <v/>
          </cell>
          <cell r="CC129" t="str">
            <v>BANQUE</v>
          </cell>
          <cell r="CD129" t="str">
            <v>810-Property Operation and Maintenance</v>
          </cell>
          <cell r="CE129">
            <v>810</v>
          </cell>
        </row>
        <row r="130">
          <cell r="B130" t="str">
            <v>06027</v>
          </cell>
          <cell r="C130" t="str">
            <v>KALALA CIAMALA PATRICK</v>
          </cell>
          <cell r="D130" t="str">
            <v>Property Operation and Maintenance</v>
          </cell>
          <cell r="E130" t="str">
            <v>00018000360001289120001</v>
          </cell>
          <cell r="F130" t="str">
            <v>107518908250H</v>
          </cell>
          <cell r="G130" t="str">
            <v>PLOMBIER</v>
          </cell>
          <cell r="H130">
            <v>6.65</v>
          </cell>
          <cell r="I130">
            <v>7.7</v>
          </cell>
          <cell r="J130">
            <v>7.6999999999999993</v>
          </cell>
          <cell r="K130" t="str">
            <v>TSQ1-4.III</v>
          </cell>
          <cell r="L130" t="str">
            <v>TRAVAILLEUR SEMI QUALIFIE</v>
          </cell>
          <cell r="M130" t="str">
            <v>CATEGORIE 1 A 5</v>
          </cell>
          <cell r="N130" t="str">
            <v>TRAVAILLEUR SEMI QUALIFIE (TSQ), Echellon 1, Classe 4</v>
          </cell>
          <cell r="P130">
            <v>41732</v>
          </cell>
          <cell r="Q130" t="e">
            <v>#N/A</v>
          </cell>
          <cell r="R130" t="e">
            <v>#N/A</v>
          </cell>
          <cell r="S130" t="e">
            <v>#N/A</v>
          </cell>
          <cell r="T130" t="e">
            <v>#N/A</v>
          </cell>
          <cell r="U130" t="e">
            <v>#N/A</v>
          </cell>
          <cell r="V130" t="e">
            <v>#N/A</v>
          </cell>
          <cell r="W130" t="e">
            <v>#N/A</v>
          </cell>
          <cell r="X130" t="e">
            <v>#N/A</v>
          </cell>
          <cell r="Y130" t="e">
            <v>#N/A</v>
          </cell>
          <cell r="Z130" t="e">
            <v>#N/A</v>
          </cell>
          <cell r="AA130" t="e">
            <v>#N/A</v>
          </cell>
          <cell r="AB130" t="e">
            <v>#N/A</v>
          </cell>
          <cell r="AC130" t="e">
            <v>#N/A</v>
          </cell>
          <cell r="AE130">
            <v>200.2</v>
          </cell>
          <cell r="AF130" t="e">
            <v>#N/A</v>
          </cell>
          <cell r="AG130" t="e">
            <v>#N/A</v>
          </cell>
          <cell r="AH130" t="e">
            <v>#N/A</v>
          </cell>
          <cell r="AI130" t="e">
            <v>#N/A</v>
          </cell>
          <cell r="AJ130" t="e">
            <v>#N/A</v>
          </cell>
          <cell r="AK130" t="e">
            <v>#N/A</v>
          </cell>
          <cell r="AL130" t="e">
            <v>#N/A</v>
          </cell>
          <cell r="AM130" t="e">
            <v>#N/A</v>
          </cell>
          <cell r="AN130">
            <v>0</v>
          </cell>
          <cell r="AR130" t="e">
            <v>#N/A</v>
          </cell>
          <cell r="AS130">
            <v>60.3</v>
          </cell>
          <cell r="AT130" t="e">
            <v>#N/A</v>
          </cell>
          <cell r="AU130">
            <v>45.5</v>
          </cell>
          <cell r="AV130">
            <v>2</v>
          </cell>
          <cell r="AX130">
            <v>0</v>
          </cell>
          <cell r="AY130" t="e">
            <v>#N/A</v>
          </cell>
          <cell r="BA130">
            <v>1.6700000000000199</v>
          </cell>
          <cell r="BB130" t="e">
            <v>#N/A</v>
          </cell>
          <cell r="BC130">
            <v>0</v>
          </cell>
          <cell r="BD130" t="e">
            <v>#N/A</v>
          </cell>
          <cell r="BE130" t="e">
            <v>#N/A</v>
          </cell>
          <cell r="BF130" t="e">
            <v>#N/A</v>
          </cell>
          <cell r="BL130">
            <v>0</v>
          </cell>
          <cell r="BM130" t="e">
            <v>#N/A</v>
          </cell>
          <cell r="BN130" t="e">
            <v>#N/A</v>
          </cell>
          <cell r="BO130" t="e">
            <v>#N/A</v>
          </cell>
          <cell r="BP130" t="e">
            <v>#N/A</v>
          </cell>
          <cell r="BQ130" t="e">
            <v>#N/A</v>
          </cell>
          <cell r="BR130">
            <v>-0.38784232365145227</v>
          </cell>
          <cell r="BT130">
            <v>-0.38784232365145227</v>
          </cell>
          <cell r="BU130" t="e">
            <v>#N/A</v>
          </cell>
          <cell r="BV130" t="e">
            <v>#N/A</v>
          </cell>
          <cell r="BW130" t="e">
            <v>#N/A</v>
          </cell>
          <cell r="BX130" t="e">
            <v>#N/A</v>
          </cell>
          <cell r="BY130" t="e">
            <v>#N/A</v>
          </cell>
          <cell r="BZ130" t="str">
            <v>CDI</v>
          </cell>
          <cell r="CA130" t="str">
            <v/>
          </cell>
          <cell r="CB130" t="str">
            <v/>
          </cell>
          <cell r="CC130" t="str">
            <v>BANQUE</v>
          </cell>
          <cell r="CD130" t="str">
            <v>810-Property Operation and Maintenance</v>
          </cell>
          <cell r="CE130">
            <v>810</v>
          </cell>
        </row>
        <row r="131">
          <cell r="B131" t="str">
            <v>06029</v>
          </cell>
          <cell r="C131" t="str">
            <v>MOLENGO MBULI DESIRE</v>
          </cell>
          <cell r="D131" t="str">
            <v>Housekeeping</v>
          </cell>
          <cell r="E131" t="str">
            <v>00018000360001299120022</v>
          </cell>
          <cell r="F131" t="str">
            <v>102717707270O</v>
          </cell>
          <cell r="G131" t="str">
            <v>FLEURISTE</v>
          </cell>
          <cell r="H131">
            <v>5</v>
          </cell>
          <cell r="I131">
            <v>5.8</v>
          </cell>
          <cell r="J131">
            <v>5.8000000000000007</v>
          </cell>
          <cell r="K131" t="str">
            <v>MAL1-2.I</v>
          </cell>
          <cell r="L131" t="str">
            <v>MANOEUVRE LOURD</v>
          </cell>
          <cell r="M131" t="str">
            <v>CATEGORIE 1 A 5</v>
          </cell>
          <cell r="N131" t="str">
            <v>MANŒUVRE LOURD (ML), Echellon 2, Classe 2</v>
          </cell>
          <cell r="P131">
            <v>41732</v>
          </cell>
          <cell r="Q131" t="e">
            <v>#N/A</v>
          </cell>
          <cell r="R131" t="e">
            <v>#N/A</v>
          </cell>
          <cell r="S131" t="e">
            <v>#N/A</v>
          </cell>
          <cell r="T131" t="e">
            <v>#N/A</v>
          </cell>
          <cell r="U131" t="e">
            <v>#N/A</v>
          </cell>
          <cell r="V131" t="e">
            <v>#N/A</v>
          </cell>
          <cell r="W131" t="e">
            <v>#N/A</v>
          </cell>
          <cell r="X131" t="e">
            <v>#N/A</v>
          </cell>
          <cell r="Y131" t="e">
            <v>#N/A</v>
          </cell>
          <cell r="Z131" t="e">
            <v>#N/A</v>
          </cell>
          <cell r="AA131" t="e">
            <v>#N/A</v>
          </cell>
          <cell r="AB131" t="e">
            <v>#N/A</v>
          </cell>
          <cell r="AC131" t="e">
            <v>#N/A</v>
          </cell>
          <cell r="AE131">
            <v>150.80000000000001</v>
          </cell>
          <cell r="AF131" t="e">
            <v>#N/A</v>
          </cell>
          <cell r="AG131" t="e">
            <v>#N/A</v>
          </cell>
          <cell r="AH131" t="e">
            <v>#N/A</v>
          </cell>
          <cell r="AI131" t="e">
            <v>#N/A</v>
          </cell>
          <cell r="AJ131" t="e">
            <v>#N/A</v>
          </cell>
          <cell r="AK131" t="e">
            <v>#N/A</v>
          </cell>
          <cell r="AL131" t="e">
            <v>#N/A</v>
          </cell>
          <cell r="AM131" t="e">
            <v>#N/A</v>
          </cell>
          <cell r="AN131">
            <v>0</v>
          </cell>
          <cell r="AR131" t="e">
            <v>#N/A</v>
          </cell>
          <cell r="AS131">
            <v>65.900000000000006</v>
          </cell>
          <cell r="AT131" t="e">
            <v>#N/A</v>
          </cell>
          <cell r="AU131">
            <v>40.299999999999997</v>
          </cell>
          <cell r="AV131">
            <v>3</v>
          </cell>
          <cell r="AX131">
            <v>0</v>
          </cell>
          <cell r="AY131" t="e">
            <v>#N/A</v>
          </cell>
          <cell r="BA131">
            <v>0.69999999999998896</v>
          </cell>
          <cell r="BB131" t="e">
            <v>#N/A</v>
          </cell>
          <cell r="BC131">
            <v>0</v>
          </cell>
          <cell r="BD131" t="e">
            <v>#N/A</v>
          </cell>
          <cell r="BE131" t="e">
            <v>#N/A</v>
          </cell>
          <cell r="BF131" t="e">
            <v>#N/A</v>
          </cell>
          <cell r="BL131">
            <v>0</v>
          </cell>
          <cell r="BM131" t="e">
            <v>#N/A</v>
          </cell>
          <cell r="BN131" t="e">
            <v>#N/A</v>
          </cell>
          <cell r="BO131" t="e">
            <v>#N/A</v>
          </cell>
          <cell r="BP131" t="e">
            <v>#N/A</v>
          </cell>
          <cell r="BQ131" t="e">
            <v>#N/A</v>
          </cell>
          <cell r="BR131">
            <v>-0.38784232365145227</v>
          </cell>
          <cell r="BT131">
            <v>-0.38784232365145227</v>
          </cell>
          <cell r="BU131" t="e">
            <v>#N/A</v>
          </cell>
          <cell r="BV131" t="e">
            <v>#N/A</v>
          </cell>
          <cell r="BW131" t="e">
            <v>#N/A</v>
          </cell>
          <cell r="BX131" t="e">
            <v>#N/A</v>
          </cell>
          <cell r="BY131" t="e">
            <v>#N/A</v>
          </cell>
          <cell r="BZ131" t="str">
            <v>CDI</v>
          </cell>
          <cell r="CA131" t="str">
            <v/>
          </cell>
          <cell r="CB131" t="str">
            <v/>
          </cell>
          <cell r="CC131" t="str">
            <v>BANQUE</v>
          </cell>
          <cell r="CD131" t="str">
            <v>160-Housekeeping</v>
          </cell>
          <cell r="CE131">
            <v>160</v>
          </cell>
        </row>
        <row r="132">
          <cell r="B132" t="str">
            <v>06030</v>
          </cell>
          <cell r="C132" t="str">
            <v>ESUME LUKUBAMA DIEU MERCI</v>
          </cell>
          <cell r="D132" t="str">
            <v>Housekeeping</v>
          </cell>
          <cell r="E132" t="str">
            <v>00018000360001084120007</v>
          </cell>
          <cell r="F132" t="str">
            <v>108438401060N</v>
          </cell>
          <cell r="G132" t="str">
            <v>FLEURISTE</v>
          </cell>
          <cell r="H132">
            <v>5</v>
          </cell>
          <cell r="I132">
            <v>5.8</v>
          </cell>
          <cell r="J132">
            <v>5.8000000000000007</v>
          </cell>
          <cell r="K132" t="str">
            <v>MAL1-2.I</v>
          </cell>
          <cell r="L132" t="str">
            <v>MANOEUVRE LOURD</v>
          </cell>
          <cell r="M132" t="str">
            <v>CATEGORIE 1 A 5</v>
          </cell>
          <cell r="N132" t="str">
            <v>MANŒUVRE LOURD (ML), Echellon 2, Classe 2</v>
          </cell>
          <cell r="P132">
            <v>41732</v>
          </cell>
          <cell r="Q132" t="e">
            <v>#N/A</v>
          </cell>
          <cell r="R132" t="e">
            <v>#N/A</v>
          </cell>
          <cell r="S132" t="e">
            <v>#N/A</v>
          </cell>
          <cell r="T132" t="e">
            <v>#N/A</v>
          </cell>
          <cell r="U132" t="e">
            <v>#N/A</v>
          </cell>
          <cell r="V132" t="e">
            <v>#N/A</v>
          </cell>
          <cell r="W132" t="e">
            <v>#N/A</v>
          </cell>
          <cell r="X132" t="e">
            <v>#N/A</v>
          </cell>
          <cell r="Y132" t="e">
            <v>#N/A</v>
          </cell>
          <cell r="Z132" t="e">
            <v>#N/A</v>
          </cell>
          <cell r="AA132" t="e">
            <v>#N/A</v>
          </cell>
          <cell r="AB132" t="e">
            <v>#N/A</v>
          </cell>
          <cell r="AC132" t="e">
            <v>#N/A</v>
          </cell>
          <cell r="AE132">
            <v>150.80000000000001</v>
          </cell>
          <cell r="AF132" t="e">
            <v>#N/A</v>
          </cell>
          <cell r="AG132" t="e">
            <v>#N/A</v>
          </cell>
          <cell r="AH132" t="e">
            <v>#N/A</v>
          </cell>
          <cell r="AI132" t="e">
            <v>#N/A</v>
          </cell>
          <cell r="AJ132" t="e">
            <v>#N/A</v>
          </cell>
          <cell r="AK132" t="e">
            <v>#N/A</v>
          </cell>
          <cell r="AL132" t="e">
            <v>#N/A</v>
          </cell>
          <cell r="AM132" t="e">
            <v>#N/A</v>
          </cell>
          <cell r="AN132">
            <v>0</v>
          </cell>
          <cell r="AR132" t="e">
            <v>#N/A</v>
          </cell>
          <cell r="AS132">
            <v>65.900000000000006</v>
          </cell>
          <cell r="AT132" t="e">
            <v>#N/A</v>
          </cell>
          <cell r="AU132">
            <v>40.299999999999997</v>
          </cell>
          <cell r="AV132">
            <v>2</v>
          </cell>
          <cell r="AX132">
            <v>0</v>
          </cell>
          <cell r="AY132" t="e">
            <v>#N/A</v>
          </cell>
          <cell r="BA132">
            <v>0.71000000000000796</v>
          </cell>
          <cell r="BB132" t="e">
            <v>#N/A</v>
          </cell>
          <cell r="BC132">
            <v>0</v>
          </cell>
          <cell r="BD132" t="e">
            <v>#N/A</v>
          </cell>
          <cell r="BE132" t="e">
            <v>#N/A</v>
          </cell>
          <cell r="BF132" t="e">
            <v>#N/A</v>
          </cell>
          <cell r="BL132">
            <v>0</v>
          </cell>
          <cell r="BM132" t="e">
            <v>#N/A</v>
          </cell>
          <cell r="BN132" t="e">
            <v>#N/A</v>
          </cell>
          <cell r="BO132" t="e">
            <v>#N/A</v>
          </cell>
          <cell r="BP132" t="e">
            <v>#N/A</v>
          </cell>
          <cell r="BQ132" t="e">
            <v>#N/A</v>
          </cell>
          <cell r="BR132">
            <v>-0.38784232365145227</v>
          </cell>
          <cell r="BT132">
            <v>-0.38784232365145227</v>
          </cell>
          <cell r="BU132" t="e">
            <v>#N/A</v>
          </cell>
          <cell r="BV132" t="e">
            <v>#N/A</v>
          </cell>
          <cell r="BW132" t="e">
            <v>#N/A</v>
          </cell>
          <cell r="BX132" t="e">
            <v>#N/A</v>
          </cell>
          <cell r="BY132" t="e">
            <v>#N/A</v>
          </cell>
          <cell r="BZ132" t="str">
            <v>CDI</v>
          </cell>
          <cell r="CA132" t="str">
            <v/>
          </cell>
          <cell r="CB132" t="str">
            <v/>
          </cell>
          <cell r="CC132" t="str">
            <v>BANQUE</v>
          </cell>
          <cell r="CD132" t="str">
            <v>160-Housekeeping</v>
          </cell>
          <cell r="CE132">
            <v>160</v>
          </cell>
        </row>
        <row r="133">
          <cell r="B133" t="str">
            <v>06031</v>
          </cell>
          <cell r="C133" t="str">
            <v>NGWATALA INZEME DIEU MERCI</v>
          </cell>
          <cell r="D133" t="str">
            <v>Housekeeping</v>
          </cell>
          <cell r="E133" t="str">
            <v>00018000360001196120087</v>
          </cell>
          <cell r="F133" t="str">
            <v>103258510230S</v>
          </cell>
          <cell r="G133" t="str">
            <v>FLEURISTE</v>
          </cell>
          <cell r="H133">
            <v>5</v>
          </cell>
          <cell r="I133">
            <v>5.8</v>
          </cell>
          <cell r="J133">
            <v>5.8000000000000007</v>
          </cell>
          <cell r="K133" t="str">
            <v>MAL1-2.I</v>
          </cell>
          <cell r="L133" t="str">
            <v>MANOEUVRE LOURD</v>
          </cell>
          <cell r="M133" t="str">
            <v>CATEGORIE 1 A 5</v>
          </cell>
          <cell r="N133" t="str">
            <v>MANŒUVRE LOURD (ML), Echellon 2, Classe 2</v>
          </cell>
          <cell r="P133">
            <v>41732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X133" t="e">
            <v>#N/A</v>
          </cell>
          <cell r="Y133" t="e">
            <v>#N/A</v>
          </cell>
          <cell r="Z133" t="e">
            <v>#N/A</v>
          </cell>
          <cell r="AA133" t="e">
            <v>#N/A</v>
          </cell>
          <cell r="AB133" t="e">
            <v>#N/A</v>
          </cell>
          <cell r="AC133" t="e">
            <v>#N/A</v>
          </cell>
          <cell r="AE133">
            <v>150.80000000000001</v>
          </cell>
          <cell r="AF133" t="e">
            <v>#N/A</v>
          </cell>
          <cell r="AG133" t="e">
            <v>#N/A</v>
          </cell>
          <cell r="AH133" t="e">
            <v>#N/A</v>
          </cell>
          <cell r="AI133" t="e">
            <v>#N/A</v>
          </cell>
          <cell r="AJ133" t="e">
            <v>#N/A</v>
          </cell>
          <cell r="AK133" t="e">
            <v>#N/A</v>
          </cell>
          <cell r="AL133" t="e">
            <v>#N/A</v>
          </cell>
          <cell r="AM133" t="e">
            <v>#N/A</v>
          </cell>
          <cell r="AN133">
            <v>0</v>
          </cell>
          <cell r="AR133" t="e">
            <v>#N/A</v>
          </cell>
          <cell r="AS133">
            <v>65.900000000000006</v>
          </cell>
          <cell r="AT133" t="e">
            <v>#N/A</v>
          </cell>
          <cell r="AU133">
            <v>40.299999999999997</v>
          </cell>
          <cell r="AV133">
            <v>3</v>
          </cell>
          <cell r="AX133">
            <v>0</v>
          </cell>
          <cell r="AY133" t="e">
            <v>#N/A</v>
          </cell>
          <cell r="BA133">
            <v>0.69999999999998896</v>
          </cell>
          <cell r="BB133" t="e">
            <v>#N/A</v>
          </cell>
          <cell r="BC133">
            <v>0</v>
          </cell>
          <cell r="BD133" t="e">
            <v>#N/A</v>
          </cell>
          <cell r="BE133" t="e">
            <v>#N/A</v>
          </cell>
          <cell r="BF133" t="e">
            <v>#N/A</v>
          </cell>
          <cell r="BL133">
            <v>0</v>
          </cell>
          <cell r="BM133" t="e">
            <v>#N/A</v>
          </cell>
          <cell r="BN133" t="e">
            <v>#N/A</v>
          </cell>
          <cell r="BO133" t="e">
            <v>#N/A</v>
          </cell>
          <cell r="BP133" t="e">
            <v>#N/A</v>
          </cell>
          <cell r="BQ133" t="e">
            <v>#N/A</v>
          </cell>
          <cell r="BR133">
            <v>-0.38784232365145227</v>
          </cell>
          <cell r="BT133">
            <v>-0.38784232365145227</v>
          </cell>
          <cell r="BU133" t="e">
            <v>#N/A</v>
          </cell>
          <cell r="BV133" t="e">
            <v>#N/A</v>
          </cell>
          <cell r="BW133" t="e">
            <v>#N/A</v>
          </cell>
          <cell r="BX133" t="e">
            <v>#N/A</v>
          </cell>
          <cell r="BY133" t="e">
            <v>#N/A</v>
          </cell>
          <cell r="BZ133" t="str">
            <v>CDI</v>
          </cell>
          <cell r="CA133" t="str">
            <v/>
          </cell>
          <cell r="CB133" t="str">
            <v/>
          </cell>
          <cell r="CC133" t="str">
            <v>BANQUE</v>
          </cell>
          <cell r="CD133" t="str">
            <v>160-Housekeeping</v>
          </cell>
          <cell r="CE133">
            <v>160</v>
          </cell>
        </row>
        <row r="134">
          <cell r="B134" t="str">
            <v>06035</v>
          </cell>
          <cell r="C134" t="str">
            <v>BOKUNGU EKEGOLA FELLY</v>
          </cell>
          <cell r="D134" t="str">
            <v>Property Operation and Maintenance</v>
          </cell>
          <cell r="E134" t="str">
            <v>00018000360001066120008</v>
          </cell>
          <cell r="F134" t="str">
            <v>102866912260C</v>
          </cell>
          <cell r="G134" t="str">
            <v>ELECTRICIEN</v>
          </cell>
          <cell r="H134">
            <v>8.9</v>
          </cell>
          <cell r="I134">
            <v>10.3</v>
          </cell>
          <cell r="J134">
            <v>10.3</v>
          </cell>
          <cell r="K134" t="str">
            <v>TSQ3-6.III</v>
          </cell>
          <cell r="L134" t="str">
            <v>TRAVAILLEUR SEMI QUALIFIE</v>
          </cell>
          <cell r="M134" t="str">
            <v>CATEGORIE 1 A 5</v>
          </cell>
          <cell r="N134" t="str">
            <v>TRAVAILLEUR SEMI QUALIFIE (TSQ), Echellon 3, Classe 6</v>
          </cell>
          <cell r="P134">
            <v>41803</v>
          </cell>
          <cell r="Q134" t="e">
            <v>#N/A</v>
          </cell>
          <cell r="R134" t="e">
            <v>#N/A</v>
          </cell>
          <cell r="S134" t="e">
            <v>#N/A</v>
          </cell>
          <cell r="T134" t="e">
            <v>#N/A</v>
          </cell>
          <cell r="U134" t="e">
            <v>#N/A</v>
          </cell>
          <cell r="V134" t="e">
            <v>#N/A</v>
          </cell>
          <cell r="W134" t="e">
            <v>#N/A</v>
          </cell>
          <cell r="X134" t="e">
            <v>#N/A</v>
          </cell>
          <cell r="Y134" t="e">
            <v>#N/A</v>
          </cell>
          <cell r="Z134" t="e">
            <v>#N/A</v>
          </cell>
          <cell r="AA134" t="e">
            <v>#N/A</v>
          </cell>
          <cell r="AB134" t="e">
            <v>#N/A</v>
          </cell>
          <cell r="AC134" t="e">
            <v>#N/A</v>
          </cell>
          <cell r="AE134">
            <v>267.8</v>
          </cell>
          <cell r="AF134" t="e">
            <v>#N/A</v>
          </cell>
          <cell r="AG134" t="e">
            <v>#N/A</v>
          </cell>
          <cell r="AH134" t="e">
            <v>#N/A</v>
          </cell>
          <cell r="AI134" t="e">
            <v>#N/A</v>
          </cell>
          <cell r="AJ134" t="e">
            <v>#N/A</v>
          </cell>
          <cell r="AK134" t="e">
            <v>#N/A</v>
          </cell>
          <cell r="AL134" t="e">
            <v>#N/A</v>
          </cell>
          <cell r="AM134" t="e">
            <v>#N/A</v>
          </cell>
          <cell r="AN134">
            <v>0</v>
          </cell>
          <cell r="AR134" t="e">
            <v>#N/A</v>
          </cell>
          <cell r="AS134">
            <v>59.6</v>
          </cell>
          <cell r="AT134" t="e">
            <v>#N/A</v>
          </cell>
          <cell r="AU134">
            <v>51.09</v>
          </cell>
          <cell r="AV134">
            <v>5</v>
          </cell>
          <cell r="AX134">
            <v>0</v>
          </cell>
          <cell r="AY134" t="e">
            <v>#N/A</v>
          </cell>
          <cell r="BA134">
            <v>4.0699999999999896</v>
          </cell>
          <cell r="BB134" t="e">
            <v>#N/A</v>
          </cell>
          <cell r="BC134">
            <v>0</v>
          </cell>
          <cell r="BD134" t="e">
            <v>#N/A</v>
          </cell>
          <cell r="BE134" t="e">
            <v>#N/A</v>
          </cell>
          <cell r="BF134" t="e">
            <v>#N/A</v>
          </cell>
          <cell r="BL134">
            <v>0</v>
          </cell>
          <cell r="BM134" t="e">
            <v>#N/A</v>
          </cell>
          <cell r="BN134" t="e">
            <v>#N/A</v>
          </cell>
          <cell r="BO134" t="e">
            <v>#N/A</v>
          </cell>
          <cell r="BP134" t="e">
            <v>#N/A</v>
          </cell>
          <cell r="BQ134" t="e">
            <v>#N/A</v>
          </cell>
          <cell r="BR134">
            <v>-0.38784232365145227</v>
          </cell>
          <cell r="BT134">
            <v>-0.38784232365145227</v>
          </cell>
          <cell r="BU134" t="e">
            <v>#N/A</v>
          </cell>
          <cell r="BV134" t="e">
            <v>#N/A</v>
          </cell>
          <cell r="BW134" t="e">
            <v>#N/A</v>
          </cell>
          <cell r="BX134" t="e">
            <v>#N/A</v>
          </cell>
          <cell r="BY134" t="e">
            <v>#N/A</v>
          </cell>
          <cell r="BZ134" t="str">
            <v>CDI</v>
          </cell>
          <cell r="CA134" t="str">
            <v/>
          </cell>
          <cell r="CB134" t="str">
            <v/>
          </cell>
          <cell r="CC134" t="str">
            <v>BANQUE</v>
          </cell>
          <cell r="CD134" t="str">
            <v>810-Property Operation and Maintenance</v>
          </cell>
          <cell r="CE134">
            <v>810</v>
          </cell>
        </row>
        <row r="135">
          <cell r="B135" t="str">
            <v>06036</v>
          </cell>
          <cell r="C135" t="str">
            <v>MULAJA TSHIBWABWA AUGUSTIN</v>
          </cell>
          <cell r="D135" t="str">
            <v>Property Operation and Maintenance</v>
          </cell>
          <cell r="E135" t="str">
            <v>00018000360001173120029</v>
          </cell>
          <cell r="F135" t="str">
            <v>106447705280D</v>
          </cell>
          <cell r="G135" t="str">
            <v>MENUSIER</v>
          </cell>
          <cell r="H135">
            <v>6.65</v>
          </cell>
          <cell r="I135">
            <v>7.7</v>
          </cell>
          <cell r="J135">
            <v>7.6999999999999993</v>
          </cell>
          <cell r="K135" t="str">
            <v>TSQ1-4.III</v>
          </cell>
          <cell r="L135" t="str">
            <v>TRAVAILLEUR SEMI QUALIFIE</v>
          </cell>
          <cell r="M135" t="str">
            <v>CATEGORIE 1 A 5</v>
          </cell>
          <cell r="N135" t="str">
            <v>TRAVAILLEUR SEMI QUALIFIE (TSQ), Echellon 1, Classe 4</v>
          </cell>
          <cell r="P135">
            <v>41816</v>
          </cell>
          <cell r="Q135" t="e">
            <v>#N/A</v>
          </cell>
          <cell r="R135" t="e">
            <v>#N/A</v>
          </cell>
          <cell r="S135" t="e">
            <v>#N/A</v>
          </cell>
          <cell r="T135" t="e">
            <v>#N/A</v>
          </cell>
          <cell r="U135" t="e">
            <v>#N/A</v>
          </cell>
          <cell r="V135" t="e">
            <v>#N/A</v>
          </cell>
          <cell r="W135" t="e">
            <v>#N/A</v>
          </cell>
          <cell r="X135" t="e">
            <v>#N/A</v>
          </cell>
          <cell r="Y135" t="e">
            <v>#N/A</v>
          </cell>
          <cell r="Z135" t="e">
            <v>#N/A</v>
          </cell>
          <cell r="AA135" t="e">
            <v>#N/A</v>
          </cell>
          <cell r="AB135" t="e">
            <v>#N/A</v>
          </cell>
          <cell r="AC135" t="e">
            <v>#N/A</v>
          </cell>
          <cell r="AE135">
            <v>200.2</v>
          </cell>
          <cell r="AF135" t="e">
            <v>#N/A</v>
          </cell>
          <cell r="AG135" t="e">
            <v>#N/A</v>
          </cell>
          <cell r="AH135" t="e">
            <v>#N/A</v>
          </cell>
          <cell r="AI135" t="e">
            <v>#N/A</v>
          </cell>
          <cell r="AJ135" t="e">
            <v>#N/A</v>
          </cell>
          <cell r="AK135" t="e">
            <v>#N/A</v>
          </cell>
          <cell r="AL135" t="e">
            <v>#N/A</v>
          </cell>
          <cell r="AM135" t="e">
            <v>#N/A</v>
          </cell>
          <cell r="AN135">
            <v>0</v>
          </cell>
          <cell r="AR135" t="e">
            <v>#N/A</v>
          </cell>
          <cell r="AS135">
            <v>60.8</v>
          </cell>
          <cell r="AT135" t="e">
            <v>#N/A</v>
          </cell>
          <cell r="AU135">
            <v>45.5</v>
          </cell>
          <cell r="AV135">
            <v>4</v>
          </cell>
          <cell r="AX135">
            <v>0</v>
          </cell>
          <cell r="AY135" t="e">
            <v>#N/A</v>
          </cell>
          <cell r="BA135">
            <v>2.0299999999999701</v>
          </cell>
          <cell r="BB135" t="e">
            <v>#N/A</v>
          </cell>
          <cell r="BC135">
            <v>0</v>
          </cell>
          <cell r="BD135" t="e">
            <v>#N/A</v>
          </cell>
          <cell r="BE135" t="e">
            <v>#N/A</v>
          </cell>
          <cell r="BF135" t="e">
            <v>#N/A</v>
          </cell>
          <cell r="BL135">
            <v>0</v>
          </cell>
          <cell r="BM135" t="e">
            <v>#N/A</v>
          </cell>
          <cell r="BN135" t="e">
            <v>#N/A</v>
          </cell>
          <cell r="BO135" t="e">
            <v>#N/A</v>
          </cell>
          <cell r="BP135" t="e">
            <v>#N/A</v>
          </cell>
          <cell r="BQ135" t="e">
            <v>#N/A</v>
          </cell>
          <cell r="BR135">
            <v>-0.38784232365145227</v>
          </cell>
          <cell r="BT135">
            <v>-0.38784232365145227</v>
          </cell>
          <cell r="BU135" t="e">
            <v>#N/A</v>
          </cell>
          <cell r="BV135" t="e">
            <v>#N/A</v>
          </cell>
          <cell r="BW135" t="e">
            <v>#N/A</v>
          </cell>
          <cell r="BX135" t="e">
            <v>#N/A</v>
          </cell>
          <cell r="BY135" t="e">
            <v>#N/A</v>
          </cell>
          <cell r="BZ135" t="str">
            <v>CDI</v>
          </cell>
          <cell r="CA135" t="str">
            <v/>
          </cell>
          <cell r="CB135" t="str">
            <v/>
          </cell>
          <cell r="CC135" t="str">
            <v>BANQUE</v>
          </cell>
          <cell r="CD135" t="str">
            <v>810-Property Operation and Maintenance</v>
          </cell>
          <cell r="CE135">
            <v>810</v>
          </cell>
        </row>
        <row r="136">
          <cell r="B136" t="str">
            <v>06038</v>
          </cell>
          <cell r="C136" t="str">
            <v>MBOMBO ADINGABO ALAIN</v>
          </cell>
          <cell r="D136" t="str">
            <v>Property Operation and Maintenance</v>
          </cell>
          <cell r="E136" t="str">
            <v>00018000360001159120019</v>
          </cell>
          <cell r="F136" t="str">
            <v>102418307160M</v>
          </cell>
          <cell r="G136" t="str">
            <v>PEINTRE</v>
          </cell>
          <cell r="H136">
            <v>6.65</v>
          </cell>
          <cell r="I136">
            <v>7.7</v>
          </cell>
          <cell r="J136">
            <v>7.6999999999999993</v>
          </cell>
          <cell r="K136" t="str">
            <v>TSQ1-4.III</v>
          </cell>
          <cell r="L136" t="str">
            <v>TRAVAILLEUR SEMI QUALIFIE</v>
          </cell>
          <cell r="M136" t="str">
            <v>CATEGORIE 1 A 5</v>
          </cell>
          <cell r="N136" t="str">
            <v>TRAVAILLEUR SEMI QUALIFIE (TSQ), Echellon 1, Classe 4</v>
          </cell>
          <cell r="P136">
            <v>41816</v>
          </cell>
          <cell r="Q136" t="e">
            <v>#N/A</v>
          </cell>
          <cell r="R136" t="e">
            <v>#N/A</v>
          </cell>
          <cell r="S136" t="e">
            <v>#N/A</v>
          </cell>
          <cell r="T136" t="e">
            <v>#N/A</v>
          </cell>
          <cell r="U136" t="e">
            <v>#N/A</v>
          </cell>
          <cell r="V136" t="e">
            <v>#N/A</v>
          </cell>
          <cell r="W136" t="e">
            <v>#N/A</v>
          </cell>
          <cell r="X136" t="e">
            <v>#N/A</v>
          </cell>
          <cell r="Y136" t="e">
            <v>#N/A</v>
          </cell>
          <cell r="Z136" t="e">
            <v>#N/A</v>
          </cell>
          <cell r="AA136" t="e">
            <v>#N/A</v>
          </cell>
          <cell r="AB136" t="e">
            <v>#N/A</v>
          </cell>
          <cell r="AC136" t="e">
            <v>#N/A</v>
          </cell>
          <cell r="AE136">
            <v>200.2</v>
          </cell>
          <cell r="AF136" t="e">
            <v>#N/A</v>
          </cell>
          <cell r="AG136" t="e">
            <v>#N/A</v>
          </cell>
          <cell r="AH136" t="e">
            <v>#N/A</v>
          </cell>
          <cell r="AI136" t="e">
            <v>#N/A</v>
          </cell>
          <cell r="AJ136" t="e">
            <v>#N/A</v>
          </cell>
          <cell r="AK136" t="e">
            <v>#N/A</v>
          </cell>
          <cell r="AL136" t="e">
            <v>#N/A</v>
          </cell>
          <cell r="AM136" t="e">
            <v>#N/A</v>
          </cell>
          <cell r="AN136">
            <v>0</v>
          </cell>
          <cell r="AR136" t="e">
            <v>#N/A</v>
          </cell>
          <cell r="AS136">
            <v>59.6</v>
          </cell>
          <cell r="AT136" t="e">
            <v>#N/A</v>
          </cell>
          <cell r="AU136">
            <v>53</v>
          </cell>
          <cell r="AV136">
            <v>3</v>
          </cell>
          <cell r="AX136">
            <v>0</v>
          </cell>
          <cell r="AY136" t="e">
            <v>#N/A</v>
          </cell>
          <cell r="BA136">
            <v>0.89999999999997704</v>
          </cell>
          <cell r="BB136" t="e">
            <v>#N/A</v>
          </cell>
          <cell r="BC136">
            <v>0</v>
          </cell>
          <cell r="BD136" t="e">
            <v>#N/A</v>
          </cell>
          <cell r="BE136" t="e">
            <v>#N/A</v>
          </cell>
          <cell r="BF136" t="e">
            <v>#N/A</v>
          </cell>
          <cell r="BL136">
            <v>0</v>
          </cell>
          <cell r="BM136" t="e">
            <v>#N/A</v>
          </cell>
          <cell r="BN136" t="e">
            <v>#N/A</v>
          </cell>
          <cell r="BO136" t="e">
            <v>#N/A</v>
          </cell>
          <cell r="BP136" t="e">
            <v>#N/A</v>
          </cell>
          <cell r="BQ136" t="e">
            <v>#N/A</v>
          </cell>
          <cell r="BR136">
            <v>-0.38784232365145227</v>
          </cell>
          <cell r="BT136">
            <v>-0.38784232365145227</v>
          </cell>
          <cell r="BU136" t="e">
            <v>#N/A</v>
          </cell>
          <cell r="BV136" t="e">
            <v>#N/A</v>
          </cell>
          <cell r="BW136" t="e">
            <v>#N/A</v>
          </cell>
          <cell r="BX136" t="e">
            <v>#N/A</v>
          </cell>
          <cell r="BY136" t="e">
            <v>#N/A</v>
          </cell>
          <cell r="BZ136" t="str">
            <v>CDI</v>
          </cell>
          <cell r="CA136" t="str">
            <v/>
          </cell>
          <cell r="CB136" t="str">
            <v/>
          </cell>
          <cell r="CC136" t="str">
            <v>BANQUE</v>
          </cell>
          <cell r="CD136" t="str">
            <v>810-Property Operation and Maintenance</v>
          </cell>
          <cell r="CE136">
            <v>810</v>
          </cell>
        </row>
        <row r="137">
          <cell r="B137" t="str">
            <v>06039</v>
          </cell>
          <cell r="C137" t="str">
            <v>MASSAMBA MOKE JERRY</v>
          </cell>
          <cell r="D137" t="str">
            <v>Housekeeping</v>
          </cell>
          <cell r="E137" t="str">
            <v>00018000360001263120024</v>
          </cell>
          <cell r="F137" t="str">
            <v>109447407071D</v>
          </cell>
          <cell r="G137" t="str">
            <v>SUPERVISOR FLEURISTE</v>
          </cell>
          <cell r="H137">
            <v>10.3</v>
          </cell>
          <cell r="I137">
            <v>11.85</v>
          </cell>
          <cell r="J137">
            <v>11.850000000000001</v>
          </cell>
          <cell r="K137" t="str">
            <v>TRQ1-7.IV</v>
          </cell>
          <cell r="L137" t="str">
            <v>TRAVAILLEUR QUALIFIE</v>
          </cell>
          <cell r="M137" t="str">
            <v>CATEGORIE 1 A 5</v>
          </cell>
          <cell r="N137" t="str">
            <v>TRAVAILLEUR QUALIFIE (TQ), Echellon 1, Classe 7</v>
          </cell>
          <cell r="P137">
            <v>41778</v>
          </cell>
          <cell r="Q137" t="e">
            <v>#N/A</v>
          </cell>
          <cell r="R137" t="e">
            <v>#N/A</v>
          </cell>
          <cell r="S137" t="e">
            <v>#N/A</v>
          </cell>
          <cell r="T137" t="e">
            <v>#N/A</v>
          </cell>
          <cell r="U137" t="e">
            <v>#N/A</v>
          </cell>
          <cell r="V137" t="e">
            <v>#N/A</v>
          </cell>
          <cell r="W137" t="e">
            <v>#N/A</v>
          </cell>
          <cell r="X137" t="e">
            <v>#N/A</v>
          </cell>
          <cell r="Y137" t="e">
            <v>#N/A</v>
          </cell>
          <cell r="Z137" t="e">
            <v>#N/A</v>
          </cell>
          <cell r="AA137" t="e">
            <v>#N/A</v>
          </cell>
          <cell r="AB137" t="e">
            <v>#N/A</v>
          </cell>
          <cell r="AC137" t="e">
            <v>#N/A</v>
          </cell>
          <cell r="AE137">
            <v>308.10000000000002</v>
          </cell>
          <cell r="AF137" t="e">
            <v>#N/A</v>
          </cell>
          <cell r="AG137" t="e">
            <v>#N/A</v>
          </cell>
          <cell r="AH137" t="e">
            <v>#N/A</v>
          </cell>
          <cell r="AI137" t="e">
            <v>#N/A</v>
          </cell>
          <cell r="AJ137" t="e">
            <v>#N/A</v>
          </cell>
          <cell r="AK137" t="e">
            <v>#N/A</v>
          </cell>
          <cell r="AL137" t="e">
            <v>#N/A</v>
          </cell>
          <cell r="AM137" t="e">
            <v>#N/A</v>
          </cell>
          <cell r="AN137">
            <v>0</v>
          </cell>
          <cell r="AR137" t="e">
            <v>#N/A</v>
          </cell>
          <cell r="AS137">
            <v>129.38</v>
          </cell>
          <cell r="AT137" t="e">
            <v>#N/A</v>
          </cell>
          <cell r="AU137">
            <v>68.900000000000006</v>
          </cell>
          <cell r="AV137">
            <v>7</v>
          </cell>
          <cell r="AX137">
            <v>0</v>
          </cell>
          <cell r="AY137" t="e">
            <v>#N/A</v>
          </cell>
          <cell r="BA137">
            <v>3.33000000000004</v>
          </cell>
          <cell r="BB137" t="e">
            <v>#N/A</v>
          </cell>
          <cell r="BC137">
            <v>10</v>
          </cell>
          <cell r="BD137" t="e">
            <v>#N/A</v>
          </cell>
          <cell r="BE137" t="e">
            <v>#N/A</v>
          </cell>
          <cell r="BF137" t="e">
            <v>#N/A</v>
          </cell>
          <cell r="BL137">
            <v>0</v>
          </cell>
          <cell r="BM137" t="e">
            <v>#N/A</v>
          </cell>
          <cell r="BN137" t="e">
            <v>#N/A</v>
          </cell>
          <cell r="BO137" t="e">
            <v>#N/A</v>
          </cell>
          <cell r="BP137" t="e">
            <v>#N/A</v>
          </cell>
          <cell r="BQ137" t="e">
            <v>#N/A</v>
          </cell>
          <cell r="BR137">
            <v>-0.38784232365145227</v>
          </cell>
          <cell r="BT137">
            <v>-0.38784232365145227</v>
          </cell>
          <cell r="BU137" t="e">
            <v>#N/A</v>
          </cell>
          <cell r="BV137" t="e">
            <v>#N/A</v>
          </cell>
          <cell r="BW137" t="e">
            <v>#N/A</v>
          </cell>
          <cell r="BX137" t="e">
            <v>#N/A</v>
          </cell>
          <cell r="BY137" t="e">
            <v>#N/A</v>
          </cell>
          <cell r="BZ137" t="str">
            <v>CDI</v>
          </cell>
          <cell r="CA137" t="str">
            <v/>
          </cell>
          <cell r="CB137" t="str">
            <v/>
          </cell>
          <cell r="CC137" t="str">
            <v>BANQUE</v>
          </cell>
          <cell r="CD137" t="str">
            <v>160-Housekeeping</v>
          </cell>
          <cell r="CE137">
            <v>160</v>
          </cell>
        </row>
        <row r="138">
          <cell r="B138" t="str">
            <v>03043</v>
          </cell>
          <cell r="C138" t="str">
            <v>KIANGANI MAYIMONA JEAN</v>
          </cell>
          <cell r="D138" t="str">
            <v>Guest Transportation</v>
          </cell>
          <cell r="E138" t="str">
            <v>00018000360001762120034</v>
          </cell>
          <cell r="F138" t="str">
            <v>108428204220Q</v>
          </cell>
          <cell r="G138" t="str">
            <v>Purchasing Driver</v>
          </cell>
          <cell r="H138">
            <v>8.9</v>
          </cell>
          <cell r="I138">
            <v>10.3</v>
          </cell>
          <cell r="J138">
            <v>10.3</v>
          </cell>
          <cell r="K138" t="str">
            <v>TSQ3-6.III</v>
          </cell>
          <cell r="L138" t="str">
            <v>TRAVAILLEUR SEMI QUALIFIE</v>
          </cell>
          <cell r="M138" t="str">
            <v>CATEGORIE 1 A 5</v>
          </cell>
          <cell r="N138" t="str">
            <v>TRAVAILLEUR SEMI QUALIFIE (TSQ), Echellon 3, Classe 6</v>
          </cell>
          <cell r="P138">
            <v>41732</v>
          </cell>
          <cell r="Q138" t="e">
            <v>#N/A</v>
          </cell>
          <cell r="R138" t="e">
            <v>#N/A</v>
          </cell>
          <cell r="S138" t="e">
            <v>#N/A</v>
          </cell>
          <cell r="T138" t="e">
            <v>#N/A</v>
          </cell>
          <cell r="U138" t="e">
            <v>#N/A</v>
          </cell>
          <cell r="V138" t="e">
            <v>#N/A</v>
          </cell>
          <cell r="W138" t="e">
            <v>#N/A</v>
          </cell>
          <cell r="X138" t="e">
            <v>#N/A</v>
          </cell>
          <cell r="Y138" t="e">
            <v>#N/A</v>
          </cell>
          <cell r="Z138" t="e">
            <v>#N/A</v>
          </cell>
          <cell r="AA138" t="e">
            <v>#N/A</v>
          </cell>
          <cell r="AB138" t="e">
            <v>#N/A</v>
          </cell>
          <cell r="AC138" t="e">
            <v>#N/A</v>
          </cell>
          <cell r="AE138">
            <v>267.8</v>
          </cell>
          <cell r="AF138" t="e">
            <v>#N/A</v>
          </cell>
          <cell r="AG138" t="e">
            <v>#N/A</v>
          </cell>
          <cell r="AH138" t="e">
            <v>#N/A</v>
          </cell>
          <cell r="AI138" t="e">
            <v>#N/A</v>
          </cell>
          <cell r="AJ138" t="e">
            <v>#N/A</v>
          </cell>
          <cell r="AK138" t="e">
            <v>#N/A</v>
          </cell>
          <cell r="AL138" t="e">
            <v>#N/A</v>
          </cell>
          <cell r="AM138" t="e">
            <v>#N/A</v>
          </cell>
          <cell r="AN138">
            <v>0</v>
          </cell>
          <cell r="AR138" t="e">
            <v>#N/A</v>
          </cell>
          <cell r="AS138">
            <v>70</v>
          </cell>
          <cell r="AT138" t="e">
            <v>#N/A</v>
          </cell>
          <cell r="AU138">
            <v>49.7</v>
          </cell>
          <cell r="AV138">
            <v>3</v>
          </cell>
          <cell r="AX138">
            <v>0</v>
          </cell>
          <cell r="AY138" t="e">
            <v>#N/A</v>
          </cell>
          <cell r="BA138">
            <v>1.9100000000000299</v>
          </cell>
          <cell r="BB138" t="e">
            <v>#N/A</v>
          </cell>
          <cell r="BC138">
            <v>10</v>
          </cell>
          <cell r="BD138" t="e">
            <v>#N/A</v>
          </cell>
          <cell r="BE138" t="e">
            <v>#N/A</v>
          </cell>
          <cell r="BF138" t="e">
            <v>#N/A</v>
          </cell>
          <cell r="BL138">
            <v>0</v>
          </cell>
          <cell r="BM138" t="e">
            <v>#N/A</v>
          </cell>
          <cell r="BN138" t="e">
            <v>#N/A</v>
          </cell>
          <cell r="BO138" t="e">
            <v>#N/A</v>
          </cell>
          <cell r="BP138" t="e">
            <v>#N/A</v>
          </cell>
          <cell r="BQ138" t="e">
            <v>#N/A</v>
          </cell>
          <cell r="BR138">
            <v>-0.38784232365145227</v>
          </cell>
          <cell r="BT138">
            <v>-0.38784232365145227</v>
          </cell>
          <cell r="BU138" t="e">
            <v>#N/A</v>
          </cell>
          <cell r="BV138" t="e">
            <v>#N/A</v>
          </cell>
          <cell r="BW138" t="e">
            <v>#N/A</v>
          </cell>
          <cell r="BX138" t="e">
            <v>#N/A</v>
          </cell>
          <cell r="BY138" t="e">
            <v>#N/A</v>
          </cell>
          <cell r="BZ138" t="str">
            <v>CDI</v>
          </cell>
          <cell r="CA138" t="str">
            <v/>
          </cell>
          <cell r="CB138" t="str">
            <v/>
          </cell>
          <cell r="CC138" t="str">
            <v>BANQUE</v>
          </cell>
          <cell r="CD138" t="str">
            <v>481-Guest Transportation</v>
          </cell>
          <cell r="CE138">
            <v>481</v>
          </cell>
        </row>
        <row r="139">
          <cell r="B139" t="str">
            <v>03045</v>
          </cell>
          <cell r="C139" t="str">
            <v>BOKOLOMBA BWEMBIA VIANNEZ</v>
          </cell>
          <cell r="D139" t="str">
            <v>Accounting</v>
          </cell>
          <cell r="E139" t="str">
            <v>00018000360136462120052</v>
          </cell>
          <cell r="F139" t="str">
            <v>102456702140L</v>
          </cell>
          <cell r="G139" t="str">
            <v>Assistant Controleur Financier</v>
          </cell>
          <cell r="H139">
            <v>0</v>
          </cell>
          <cell r="I139">
            <v>0</v>
          </cell>
          <cell r="J139">
            <v>76.92307692307692</v>
          </cell>
          <cell r="K139" t="str">
            <v>CAD</v>
          </cell>
          <cell r="L139" t="str">
            <v>CADRE DE DIRECTION</v>
          </cell>
          <cell r="M139" t="str">
            <v>CADRE DE DIRECTION</v>
          </cell>
          <cell r="N139" t="str">
            <v>CADRE DE DIRECTION</v>
          </cell>
          <cell r="P139">
            <v>41939</v>
          </cell>
          <cell r="Q139" t="e">
            <v>#N/A</v>
          </cell>
          <cell r="R139" t="e">
            <v>#N/A</v>
          </cell>
          <cell r="S139" t="e">
            <v>#N/A</v>
          </cell>
          <cell r="T139" t="e">
            <v>#N/A</v>
          </cell>
          <cell r="U139" t="e">
            <v>#N/A</v>
          </cell>
          <cell r="V139" t="e">
            <v>#N/A</v>
          </cell>
          <cell r="W139" t="e">
            <v>#N/A</v>
          </cell>
          <cell r="X139" t="e">
            <v>#N/A</v>
          </cell>
          <cell r="Y139" t="e">
            <v>#N/A</v>
          </cell>
          <cell r="Z139" t="e">
            <v>#N/A</v>
          </cell>
          <cell r="AA139" t="e">
            <v>#N/A</v>
          </cell>
          <cell r="AB139" t="e">
            <v>#N/A</v>
          </cell>
          <cell r="AC139" t="e">
            <v>#N/A</v>
          </cell>
          <cell r="AE139">
            <v>2000</v>
          </cell>
          <cell r="AF139" t="e">
            <v>#N/A</v>
          </cell>
          <cell r="AG139" t="e">
            <v>#N/A</v>
          </cell>
          <cell r="AH139" t="e">
            <v>#N/A</v>
          </cell>
          <cell r="AI139" t="e">
            <v>#N/A</v>
          </cell>
          <cell r="AJ139" t="e">
            <v>#N/A</v>
          </cell>
          <cell r="AK139" t="e">
            <v>#N/A</v>
          </cell>
          <cell r="AL139" t="e">
            <v>#N/A</v>
          </cell>
          <cell r="AM139" t="e">
            <v>#N/A</v>
          </cell>
          <cell r="AN139">
            <v>0</v>
          </cell>
          <cell r="AR139" t="e">
            <v>#N/A</v>
          </cell>
          <cell r="AS139">
            <v>180</v>
          </cell>
          <cell r="AT139" t="e">
            <v>#N/A</v>
          </cell>
          <cell r="AU139">
            <v>356</v>
          </cell>
          <cell r="AV139">
            <v>4</v>
          </cell>
          <cell r="AX139">
            <v>0</v>
          </cell>
          <cell r="AY139" t="e">
            <v>#N/A</v>
          </cell>
          <cell r="AZ139">
            <v>200</v>
          </cell>
          <cell r="BA139">
            <v>0</v>
          </cell>
          <cell r="BB139" t="e">
            <v>#N/A</v>
          </cell>
          <cell r="BC139">
            <v>30</v>
          </cell>
          <cell r="BD139" t="e">
            <v>#N/A</v>
          </cell>
          <cell r="BE139" t="e">
            <v>#N/A</v>
          </cell>
          <cell r="BF139" t="e">
            <v>#N/A</v>
          </cell>
          <cell r="BL139">
            <v>0</v>
          </cell>
          <cell r="BM139" t="e">
            <v>#N/A</v>
          </cell>
          <cell r="BN139" t="e">
            <v>#N/A</v>
          </cell>
          <cell r="BO139" t="e">
            <v>#N/A</v>
          </cell>
          <cell r="BP139" t="e">
            <v>#N/A</v>
          </cell>
          <cell r="BQ139" t="e">
            <v>#N/A</v>
          </cell>
          <cell r="BR139">
            <v>-0.38784232365145227</v>
          </cell>
          <cell r="BT139">
            <v>-0.38784232365145227</v>
          </cell>
          <cell r="BU139" t="e">
            <v>#N/A</v>
          </cell>
          <cell r="BV139" t="e">
            <v>#N/A</v>
          </cell>
          <cell r="BW139" t="e">
            <v>#N/A</v>
          </cell>
          <cell r="BX139" t="e">
            <v>#N/A</v>
          </cell>
          <cell r="BY139" t="e">
            <v>#N/A</v>
          </cell>
          <cell r="BZ139" t="str">
            <v>CDI</v>
          </cell>
          <cell r="CA139" t="str">
            <v/>
          </cell>
          <cell r="CB139" t="str">
            <v/>
          </cell>
          <cell r="CC139" t="str">
            <v>BANQUE</v>
          </cell>
          <cell r="CD139" t="str">
            <v>620-Accounting</v>
          </cell>
          <cell r="CE139">
            <v>620</v>
          </cell>
        </row>
        <row r="140">
          <cell r="B140" t="str">
            <v>04224</v>
          </cell>
          <cell r="C140" t="str">
            <v>BOLA IKAW SYLVIE</v>
          </cell>
          <cell r="D140" t="str">
            <v>Reservations</v>
          </cell>
          <cell r="E140" t="str">
            <v>00018000360001069120024</v>
          </cell>
          <cell r="F140" t="str">
            <v>209518809110N</v>
          </cell>
          <cell r="G140" t="str">
            <v>Reservation Assistant Manager</v>
          </cell>
          <cell r="H140">
            <v>18.3</v>
          </cell>
          <cell r="I140">
            <v>21.1</v>
          </cell>
          <cell r="J140">
            <v>21.1</v>
          </cell>
          <cell r="K140" t="str">
            <v>MAT2-11.M</v>
          </cell>
          <cell r="L140" t="str">
            <v>MAITRISE</v>
          </cell>
          <cell r="M140" t="str">
            <v>MAITRISE</v>
          </cell>
          <cell r="N140" t="str">
            <v>MAITRISES, Echellon 2, Classe 11</v>
          </cell>
          <cell r="P140">
            <v>41852</v>
          </cell>
          <cell r="Q140" t="e">
            <v>#N/A</v>
          </cell>
          <cell r="R140" t="e">
            <v>#N/A</v>
          </cell>
          <cell r="S140" t="e">
            <v>#N/A</v>
          </cell>
          <cell r="T140" t="e">
            <v>#N/A</v>
          </cell>
          <cell r="U140" t="e">
            <v>#N/A</v>
          </cell>
          <cell r="V140" t="e">
            <v>#N/A</v>
          </cell>
          <cell r="W140" t="e">
            <v>#N/A</v>
          </cell>
          <cell r="X140" t="e">
            <v>#N/A</v>
          </cell>
          <cell r="Y140" t="e">
            <v>#N/A</v>
          </cell>
          <cell r="Z140" t="e">
            <v>#N/A</v>
          </cell>
          <cell r="AA140" t="e">
            <v>#N/A</v>
          </cell>
          <cell r="AB140" t="e">
            <v>#N/A</v>
          </cell>
          <cell r="AC140" t="e">
            <v>#N/A</v>
          </cell>
          <cell r="AE140">
            <v>548.6</v>
          </cell>
          <cell r="AF140" t="e">
            <v>#N/A</v>
          </cell>
          <cell r="AG140" t="e">
            <v>#N/A</v>
          </cell>
          <cell r="AH140" t="e">
            <v>#N/A</v>
          </cell>
          <cell r="AI140" t="e">
            <v>#N/A</v>
          </cell>
          <cell r="AJ140" t="e">
            <v>#N/A</v>
          </cell>
          <cell r="AK140" t="e">
            <v>#N/A</v>
          </cell>
          <cell r="AL140" t="e">
            <v>#N/A</v>
          </cell>
          <cell r="AM140" t="e">
            <v>#N/A</v>
          </cell>
          <cell r="AN140">
            <v>0</v>
          </cell>
          <cell r="AR140" t="e">
            <v>#N/A</v>
          </cell>
          <cell r="AS140">
            <v>166</v>
          </cell>
          <cell r="AT140" t="e">
            <v>#N/A</v>
          </cell>
          <cell r="AU140">
            <v>101.4</v>
          </cell>
          <cell r="AV140">
            <v>3</v>
          </cell>
          <cell r="AX140">
            <v>0</v>
          </cell>
          <cell r="AY140" t="e">
            <v>#N/A</v>
          </cell>
          <cell r="AZ140">
            <v>250</v>
          </cell>
          <cell r="BA140">
            <v>7.98000000000002</v>
          </cell>
          <cell r="BB140" t="e">
            <v>#N/A</v>
          </cell>
          <cell r="BC140">
            <v>30</v>
          </cell>
          <cell r="BD140" t="e">
            <v>#N/A</v>
          </cell>
          <cell r="BE140" t="e">
            <v>#N/A</v>
          </cell>
          <cell r="BF140" t="e">
            <v>#N/A</v>
          </cell>
          <cell r="BL140">
            <v>0</v>
          </cell>
          <cell r="BM140" t="e">
            <v>#N/A</v>
          </cell>
          <cell r="BN140" t="e">
            <v>#N/A</v>
          </cell>
          <cell r="BO140" t="e">
            <v>#N/A</v>
          </cell>
          <cell r="BP140" t="e">
            <v>#N/A</v>
          </cell>
          <cell r="BQ140" t="e">
            <v>#N/A</v>
          </cell>
          <cell r="BR140">
            <v>-0.38784232365145227</v>
          </cell>
          <cell r="BT140">
            <v>-0.38784232365145227</v>
          </cell>
          <cell r="BU140" t="e">
            <v>#N/A</v>
          </cell>
          <cell r="BV140" t="e">
            <v>#N/A</v>
          </cell>
          <cell r="BW140" t="e">
            <v>#N/A</v>
          </cell>
          <cell r="BX140" t="e">
            <v>#N/A</v>
          </cell>
          <cell r="BY140" t="e">
            <v>#N/A</v>
          </cell>
          <cell r="BZ140" t="str">
            <v>CDI</v>
          </cell>
          <cell r="CA140" t="str">
            <v/>
          </cell>
          <cell r="CB140" t="str">
            <v/>
          </cell>
          <cell r="CC140" t="str">
            <v>BANQUE</v>
          </cell>
          <cell r="CD140" t="str">
            <v>140-Reservations</v>
          </cell>
          <cell r="CE140">
            <v>140</v>
          </cell>
        </row>
        <row r="141">
          <cell r="B141" t="str">
            <v>05064</v>
          </cell>
          <cell r="C141" t="str">
            <v>NSINGI KUKIELE DIEU MERCI</v>
          </cell>
          <cell r="D141" t="str">
            <v>In-Room Dining</v>
          </cell>
          <cell r="E141" t="str">
            <v>00018000360001201120049</v>
          </cell>
          <cell r="F141" t="str">
            <v>108438604240L</v>
          </cell>
          <cell r="G141" t="str">
            <v>Order taker/Cashier</v>
          </cell>
          <cell r="H141">
            <v>6.65</v>
          </cell>
          <cell r="I141">
            <v>7.7</v>
          </cell>
          <cell r="J141">
            <v>7.6999999999999993</v>
          </cell>
          <cell r="K141" t="str">
            <v>TSQ1-4.III</v>
          </cell>
          <cell r="L141" t="str">
            <v>TRAVAILLEUR SEMI QUALIFIE</v>
          </cell>
          <cell r="M141" t="str">
            <v>CATEGORIE 1 A 5</v>
          </cell>
          <cell r="N141" t="str">
            <v>TRAVAILLEUR SEMI QUALIFIE (TSQ), Echellon 1, Classe 4</v>
          </cell>
          <cell r="P141">
            <v>41153</v>
          </cell>
          <cell r="Q141" t="e">
            <v>#N/A</v>
          </cell>
          <cell r="R141" t="e">
            <v>#N/A</v>
          </cell>
          <cell r="S141" t="e">
            <v>#N/A</v>
          </cell>
          <cell r="T141" t="e">
            <v>#N/A</v>
          </cell>
          <cell r="U141" t="e">
            <v>#N/A</v>
          </cell>
          <cell r="V141" t="e">
            <v>#N/A</v>
          </cell>
          <cell r="W141" t="e">
            <v>#N/A</v>
          </cell>
          <cell r="X141" t="e">
            <v>#N/A</v>
          </cell>
          <cell r="Y141" t="e">
            <v>#N/A</v>
          </cell>
          <cell r="Z141" t="e">
            <v>#N/A</v>
          </cell>
          <cell r="AA141" t="e">
            <v>#N/A</v>
          </cell>
          <cell r="AB141" t="e">
            <v>#N/A</v>
          </cell>
          <cell r="AC141" t="e">
            <v>#N/A</v>
          </cell>
          <cell r="AE141">
            <v>200.2</v>
          </cell>
          <cell r="AF141" t="e">
            <v>#N/A</v>
          </cell>
          <cell r="AG141" t="e">
            <v>#N/A</v>
          </cell>
          <cell r="AH141" t="e">
            <v>#N/A</v>
          </cell>
          <cell r="AI141" t="e">
            <v>#N/A</v>
          </cell>
          <cell r="AJ141" t="e">
            <v>#N/A</v>
          </cell>
          <cell r="AK141" t="e">
            <v>#N/A</v>
          </cell>
          <cell r="AL141" t="e">
            <v>#N/A</v>
          </cell>
          <cell r="AM141" t="e">
            <v>#N/A</v>
          </cell>
          <cell r="AN141">
            <v>0</v>
          </cell>
          <cell r="AO141">
            <v>30</v>
          </cell>
          <cell r="AR141" t="e">
            <v>#N/A</v>
          </cell>
          <cell r="AS141">
            <v>60</v>
          </cell>
          <cell r="AT141" t="e">
            <v>#N/A</v>
          </cell>
          <cell r="AU141">
            <v>48.05</v>
          </cell>
          <cell r="AV141">
            <v>1</v>
          </cell>
          <cell r="AX141">
            <v>0</v>
          </cell>
          <cell r="AY141" t="e">
            <v>#N/A</v>
          </cell>
          <cell r="BA141">
            <v>0.26999999999998198</v>
          </cell>
          <cell r="BB141" t="e">
            <v>#N/A</v>
          </cell>
          <cell r="BC141">
            <v>0</v>
          </cell>
          <cell r="BD141" t="e">
            <v>#N/A</v>
          </cell>
          <cell r="BE141" t="e">
            <v>#N/A</v>
          </cell>
          <cell r="BF141" t="e">
            <v>#N/A</v>
          </cell>
          <cell r="BG141">
            <v>38</v>
          </cell>
          <cell r="BL141">
            <v>38</v>
          </cell>
          <cell r="BM141" t="e">
            <v>#N/A</v>
          </cell>
          <cell r="BN141" t="e">
            <v>#N/A</v>
          </cell>
          <cell r="BO141" t="e">
            <v>#N/A</v>
          </cell>
          <cell r="BP141" t="e">
            <v>#N/A</v>
          </cell>
          <cell r="BQ141" t="e">
            <v>#N/A</v>
          </cell>
          <cell r="BR141">
            <v>-0.38784232365145227</v>
          </cell>
          <cell r="BT141">
            <v>-0.38784232365145227</v>
          </cell>
          <cell r="BU141" t="e">
            <v>#N/A</v>
          </cell>
          <cell r="BV141" t="e">
            <v>#N/A</v>
          </cell>
          <cell r="BW141" t="e">
            <v>#N/A</v>
          </cell>
          <cell r="BX141" t="e">
            <v>#N/A</v>
          </cell>
          <cell r="BY141" t="e">
            <v>#N/A</v>
          </cell>
          <cell r="BZ141" t="str">
            <v>CDI</v>
          </cell>
          <cell r="CA141" t="str">
            <v/>
          </cell>
          <cell r="CB141" t="str">
            <v/>
          </cell>
          <cell r="CC141" t="str">
            <v>BANQUE</v>
          </cell>
          <cell r="CD141" t="str">
            <v>260-In-Room Dining</v>
          </cell>
          <cell r="CE141">
            <v>260</v>
          </cell>
        </row>
        <row r="142">
          <cell r="B142" t="str">
            <v>05273</v>
          </cell>
          <cell r="C142" t="str">
            <v>MALEMA MUNANGA ANDRE</v>
          </cell>
          <cell r="D142" t="str">
            <v>In-Room Dining</v>
          </cell>
          <cell r="E142" t="str">
            <v>00018000360001294120060</v>
          </cell>
          <cell r="F142" t="str">
            <v>109426211100E</v>
          </cell>
          <cell r="G142" t="str">
            <v>Order taker/Cashier</v>
          </cell>
          <cell r="H142">
            <v>6.65</v>
          </cell>
          <cell r="I142">
            <v>7.7</v>
          </cell>
          <cell r="J142">
            <v>7.6999999999999993</v>
          </cell>
          <cell r="K142" t="str">
            <v>TSQ1-4.III</v>
          </cell>
          <cell r="L142" t="str">
            <v>TRAVAILLEUR SEMI QUALIFIE</v>
          </cell>
          <cell r="M142" t="str">
            <v>CATEGORIE 1 A 5</v>
          </cell>
          <cell r="N142" t="str">
            <v>TRAVAILLEUR SEMI QUALIFIE (TSQ), Echellon 1, Classe 4</v>
          </cell>
          <cell r="P142">
            <v>41153</v>
          </cell>
          <cell r="Q142" t="e">
            <v>#N/A</v>
          </cell>
          <cell r="R142" t="e">
            <v>#N/A</v>
          </cell>
          <cell r="S142" t="e">
            <v>#N/A</v>
          </cell>
          <cell r="T142" t="e">
            <v>#N/A</v>
          </cell>
          <cell r="U142" t="e">
            <v>#N/A</v>
          </cell>
          <cell r="V142" t="e">
            <v>#N/A</v>
          </cell>
          <cell r="W142" t="e">
            <v>#N/A</v>
          </cell>
          <cell r="X142" t="e">
            <v>#N/A</v>
          </cell>
          <cell r="Y142" t="e">
            <v>#N/A</v>
          </cell>
          <cell r="Z142" t="e">
            <v>#N/A</v>
          </cell>
          <cell r="AA142" t="e">
            <v>#N/A</v>
          </cell>
          <cell r="AB142" t="e">
            <v>#N/A</v>
          </cell>
          <cell r="AC142" t="e">
            <v>#N/A</v>
          </cell>
          <cell r="AE142">
            <v>200.2</v>
          </cell>
          <cell r="AF142" t="e">
            <v>#N/A</v>
          </cell>
          <cell r="AG142" t="e">
            <v>#N/A</v>
          </cell>
          <cell r="AH142" t="e">
            <v>#N/A</v>
          </cell>
          <cell r="AI142" t="e">
            <v>#N/A</v>
          </cell>
          <cell r="AJ142" t="e">
            <v>#N/A</v>
          </cell>
          <cell r="AK142" t="e">
            <v>#N/A</v>
          </cell>
          <cell r="AL142" t="e">
            <v>#N/A</v>
          </cell>
          <cell r="AM142" t="e">
            <v>#N/A</v>
          </cell>
          <cell r="AN142">
            <v>0</v>
          </cell>
          <cell r="AO142">
            <v>30</v>
          </cell>
          <cell r="AR142" t="e">
            <v>#N/A</v>
          </cell>
          <cell r="AS142">
            <v>60</v>
          </cell>
          <cell r="AT142" t="e">
            <v>#N/A</v>
          </cell>
          <cell r="AU142">
            <v>48.05</v>
          </cell>
          <cell r="AV142">
            <v>2</v>
          </cell>
          <cell r="AX142">
            <v>0</v>
          </cell>
          <cell r="AY142" t="e">
            <v>#N/A</v>
          </cell>
          <cell r="BA142">
            <v>0.92000000000001603</v>
          </cell>
          <cell r="BB142" t="e">
            <v>#N/A</v>
          </cell>
          <cell r="BC142">
            <v>0</v>
          </cell>
          <cell r="BD142" t="e">
            <v>#N/A</v>
          </cell>
          <cell r="BE142" t="e">
            <v>#N/A</v>
          </cell>
          <cell r="BF142" t="e">
            <v>#N/A</v>
          </cell>
          <cell r="BL142">
            <v>0</v>
          </cell>
          <cell r="BM142" t="e">
            <v>#N/A</v>
          </cell>
          <cell r="BN142" t="e">
            <v>#N/A</v>
          </cell>
          <cell r="BO142" t="e">
            <v>#N/A</v>
          </cell>
          <cell r="BP142" t="e">
            <v>#N/A</v>
          </cell>
          <cell r="BQ142" t="e">
            <v>#N/A</v>
          </cell>
          <cell r="BR142">
            <v>-0.38784232365145227</v>
          </cell>
          <cell r="BT142">
            <v>-0.38784232365145227</v>
          </cell>
          <cell r="BU142" t="e">
            <v>#N/A</v>
          </cell>
          <cell r="BV142" t="e">
            <v>#N/A</v>
          </cell>
          <cell r="BW142" t="e">
            <v>#N/A</v>
          </cell>
          <cell r="BX142" t="e">
            <v>#N/A</v>
          </cell>
          <cell r="BY142" t="e">
            <v>#N/A</v>
          </cell>
          <cell r="BZ142" t="str">
            <v>CDI</v>
          </cell>
          <cell r="CA142" t="str">
            <v/>
          </cell>
          <cell r="CB142" t="str">
            <v/>
          </cell>
          <cell r="CC142" t="str">
            <v>BANQUE</v>
          </cell>
          <cell r="CD142" t="str">
            <v>260-In-Room Dining</v>
          </cell>
          <cell r="CE142">
            <v>260</v>
          </cell>
        </row>
        <row r="143">
          <cell r="B143" t="str">
            <v>05274</v>
          </cell>
          <cell r="C143" t="str">
            <v>SUAKA MBANGU CRISPIN</v>
          </cell>
          <cell r="D143" t="str">
            <v>La Riviera</v>
          </cell>
          <cell r="E143" t="str">
            <v>00018000360001220120021</v>
          </cell>
          <cell r="F143" t="str">
            <v>109438707050I</v>
          </cell>
          <cell r="G143" t="str">
            <v>Bartender</v>
          </cell>
          <cell r="H143">
            <v>6.65</v>
          </cell>
          <cell r="I143">
            <v>7.7</v>
          </cell>
          <cell r="J143">
            <v>7.6999999999999993</v>
          </cell>
          <cell r="K143" t="str">
            <v>TSQ1-4.III</v>
          </cell>
          <cell r="L143" t="str">
            <v>TRAVAILLEUR SEMI QUALIFIE</v>
          </cell>
          <cell r="M143" t="str">
            <v>CATEGORIE 1 A 5</v>
          </cell>
          <cell r="N143" t="str">
            <v>TRAVAILLEUR SEMI QUALIFIE (TSQ), Echellon 1, Classe 4</v>
          </cell>
          <cell r="P143">
            <v>41295</v>
          </cell>
          <cell r="Q143" t="e">
            <v>#N/A</v>
          </cell>
          <cell r="R143" t="e">
            <v>#N/A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X143" t="e">
            <v>#N/A</v>
          </cell>
          <cell r="Y143" t="e">
            <v>#N/A</v>
          </cell>
          <cell r="Z143" t="e">
            <v>#N/A</v>
          </cell>
          <cell r="AA143" t="e">
            <v>#N/A</v>
          </cell>
          <cell r="AB143" t="e">
            <v>#N/A</v>
          </cell>
          <cell r="AC143" t="e">
            <v>#N/A</v>
          </cell>
          <cell r="AE143">
            <v>200.2</v>
          </cell>
          <cell r="AF143" t="e">
            <v>#N/A</v>
          </cell>
          <cell r="AG143" t="e">
            <v>#N/A</v>
          </cell>
          <cell r="AH143" t="e">
            <v>#N/A</v>
          </cell>
          <cell r="AI143" t="e">
            <v>#N/A</v>
          </cell>
          <cell r="AJ143" t="e">
            <v>#N/A</v>
          </cell>
          <cell r="AK143" t="e">
            <v>#N/A</v>
          </cell>
          <cell r="AL143" t="e">
            <v>#N/A</v>
          </cell>
          <cell r="AM143" t="e">
            <v>#N/A</v>
          </cell>
          <cell r="AN143">
            <v>0</v>
          </cell>
          <cell r="AO143">
            <v>30</v>
          </cell>
          <cell r="AR143" t="e">
            <v>#N/A</v>
          </cell>
          <cell r="AS143">
            <v>60</v>
          </cell>
          <cell r="AT143" t="e">
            <v>#N/A</v>
          </cell>
          <cell r="AU143">
            <v>48.05</v>
          </cell>
          <cell r="AV143">
            <v>1</v>
          </cell>
          <cell r="AX143">
            <v>0</v>
          </cell>
          <cell r="AY143" t="e">
            <v>#N/A</v>
          </cell>
          <cell r="BA143">
            <v>0.650000000000034</v>
          </cell>
          <cell r="BB143" t="e">
            <v>#N/A</v>
          </cell>
          <cell r="BC143">
            <v>0</v>
          </cell>
          <cell r="BD143" t="e">
            <v>#N/A</v>
          </cell>
          <cell r="BE143" t="e">
            <v>#N/A</v>
          </cell>
          <cell r="BF143" t="e">
            <v>#N/A</v>
          </cell>
          <cell r="BL143">
            <v>0</v>
          </cell>
          <cell r="BM143" t="e">
            <v>#N/A</v>
          </cell>
          <cell r="BN143" t="e">
            <v>#N/A</v>
          </cell>
          <cell r="BO143" t="e">
            <v>#N/A</v>
          </cell>
          <cell r="BP143" t="e">
            <v>#N/A</v>
          </cell>
          <cell r="BQ143" t="e">
            <v>#N/A</v>
          </cell>
          <cell r="BR143">
            <v>-0.38784232365145227</v>
          </cell>
          <cell r="BT143">
            <v>-0.38784232365145227</v>
          </cell>
          <cell r="BU143" t="e">
            <v>#N/A</v>
          </cell>
          <cell r="BV143" t="e">
            <v>#N/A</v>
          </cell>
          <cell r="BW143" t="e">
            <v>#N/A</v>
          </cell>
          <cell r="BX143" t="e">
            <v>#N/A</v>
          </cell>
          <cell r="BY143" t="e">
            <v>#N/A</v>
          </cell>
          <cell r="BZ143" t="str">
            <v>CDI</v>
          </cell>
          <cell r="CA143" t="str">
            <v/>
          </cell>
          <cell r="CB143" t="str">
            <v/>
          </cell>
          <cell r="CC143" t="str">
            <v>BANQUE</v>
          </cell>
          <cell r="CD143" t="str">
            <v>212-La Riviera</v>
          </cell>
          <cell r="CE143">
            <v>212</v>
          </cell>
        </row>
        <row r="144">
          <cell r="B144" t="str">
            <v>05316</v>
          </cell>
          <cell r="C144" t="str">
            <v>GBEFA MANGANDO PAUL</v>
          </cell>
          <cell r="D144" t="str">
            <v>In-Room Dining</v>
          </cell>
          <cell r="E144" t="str">
            <v>00018000360001086120050</v>
          </cell>
          <cell r="F144" t="str">
            <v>102638403180Q</v>
          </cell>
          <cell r="G144" t="str">
            <v>Order taker/Cashier</v>
          </cell>
          <cell r="H144">
            <v>6.65</v>
          </cell>
          <cell r="I144">
            <v>7.7</v>
          </cell>
          <cell r="J144">
            <v>7.6999999999999993</v>
          </cell>
          <cell r="K144" t="str">
            <v>TSQ1-4.III</v>
          </cell>
          <cell r="L144" t="str">
            <v>TRAVAILLEUR SEMI QUALIFIE</v>
          </cell>
          <cell r="M144" t="str">
            <v>CATEGORIE 1 A 5</v>
          </cell>
          <cell r="N144" t="str">
            <v>TRAVAILLEUR SEMI QUALIFIE (TSQ), Echellon 1, Classe 4</v>
          </cell>
          <cell r="P144">
            <v>41641</v>
          </cell>
          <cell r="Q144" t="e">
            <v>#N/A</v>
          </cell>
          <cell r="R144" t="e">
            <v>#N/A</v>
          </cell>
          <cell r="S144" t="e">
            <v>#N/A</v>
          </cell>
          <cell r="T144" t="e">
            <v>#N/A</v>
          </cell>
          <cell r="U144" t="e">
            <v>#N/A</v>
          </cell>
          <cell r="V144" t="e">
            <v>#N/A</v>
          </cell>
          <cell r="W144" t="e">
            <v>#N/A</v>
          </cell>
          <cell r="X144" t="e">
            <v>#N/A</v>
          </cell>
          <cell r="Y144" t="e">
            <v>#N/A</v>
          </cell>
          <cell r="Z144" t="e">
            <v>#N/A</v>
          </cell>
          <cell r="AA144" t="e">
            <v>#N/A</v>
          </cell>
          <cell r="AB144" t="e">
            <v>#N/A</v>
          </cell>
          <cell r="AC144" t="e">
            <v>#N/A</v>
          </cell>
          <cell r="AE144">
            <v>200.2</v>
          </cell>
          <cell r="AF144" t="e">
            <v>#N/A</v>
          </cell>
          <cell r="AG144" t="e">
            <v>#N/A</v>
          </cell>
          <cell r="AH144" t="e">
            <v>#N/A</v>
          </cell>
          <cell r="AI144" t="e">
            <v>#N/A</v>
          </cell>
          <cell r="AJ144" t="e">
            <v>#N/A</v>
          </cell>
          <cell r="AK144" t="e">
            <v>#N/A</v>
          </cell>
          <cell r="AL144" t="e">
            <v>#N/A</v>
          </cell>
          <cell r="AM144" t="e">
            <v>#N/A</v>
          </cell>
          <cell r="AN144">
            <v>0</v>
          </cell>
          <cell r="AO144">
            <v>30</v>
          </cell>
          <cell r="AR144" t="e">
            <v>#N/A</v>
          </cell>
          <cell r="AS144">
            <v>60</v>
          </cell>
          <cell r="AT144" t="e">
            <v>#N/A</v>
          </cell>
          <cell r="AU144">
            <v>47.24</v>
          </cell>
          <cell r="AV144">
            <v>2</v>
          </cell>
          <cell r="AX144">
            <v>0</v>
          </cell>
          <cell r="AY144" t="e">
            <v>#N/A</v>
          </cell>
          <cell r="BA144">
            <v>0.650000000000034</v>
          </cell>
          <cell r="BB144" t="e">
            <v>#N/A</v>
          </cell>
          <cell r="BC144">
            <v>0</v>
          </cell>
          <cell r="BD144" t="e">
            <v>#N/A</v>
          </cell>
          <cell r="BE144" t="e">
            <v>#N/A</v>
          </cell>
          <cell r="BF144" t="e">
            <v>#N/A</v>
          </cell>
          <cell r="BG144">
            <v>6.89</v>
          </cell>
          <cell r="BI144">
            <v>22</v>
          </cell>
          <cell r="BL144">
            <v>28.89</v>
          </cell>
          <cell r="BM144" t="e">
            <v>#N/A</v>
          </cell>
          <cell r="BN144" t="e">
            <v>#N/A</v>
          </cell>
          <cell r="BO144" t="e">
            <v>#N/A</v>
          </cell>
          <cell r="BP144" t="e">
            <v>#N/A</v>
          </cell>
          <cell r="BQ144" t="e">
            <v>#N/A</v>
          </cell>
          <cell r="BR144">
            <v>-0.38784232365145227</v>
          </cell>
          <cell r="BT144">
            <v>-0.38784232365145227</v>
          </cell>
          <cell r="BU144" t="e">
            <v>#N/A</v>
          </cell>
          <cell r="BV144" t="e">
            <v>#N/A</v>
          </cell>
          <cell r="BW144" t="e">
            <v>#N/A</v>
          </cell>
          <cell r="BX144" t="e">
            <v>#N/A</v>
          </cell>
          <cell r="BY144" t="e">
            <v>#N/A</v>
          </cell>
          <cell r="BZ144" t="str">
            <v>CDI</v>
          </cell>
          <cell r="CA144" t="str">
            <v/>
          </cell>
          <cell r="CB144" t="str">
            <v/>
          </cell>
          <cell r="CC144" t="str">
            <v>BANQUE</v>
          </cell>
          <cell r="CD144" t="str">
            <v>260-In-Room Dining</v>
          </cell>
          <cell r="CE144">
            <v>260</v>
          </cell>
        </row>
        <row r="145">
          <cell r="B145" t="str">
            <v>05037</v>
          </cell>
          <cell r="C145" t="str">
            <v>MUKENGE NZIK FIDELE</v>
          </cell>
          <cell r="D145" t="str">
            <v>Sales</v>
          </cell>
          <cell r="E145" t="str">
            <v>00018000360170298120026</v>
          </cell>
          <cell r="F145" t="str">
            <v>109428706200S</v>
          </cell>
          <cell r="G145" t="str">
            <v>Senior Sales Executive</v>
          </cell>
          <cell r="H145">
            <v>28.2</v>
          </cell>
          <cell r="I145">
            <v>32.549999999999997</v>
          </cell>
          <cell r="J145">
            <v>32.549999999999997</v>
          </cell>
          <cell r="K145" t="str">
            <v>CAC1-14.CC</v>
          </cell>
          <cell r="L145" t="str">
            <v>CADRE DE COLLABORATION</v>
          </cell>
          <cell r="M145" t="str">
            <v>CADRE DE COLLABORATION</v>
          </cell>
          <cell r="N145" t="str">
            <v>CADRE DE COLLABORATION, Echellon 1, Classe 14</v>
          </cell>
          <cell r="P145">
            <v>41153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X145" t="e">
            <v>#N/A</v>
          </cell>
          <cell r="Y145" t="e">
            <v>#N/A</v>
          </cell>
          <cell r="Z145" t="e">
            <v>#N/A</v>
          </cell>
          <cell r="AA145" t="e">
            <v>#N/A</v>
          </cell>
          <cell r="AB145" t="e">
            <v>#N/A</v>
          </cell>
          <cell r="AC145" t="e">
            <v>#N/A</v>
          </cell>
          <cell r="AE145">
            <v>846.3</v>
          </cell>
          <cell r="AF145" t="e">
            <v>#N/A</v>
          </cell>
          <cell r="AG145" t="e">
            <v>#N/A</v>
          </cell>
          <cell r="AH145" t="e">
            <v>#N/A</v>
          </cell>
          <cell r="AI145" t="e">
            <v>#N/A</v>
          </cell>
          <cell r="AJ145" t="e">
            <v>#N/A</v>
          </cell>
          <cell r="AK145" t="e">
            <v>#N/A</v>
          </cell>
          <cell r="AL145" t="e">
            <v>#N/A</v>
          </cell>
          <cell r="AM145" t="e">
            <v>#N/A</v>
          </cell>
          <cell r="AN145">
            <v>0</v>
          </cell>
          <cell r="AR145" t="e">
            <v>#N/A</v>
          </cell>
          <cell r="AS145">
            <v>122.8</v>
          </cell>
          <cell r="AT145" t="e">
            <v>#N/A</v>
          </cell>
          <cell r="AU145">
            <v>224.9</v>
          </cell>
          <cell r="AV145">
            <v>3</v>
          </cell>
          <cell r="AX145">
            <v>0</v>
          </cell>
          <cell r="AY145" t="e">
            <v>#N/A</v>
          </cell>
          <cell r="BA145">
            <v>4.23000000000002</v>
          </cell>
          <cell r="BB145" t="e">
            <v>#N/A</v>
          </cell>
          <cell r="BC145">
            <v>100</v>
          </cell>
          <cell r="BD145" t="e">
            <v>#N/A</v>
          </cell>
          <cell r="BE145" t="e">
            <v>#N/A</v>
          </cell>
          <cell r="BF145" t="e">
            <v>#N/A</v>
          </cell>
          <cell r="BI145">
            <v>100</v>
          </cell>
          <cell r="BL145">
            <v>100</v>
          </cell>
          <cell r="BM145" t="e">
            <v>#N/A</v>
          </cell>
          <cell r="BN145" t="e">
            <v>#N/A</v>
          </cell>
          <cell r="BO145" t="e">
            <v>#N/A</v>
          </cell>
          <cell r="BP145" t="e">
            <v>#N/A</v>
          </cell>
          <cell r="BQ145" t="e">
            <v>#N/A</v>
          </cell>
          <cell r="BR145">
            <v>-0.38784232365145227</v>
          </cell>
          <cell r="BT145">
            <v>-0.38784232365145227</v>
          </cell>
          <cell r="BU145" t="e">
            <v>#N/A</v>
          </cell>
          <cell r="BV145" t="e">
            <v>#N/A</v>
          </cell>
          <cell r="BW145" t="e">
            <v>#N/A</v>
          </cell>
          <cell r="BX145" t="e">
            <v>#N/A</v>
          </cell>
          <cell r="BY145" t="e">
            <v>#N/A</v>
          </cell>
          <cell r="BZ145" t="str">
            <v>CDI</v>
          </cell>
          <cell r="CA145" t="str">
            <v/>
          </cell>
          <cell r="CB145" t="str">
            <v/>
          </cell>
          <cell r="CC145" t="str">
            <v>BANQUE</v>
          </cell>
          <cell r="CD145" t="str">
            <v>710-Sales</v>
          </cell>
          <cell r="CE145">
            <v>710</v>
          </cell>
        </row>
        <row r="146">
          <cell r="B146" t="str">
            <v>05043</v>
          </cell>
          <cell r="C146" t="str">
            <v>LUBAKI MOKUBA PATRICK</v>
          </cell>
          <cell r="D146" t="str">
            <v>Sales</v>
          </cell>
          <cell r="E146" t="str">
            <v>00018000360001256120019</v>
          </cell>
          <cell r="F146" t="str">
            <v>103168608080P</v>
          </cell>
          <cell r="G146" t="str">
            <v>Group &amp; Event Coordinator</v>
          </cell>
          <cell r="H146">
            <v>18.3</v>
          </cell>
          <cell r="I146">
            <v>21.1</v>
          </cell>
          <cell r="J146">
            <v>21.1</v>
          </cell>
          <cell r="K146" t="str">
            <v>MAT2-11.M</v>
          </cell>
          <cell r="L146" t="str">
            <v>MAITRISE</v>
          </cell>
          <cell r="M146" t="str">
            <v>MAITRISE</v>
          </cell>
          <cell r="N146" t="str">
            <v>MAITRISES, Echellon 2, Classe 11</v>
          </cell>
          <cell r="P146">
            <v>41153</v>
          </cell>
          <cell r="Q146" t="e">
            <v>#N/A</v>
          </cell>
          <cell r="R146" t="e">
            <v>#N/A</v>
          </cell>
          <cell r="S146" t="e">
            <v>#N/A</v>
          </cell>
          <cell r="T146" t="e">
            <v>#N/A</v>
          </cell>
          <cell r="U146" t="e">
            <v>#N/A</v>
          </cell>
          <cell r="V146" t="e">
            <v>#N/A</v>
          </cell>
          <cell r="W146" t="e">
            <v>#N/A</v>
          </cell>
          <cell r="X146" t="e">
            <v>#N/A</v>
          </cell>
          <cell r="Y146" t="e">
            <v>#N/A</v>
          </cell>
          <cell r="Z146" t="e">
            <v>#N/A</v>
          </cell>
          <cell r="AA146" t="e">
            <v>#N/A</v>
          </cell>
          <cell r="AB146" t="e">
            <v>#N/A</v>
          </cell>
          <cell r="AC146" t="e">
            <v>#N/A</v>
          </cell>
          <cell r="AE146">
            <v>548.6</v>
          </cell>
          <cell r="AF146" t="e">
            <v>#N/A</v>
          </cell>
          <cell r="AG146" t="e">
            <v>#N/A</v>
          </cell>
          <cell r="AH146" t="e">
            <v>#N/A</v>
          </cell>
          <cell r="AI146" t="e">
            <v>#N/A</v>
          </cell>
          <cell r="AJ146" t="e">
            <v>#N/A</v>
          </cell>
          <cell r="AK146" t="e">
            <v>#N/A</v>
          </cell>
          <cell r="AL146" t="e">
            <v>#N/A</v>
          </cell>
          <cell r="AM146" t="e">
            <v>#N/A</v>
          </cell>
          <cell r="AN146">
            <v>0</v>
          </cell>
          <cell r="AR146" t="e">
            <v>#N/A</v>
          </cell>
          <cell r="AS146">
            <v>85</v>
          </cell>
          <cell r="AT146" t="e">
            <v>#N/A</v>
          </cell>
          <cell r="AU146">
            <v>110.4</v>
          </cell>
          <cell r="AV146">
            <v>1</v>
          </cell>
          <cell r="AX146">
            <v>0</v>
          </cell>
          <cell r="AY146" t="e">
            <v>#N/A</v>
          </cell>
          <cell r="BA146">
            <v>7.8899999999999899</v>
          </cell>
          <cell r="BB146" t="e">
            <v>#N/A</v>
          </cell>
          <cell r="BC146">
            <v>100</v>
          </cell>
          <cell r="BD146" t="e">
            <v>#N/A</v>
          </cell>
          <cell r="BE146" t="e">
            <v>#N/A</v>
          </cell>
          <cell r="BF146" t="e">
            <v>#N/A</v>
          </cell>
          <cell r="BL146">
            <v>0</v>
          </cell>
          <cell r="BM146" t="e">
            <v>#N/A</v>
          </cell>
          <cell r="BN146" t="e">
            <v>#N/A</v>
          </cell>
          <cell r="BO146" t="e">
            <v>#N/A</v>
          </cell>
          <cell r="BP146" t="e">
            <v>#N/A</v>
          </cell>
          <cell r="BQ146" t="e">
            <v>#N/A</v>
          </cell>
          <cell r="BR146">
            <v>-0.38784232365145227</v>
          </cell>
          <cell r="BT146">
            <v>-0.38784232365145227</v>
          </cell>
          <cell r="BU146" t="e">
            <v>#N/A</v>
          </cell>
          <cell r="BV146" t="e">
            <v>#N/A</v>
          </cell>
          <cell r="BW146" t="e">
            <v>#N/A</v>
          </cell>
          <cell r="BX146" t="e">
            <v>#N/A</v>
          </cell>
          <cell r="BY146" t="e">
            <v>#N/A</v>
          </cell>
          <cell r="BZ146" t="str">
            <v>CDI</v>
          </cell>
          <cell r="CA146" t="str">
            <v/>
          </cell>
          <cell r="CB146" t="str">
            <v/>
          </cell>
          <cell r="CC146" t="str">
            <v>BANQUE</v>
          </cell>
          <cell r="CD146" t="str">
            <v>710-Sales</v>
          </cell>
          <cell r="CE146">
            <v>710</v>
          </cell>
        </row>
        <row r="147">
          <cell r="B147" t="str">
            <v>07109</v>
          </cell>
          <cell r="C147" t="str">
            <v>LAWSON IFANGA DAVID</v>
          </cell>
          <cell r="D147" t="str">
            <v>Guest Transportation</v>
          </cell>
          <cell r="E147" t="str">
            <v>00018000360001255120046</v>
          </cell>
          <cell r="F147" t="str">
            <v>102448801260W</v>
          </cell>
          <cell r="G147" t="str">
            <v>DRIVER</v>
          </cell>
          <cell r="H147">
            <v>5.8</v>
          </cell>
          <cell r="I147">
            <v>6.65</v>
          </cell>
          <cell r="J147">
            <v>6.65</v>
          </cell>
          <cell r="K147" t="str">
            <v>TSP0-3.II</v>
          </cell>
          <cell r="L147" t="str">
            <v>TRAVAILLEUR SPECIALISE</v>
          </cell>
          <cell r="M147" t="str">
            <v>CATEGORIE 1 A 5</v>
          </cell>
          <cell r="N147" t="str">
            <v>TRAVAILLEUR SPECIALISE (TS), Echellon 0 , Classe 3</v>
          </cell>
          <cell r="P147">
            <v>42217</v>
          </cell>
          <cell r="Q147" t="e">
            <v>#N/A</v>
          </cell>
          <cell r="R147" t="e">
            <v>#N/A</v>
          </cell>
          <cell r="S147" t="e">
            <v>#N/A</v>
          </cell>
          <cell r="T147" t="e">
            <v>#N/A</v>
          </cell>
          <cell r="U147" t="e">
            <v>#N/A</v>
          </cell>
          <cell r="V147" t="e">
            <v>#N/A</v>
          </cell>
          <cell r="W147" t="e">
            <v>#N/A</v>
          </cell>
          <cell r="X147" t="e">
            <v>#N/A</v>
          </cell>
          <cell r="Y147" t="e">
            <v>#N/A</v>
          </cell>
          <cell r="Z147" t="e">
            <v>#N/A</v>
          </cell>
          <cell r="AA147" t="e">
            <v>#N/A</v>
          </cell>
          <cell r="AB147" t="e">
            <v>#N/A</v>
          </cell>
          <cell r="AC147" t="e">
            <v>#N/A</v>
          </cell>
          <cell r="AE147">
            <v>172.9</v>
          </cell>
          <cell r="AF147" t="e">
            <v>#N/A</v>
          </cell>
          <cell r="AG147" t="e">
            <v>#N/A</v>
          </cell>
          <cell r="AH147" t="e">
            <v>#N/A</v>
          </cell>
          <cell r="AI147" t="e">
            <v>#N/A</v>
          </cell>
          <cell r="AJ147" t="e">
            <v>#N/A</v>
          </cell>
          <cell r="AK147" t="e">
            <v>#N/A</v>
          </cell>
          <cell r="AL147" t="e">
            <v>#N/A</v>
          </cell>
          <cell r="AM147" t="e">
            <v>#N/A</v>
          </cell>
          <cell r="AN147">
            <v>0</v>
          </cell>
          <cell r="AR147" t="e">
            <v>#N/A</v>
          </cell>
          <cell r="AS147">
            <v>60</v>
          </cell>
          <cell r="AT147" t="e">
            <v>#N/A</v>
          </cell>
          <cell r="AU147">
            <v>44.2</v>
          </cell>
          <cell r="AV147">
            <v>2</v>
          </cell>
          <cell r="AX147">
            <v>0</v>
          </cell>
          <cell r="AY147" t="e">
            <v>#N/A</v>
          </cell>
          <cell r="BA147">
            <v>1.3600000000000101</v>
          </cell>
          <cell r="BB147" t="e">
            <v>#N/A</v>
          </cell>
          <cell r="BC147">
            <v>10</v>
          </cell>
          <cell r="BD147" t="e">
            <v>#N/A</v>
          </cell>
          <cell r="BE147" t="e">
            <v>#N/A</v>
          </cell>
          <cell r="BF147" t="e">
            <v>#N/A</v>
          </cell>
          <cell r="BL147">
            <v>0</v>
          </cell>
          <cell r="BM147" t="e">
            <v>#N/A</v>
          </cell>
          <cell r="BN147" t="e">
            <v>#N/A</v>
          </cell>
          <cell r="BO147" t="e">
            <v>#N/A</v>
          </cell>
          <cell r="BP147" t="e">
            <v>#N/A</v>
          </cell>
          <cell r="BQ147" t="e">
            <v>#N/A</v>
          </cell>
          <cell r="BR147">
            <v>-0.38784232365145227</v>
          </cell>
          <cell r="BT147">
            <v>-0.38784232365145227</v>
          </cell>
          <cell r="BU147" t="e">
            <v>#N/A</v>
          </cell>
          <cell r="BV147" t="e">
            <v>#N/A</v>
          </cell>
          <cell r="BW147" t="e">
            <v>#N/A</v>
          </cell>
          <cell r="BX147" t="e">
            <v>#N/A</v>
          </cell>
          <cell r="BY147" t="e">
            <v>#N/A</v>
          </cell>
          <cell r="BZ147" t="str">
            <v>CDI</v>
          </cell>
          <cell r="CA147" t="str">
            <v/>
          </cell>
          <cell r="CB147" t="str">
            <v/>
          </cell>
          <cell r="CC147" t="str">
            <v>BANQUE</v>
          </cell>
          <cell r="CD147" t="str">
            <v>481-Guest Transportation</v>
          </cell>
          <cell r="CE147">
            <v>481</v>
          </cell>
        </row>
        <row r="148">
          <cell r="B148" t="str">
            <v>07003</v>
          </cell>
          <cell r="C148" t="str">
            <v>IKWELA POTOPOTO BEROS</v>
          </cell>
          <cell r="D148" t="str">
            <v>Security</v>
          </cell>
          <cell r="E148" t="str">
            <v>00018000360130281120002</v>
          </cell>
          <cell r="F148" t="str">
            <v>109448508250L</v>
          </cell>
          <cell r="G148" t="str">
            <v>Security Supervisor</v>
          </cell>
          <cell r="H148">
            <v>11.85</v>
          </cell>
          <cell r="I148">
            <v>13.7</v>
          </cell>
          <cell r="J148">
            <v>13.7</v>
          </cell>
          <cell r="K148" t="str">
            <v>TRQ2-8.IV</v>
          </cell>
          <cell r="L148" t="str">
            <v>TRAVAILLEUR QUALIFIE</v>
          </cell>
          <cell r="M148" t="str">
            <v>CATEGORIE 1 A 5</v>
          </cell>
          <cell r="N148" t="str">
            <v>TRAVAILLEUR QUALIFIE (TQ), Echellon 2, Classe 8</v>
          </cell>
          <cell r="P148">
            <v>41153</v>
          </cell>
          <cell r="Q148" t="e">
            <v>#N/A</v>
          </cell>
          <cell r="R148" t="e">
            <v>#N/A</v>
          </cell>
          <cell r="S148" t="e">
            <v>#N/A</v>
          </cell>
          <cell r="T148" t="e">
            <v>#N/A</v>
          </cell>
          <cell r="U148" t="e">
            <v>#N/A</v>
          </cell>
          <cell r="V148" t="e">
            <v>#N/A</v>
          </cell>
          <cell r="W148" t="e">
            <v>#N/A</v>
          </cell>
          <cell r="X148" t="e">
            <v>#N/A</v>
          </cell>
          <cell r="Y148" t="e">
            <v>#N/A</v>
          </cell>
          <cell r="Z148" t="e">
            <v>#N/A</v>
          </cell>
          <cell r="AA148" t="e">
            <v>#N/A</v>
          </cell>
          <cell r="AB148" t="e">
            <v>#N/A</v>
          </cell>
          <cell r="AC148" t="e">
            <v>#N/A</v>
          </cell>
          <cell r="AE148">
            <v>356.2</v>
          </cell>
          <cell r="AF148" t="e">
            <v>#N/A</v>
          </cell>
          <cell r="AG148" t="e">
            <v>#N/A</v>
          </cell>
          <cell r="AH148" t="e">
            <v>#N/A</v>
          </cell>
          <cell r="AI148" t="e">
            <v>#N/A</v>
          </cell>
          <cell r="AJ148" t="e">
            <v>#N/A</v>
          </cell>
          <cell r="AK148" t="e">
            <v>#N/A</v>
          </cell>
          <cell r="AL148" t="e">
            <v>#N/A</v>
          </cell>
          <cell r="AM148" t="e">
            <v>#N/A</v>
          </cell>
          <cell r="AN148">
            <v>0</v>
          </cell>
          <cell r="AR148" t="e">
            <v>#N/A</v>
          </cell>
          <cell r="AS148">
            <v>80</v>
          </cell>
          <cell r="AT148" t="e">
            <v>#N/A</v>
          </cell>
          <cell r="AU148">
            <v>43.8</v>
          </cell>
          <cell r="AV148">
            <v>2</v>
          </cell>
          <cell r="AX148">
            <v>0</v>
          </cell>
          <cell r="AY148" t="e">
            <v>#N/A</v>
          </cell>
          <cell r="BA148">
            <v>5.9799999999999596</v>
          </cell>
          <cell r="BB148" t="e">
            <v>#N/A</v>
          </cell>
          <cell r="BC148">
            <v>0</v>
          </cell>
          <cell r="BD148" t="e">
            <v>#N/A</v>
          </cell>
          <cell r="BE148" t="e">
            <v>#N/A</v>
          </cell>
          <cell r="BF148" t="e">
            <v>#N/A</v>
          </cell>
          <cell r="BL148">
            <v>0</v>
          </cell>
          <cell r="BM148" t="e">
            <v>#N/A</v>
          </cell>
          <cell r="BN148" t="e">
            <v>#N/A</v>
          </cell>
          <cell r="BO148" t="e">
            <v>#N/A</v>
          </cell>
          <cell r="BP148" t="e">
            <v>#N/A</v>
          </cell>
          <cell r="BQ148" t="e">
            <v>#N/A</v>
          </cell>
          <cell r="BR148">
            <v>-0.38784232365145227</v>
          </cell>
          <cell r="BT148">
            <v>-0.38784232365145227</v>
          </cell>
          <cell r="BU148" t="e">
            <v>#N/A</v>
          </cell>
          <cell r="BV148" t="e">
            <v>#N/A</v>
          </cell>
          <cell r="BW148" t="e">
            <v>#N/A</v>
          </cell>
          <cell r="BX148" t="e">
            <v>#N/A</v>
          </cell>
          <cell r="BY148" t="e">
            <v>#N/A</v>
          </cell>
          <cell r="BZ148" t="str">
            <v>CDI</v>
          </cell>
          <cell r="CA148" t="str">
            <v/>
          </cell>
          <cell r="CB148" t="str">
            <v/>
          </cell>
          <cell r="CC148" t="str">
            <v>BANQUE</v>
          </cell>
          <cell r="CD148" t="str">
            <v>650-Security</v>
          </cell>
          <cell r="CE148">
            <v>650</v>
          </cell>
        </row>
        <row r="149">
          <cell r="B149" t="str">
            <v>07006</v>
          </cell>
          <cell r="C149" t="str">
            <v>ASOME MPUEBAL MAGLOIRE</v>
          </cell>
          <cell r="D149" t="str">
            <v>Security</v>
          </cell>
          <cell r="E149" t="str">
            <v>00018000360108452120013</v>
          </cell>
          <cell r="F149" t="str">
            <v>109448711230Q</v>
          </cell>
          <cell r="G149" t="str">
            <v>Security Agent</v>
          </cell>
          <cell r="H149">
            <v>8.9</v>
          </cell>
          <cell r="I149">
            <v>10.3</v>
          </cell>
          <cell r="J149">
            <v>10.3</v>
          </cell>
          <cell r="K149" t="str">
            <v>TSQ3-6.III</v>
          </cell>
          <cell r="L149" t="str">
            <v>TRAVAILLEUR SEMI QUALIFIE</v>
          </cell>
          <cell r="M149" t="str">
            <v>CATEGORIE 1 A 5</v>
          </cell>
          <cell r="N149" t="str">
            <v>TRAVAILLEUR SEMI QUALIFIE (TSQ), Echellon 3, Classe 6</v>
          </cell>
          <cell r="P149">
            <v>41153</v>
          </cell>
          <cell r="Q149" t="e">
            <v>#N/A</v>
          </cell>
          <cell r="R149" t="e">
            <v>#N/A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X149" t="e">
            <v>#N/A</v>
          </cell>
          <cell r="Y149" t="e">
            <v>#N/A</v>
          </cell>
          <cell r="Z149" t="e">
            <v>#N/A</v>
          </cell>
          <cell r="AA149" t="e">
            <v>#N/A</v>
          </cell>
          <cell r="AB149" t="e">
            <v>#N/A</v>
          </cell>
          <cell r="AC149" t="e">
            <v>#N/A</v>
          </cell>
          <cell r="AE149">
            <v>267.8</v>
          </cell>
          <cell r="AF149" t="e">
            <v>#N/A</v>
          </cell>
          <cell r="AG149" t="e">
            <v>#N/A</v>
          </cell>
          <cell r="AH149" t="e">
            <v>#N/A</v>
          </cell>
          <cell r="AI149" t="e">
            <v>#N/A</v>
          </cell>
          <cell r="AJ149" t="e">
            <v>#N/A</v>
          </cell>
          <cell r="AK149" t="e">
            <v>#N/A</v>
          </cell>
          <cell r="AL149" t="e">
            <v>#N/A</v>
          </cell>
          <cell r="AM149" t="e">
            <v>#N/A</v>
          </cell>
          <cell r="AN149">
            <v>0</v>
          </cell>
          <cell r="AR149" t="e">
            <v>#N/A</v>
          </cell>
          <cell r="AS149">
            <v>75</v>
          </cell>
          <cell r="AT149" t="e">
            <v>#N/A</v>
          </cell>
          <cell r="AU149">
            <v>67.2</v>
          </cell>
          <cell r="AV149">
            <v>3</v>
          </cell>
          <cell r="AX149">
            <v>0</v>
          </cell>
          <cell r="AY149" t="e">
            <v>#N/A</v>
          </cell>
          <cell r="BA149">
            <v>0.29999999999995502</v>
          </cell>
          <cell r="BB149" t="e">
            <v>#N/A</v>
          </cell>
          <cell r="BC149">
            <v>0</v>
          </cell>
          <cell r="BD149" t="e">
            <v>#N/A</v>
          </cell>
          <cell r="BE149" t="e">
            <v>#N/A</v>
          </cell>
          <cell r="BF149" t="e">
            <v>#N/A</v>
          </cell>
          <cell r="BL149">
            <v>0</v>
          </cell>
          <cell r="BM149" t="e">
            <v>#N/A</v>
          </cell>
          <cell r="BN149" t="e">
            <v>#N/A</v>
          </cell>
          <cell r="BO149" t="e">
            <v>#N/A</v>
          </cell>
          <cell r="BP149" t="e">
            <v>#N/A</v>
          </cell>
          <cell r="BQ149" t="e">
            <v>#N/A</v>
          </cell>
          <cell r="BR149">
            <v>-0.38784232365145227</v>
          </cell>
          <cell r="BT149">
            <v>-0.38784232365145227</v>
          </cell>
          <cell r="BU149" t="e">
            <v>#N/A</v>
          </cell>
          <cell r="BV149" t="e">
            <v>#N/A</v>
          </cell>
          <cell r="BW149" t="e">
            <v>#N/A</v>
          </cell>
          <cell r="BX149" t="e">
            <v>#N/A</v>
          </cell>
          <cell r="BY149" t="e">
            <v>#N/A</v>
          </cell>
          <cell r="BZ149" t="str">
            <v>CDI</v>
          </cell>
          <cell r="CA149" t="str">
            <v/>
          </cell>
          <cell r="CB149" t="str">
            <v/>
          </cell>
          <cell r="CC149" t="str">
            <v>BANQUE</v>
          </cell>
          <cell r="CD149" t="str">
            <v>650-Security</v>
          </cell>
          <cell r="CE149">
            <v>650</v>
          </cell>
        </row>
        <row r="150">
          <cell r="B150" t="str">
            <v>07010</v>
          </cell>
          <cell r="C150" t="str">
            <v>KABANGE MEBA CHRISTIAN</v>
          </cell>
          <cell r="D150" t="str">
            <v>Security</v>
          </cell>
          <cell r="E150" t="str">
            <v>00018000360001095120001</v>
          </cell>
          <cell r="F150" t="str">
            <v>106418912140L</v>
          </cell>
          <cell r="G150" t="str">
            <v>Security Agent</v>
          </cell>
          <cell r="H150">
            <v>6.65</v>
          </cell>
          <cell r="I150">
            <v>7.7</v>
          </cell>
          <cell r="J150">
            <v>7.6999999999999993</v>
          </cell>
          <cell r="K150" t="str">
            <v>TSQ1-4.III</v>
          </cell>
          <cell r="L150" t="str">
            <v>TRAVAILLEUR SEMI QUALIFIE</v>
          </cell>
          <cell r="M150" t="str">
            <v>CATEGORIE 1 A 5</v>
          </cell>
          <cell r="N150" t="str">
            <v>TRAVAILLEUR SEMI QUALIFIE (TSQ), Echellon 1, Classe 4</v>
          </cell>
          <cell r="P150">
            <v>41153</v>
          </cell>
          <cell r="Q150" t="e">
            <v>#N/A</v>
          </cell>
          <cell r="R150" t="e">
            <v>#N/A</v>
          </cell>
          <cell r="S150" t="e">
            <v>#N/A</v>
          </cell>
          <cell r="T150" t="e">
            <v>#N/A</v>
          </cell>
          <cell r="U150" t="e">
            <v>#N/A</v>
          </cell>
          <cell r="V150" t="e">
            <v>#N/A</v>
          </cell>
          <cell r="W150" t="e">
            <v>#N/A</v>
          </cell>
          <cell r="X150" t="e">
            <v>#N/A</v>
          </cell>
          <cell r="Y150" t="e">
            <v>#N/A</v>
          </cell>
          <cell r="Z150" t="e">
            <v>#N/A</v>
          </cell>
          <cell r="AA150" t="e">
            <v>#N/A</v>
          </cell>
          <cell r="AB150" t="e">
            <v>#N/A</v>
          </cell>
          <cell r="AC150" t="e">
            <v>#N/A</v>
          </cell>
          <cell r="AE150">
            <v>200.2</v>
          </cell>
          <cell r="AF150" t="e">
            <v>#N/A</v>
          </cell>
          <cell r="AG150" t="e">
            <v>#N/A</v>
          </cell>
          <cell r="AH150" t="e">
            <v>#N/A</v>
          </cell>
          <cell r="AI150" t="e">
            <v>#N/A</v>
          </cell>
          <cell r="AJ150" t="e">
            <v>#N/A</v>
          </cell>
          <cell r="AK150" t="e">
            <v>#N/A</v>
          </cell>
          <cell r="AL150" t="e">
            <v>#N/A</v>
          </cell>
          <cell r="AM150" t="e">
            <v>#N/A</v>
          </cell>
          <cell r="AN150">
            <v>0</v>
          </cell>
          <cell r="AR150" t="e">
            <v>#N/A</v>
          </cell>
          <cell r="AS150">
            <v>60</v>
          </cell>
          <cell r="AT150" t="e">
            <v>#N/A</v>
          </cell>
          <cell r="AU150">
            <v>28.3</v>
          </cell>
          <cell r="AV150">
            <v>0</v>
          </cell>
          <cell r="AX150">
            <v>0</v>
          </cell>
          <cell r="AY150" t="e">
            <v>#N/A</v>
          </cell>
          <cell r="BA150">
            <v>2.4300000000000099</v>
          </cell>
          <cell r="BB150" t="e">
            <v>#N/A</v>
          </cell>
          <cell r="BC150">
            <v>0</v>
          </cell>
          <cell r="BD150" t="e">
            <v>#N/A</v>
          </cell>
          <cell r="BE150" t="e">
            <v>#N/A</v>
          </cell>
          <cell r="BF150" t="e">
            <v>#N/A</v>
          </cell>
          <cell r="BL150">
            <v>0</v>
          </cell>
          <cell r="BM150" t="e">
            <v>#N/A</v>
          </cell>
          <cell r="BN150" t="e">
            <v>#N/A</v>
          </cell>
          <cell r="BO150" t="e">
            <v>#N/A</v>
          </cell>
          <cell r="BP150" t="e">
            <v>#N/A</v>
          </cell>
          <cell r="BQ150" t="e">
            <v>#N/A</v>
          </cell>
          <cell r="BR150">
            <v>-0.38784232365145227</v>
          </cell>
          <cell r="BT150">
            <v>-0.38784232365145227</v>
          </cell>
          <cell r="BU150" t="e">
            <v>#N/A</v>
          </cell>
          <cell r="BV150" t="e">
            <v>#N/A</v>
          </cell>
          <cell r="BW150" t="e">
            <v>#N/A</v>
          </cell>
          <cell r="BX150" t="e">
            <v>#N/A</v>
          </cell>
          <cell r="BY150" t="e">
            <v>#N/A</v>
          </cell>
          <cell r="BZ150" t="str">
            <v>CDI</v>
          </cell>
          <cell r="CA150" t="str">
            <v/>
          </cell>
          <cell r="CB150" t="str">
            <v/>
          </cell>
          <cell r="CC150" t="str">
            <v>BANQUE</v>
          </cell>
          <cell r="CD150" t="str">
            <v>650-Security</v>
          </cell>
          <cell r="CE150">
            <v>650</v>
          </cell>
        </row>
        <row r="151">
          <cell r="B151" t="str">
            <v>07016</v>
          </cell>
          <cell r="C151" t="str">
            <v>MAYOMBE ETISOMBA</v>
          </cell>
          <cell r="D151" t="str">
            <v>Security</v>
          </cell>
          <cell r="E151" t="str">
            <v>00018000360001265120067</v>
          </cell>
          <cell r="F151" t="str">
            <v>103238310120D</v>
          </cell>
          <cell r="G151" t="str">
            <v>Assistant Security Manager</v>
          </cell>
          <cell r="H151">
            <v>13.7</v>
          </cell>
          <cell r="I151">
            <v>15.85</v>
          </cell>
          <cell r="J151">
            <v>15.850000000000001</v>
          </cell>
          <cell r="K151" t="str">
            <v>THQ0-9.V</v>
          </cell>
          <cell r="L151" t="str">
            <v>TRAVAILLEUR HAUTEMENT QUALIFIE</v>
          </cell>
          <cell r="M151" t="str">
            <v>CATEGORIE 1 A 5</v>
          </cell>
          <cell r="N151" t="str">
            <v>TRAVAILLEUR HAUTEMENT QUALIFIE (THQ), Echellon 0, Classe 9</v>
          </cell>
          <cell r="P151">
            <v>41153</v>
          </cell>
          <cell r="Q151" t="e">
            <v>#N/A</v>
          </cell>
          <cell r="R151" t="e">
            <v>#N/A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X151" t="e">
            <v>#N/A</v>
          </cell>
          <cell r="Y151" t="e">
            <v>#N/A</v>
          </cell>
          <cell r="Z151" t="e">
            <v>#N/A</v>
          </cell>
          <cell r="AA151" t="e">
            <v>#N/A</v>
          </cell>
          <cell r="AB151" t="e">
            <v>#N/A</v>
          </cell>
          <cell r="AC151" t="e">
            <v>#N/A</v>
          </cell>
          <cell r="AE151">
            <v>412.1</v>
          </cell>
          <cell r="AF151" t="e">
            <v>#N/A</v>
          </cell>
          <cell r="AG151" t="e">
            <v>#N/A</v>
          </cell>
          <cell r="AH151" t="e">
            <v>#N/A</v>
          </cell>
          <cell r="AI151" t="e">
            <v>#N/A</v>
          </cell>
          <cell r="AJ151" t="e">
            <v>#N/A</v>
          </cell>
          <cell r="AK151" t="e">
            <v>#N/A</v>
          </cell>
          <cell r="AL151" t="e">
            <v>#N/A</v>
          </cell>
          <cell r="AM151" t="e">
            <v>#N/A</v>
          </cell>
          <cell r="AN151">
            <v>0</v>
          </cell>
          <cell r="AR151" t="e">
            <v>#N/A</v>
          </cell>
          <cell r="AS151">
            <v>61.81</v>
          </cell>
          <cell r="AT151" t="e">
            <v>#N/A</v>
          </cell>
          <cell r="AU151">
            <v>80</v>
          </cell>
          <cell r="AV151">
            <v>3</v>
          </cell>
          <cell r="AX151">
            <v>0</v>
          </cell>
          <cell r="AY151" t="e">
            <v>#N/A</v>
          </cell>
          <cell r="BB151" t="e">
            <v>#N/A</v>
          </cell>
          <cell r="BC151">
            <v>0</v>
          </cell>
          <cell r="BD151" t="e">
            <v>#N/A</v>
          </cell>
          <cell r="BE151" t="e">
            <v>#N/A</v>
          </cell>
          <cell r="BF151" t="e">
            <v>#N/A</v>
          </cell>
          <cell r="BL151">
            <v>0</v>
          </cell>
          <cell r="BM151" t="e">
            <v>#N/A</v>
          </cell>
          <cell r="BN151" t="e">
            <v>#N/A</v>
          </cell>
          <cell r="BO151" t="e">
            <v>#N/A</v>
          </cell>
          <cell r="BP151" t="e">
            <v>#N/A</v>
          </cell>
          <cell r="BQ151" t="e">
            <v>#N/A</v>
          </cell>
          <cell r="BR151">
            <v>-0.38784232365145227</v>
          </cell>
          <cell r="BT151">
            <v>-0.38784232365145227</v>
          </cell>
          <cell r="BU151" t="e">
            <v>#N/A</v>
          </cell>
          <cell r="BV151" t="e">
            <v>#N/A</v>
          </cell>
          <cell r="BW151" t="e">
            <v>#N/A</v>
          </cell>
          <cell r="BX151" t="e">
            <v>#N/A</v>
          </cell>
          <cell r="BY151" t="e">
            <v>#N/A</v>
          </cell>
          <cell r="BZ151" t="str">
            <v>CDI</v>
          </cell>
          <cell r="CA151" t="str">
            <v/>
          </cell>
          <cell r="CB151" t="str">
            <v/>
          </cell>
          <cell r="CC151" t="str">
            <v>BANQUE</v>
          </cell>
          <cell r="CD151" t="str">
            <v>650-Security</v>
          </cell>
          <cell r="CE151">
            <v>650</v>
          </cell>
        </row>
        <row r="152">
          <cell r="B152" t="str">
            <v>07019</v>
          </cell>
          <cell r="C152" t="str">
            <v>TWITE KABUYA ALAIN</v>
          </cell>
          <cell r="D152" t="str">
            <v>Security</v>
          </cell>
          <cell r="E152" t="str">
            <v>00018000360119637120076</v>
          </cell>
          <cell r="F152" t="str">
            <v>107317803040M</v>
          </cell>
          <cell r="G152" t="str">
            <v>Security Agent</v>
          </cell>
          <cell r="H152">
            <v>6.65</v>
          </cell>
          <cell r="I152">
            <v>7.7</v>
          </cell>
          <cell r="J152">
            <v>7.6999999999999993</v>
          </cell>
          <cell r="K152" t="str">
            <v>TSQ1-4.III</v>
          </cell>
          <cell r="L152" t="str">
            <v>TRAVAILLEUR SEMI QUALIFIE</v>
          </cell>
          <cell r="M152" t="str">
            <v>CATEGORIE 1 A 5</v>
          </cell>
          <cell r="N152" t="str">
            <v>TRAVAILLEUR SEMI QUALIFIE (TSQ), Echellon 1, Classe 4</v>
          </cell>
          <cell r="P152">
            <v>41153</v>
          </cell>
          <cell r="Q152" t="e">
            <v>#N/A</v>
          </cell>
          <cell r="R152" t="e">
            <v>#N/A</v>
          </cell>
          <cell r="S152" t="e">
            <v>#N/A</v>
          </cell>
          <cell r="T152" t="e">
            <v>#N/A</v>
          </cell>
          <cell r="U152" t="e">
            <v>#N/A</v>
          </cell>
          <cell r="V152" t="e">
            <v>#N/A</v>
          </cell>
          <cell r="W152" t="e">
            <v>#N/A</v>
          </cell>
          <cell r="X152" t="e">
            <v>#N/A</v>
          </cell>
          <cell r="Y152" t="e">
            <v>#N/A</v>
          </cell>
          <cell r="Z152" t="e">
            <v>#N/A</v>
          </cell>
          <cell r="AA152" t="e">
            <v>#N/A</v>
          </cell>
          <cell r="AB152" t="e">
            <v>#N/A</v>
          </cell>
          <cell r="AC152" t="e">
            <v>#N/A</v>
          </cell>
          <cell r="AE152">
            <v>200.2</v>
          </cell>
          <cell r="AF152" t="e">
            <v>#N/A</v>
          </cell>
          <cell r="AG152" t="e">
            <v>#N/A</v>
          </cell>
          <cell r="AH152" t="e">
            <v>#N/A</v>
          </cell>
          <cell r="AI152" t="e">
            <v>#N/A</v>
          </cell>
          <cell r="AJ152" t="e">
            <v>#N/A</v>
          </cell>
          <cell r="AK152" t="e">
            <v>#N/A</v>
          </cell>
          <cell r="AL152" t="e">
            <v>#N/A</v>
          </cell>
          <cell r="AM152" t="e">
            <v>#N/A</v>
          </cell>
          <cell r="AN152">
            <v>0</v>
          </cell>
          <cell r="AR152" t="e">
            <v>#N/A</v>
          </cell>
          <cell r="AS152">
            <v>60</v>
          </cell>
          <cell r="AT152" t="e">
            <v>#N/A</v>
          </cell>
          <cell r="AU152">
            <v>28.3</v>
          </cell>
          <cell r="AV152">
            <v>2</v>
          </cell>
          <cell r="AX152">
            <v>0</v>
          </cell>
          <cell r="AY152" t="e">
            <v>#N/A</v>
          </cell>
          <cell r="BA152">
            <v>3.05000000000001</v>
          </cell>
          <cell r="BB152" t="e">
            <v>#N/A</v>
          </cell>
          <cell r="BC152">
            <v>0</v>
          </cell>
          <cell r="BD152" t="e">
            <v>#N/A</v>
          </cell>
          <cell r="BE152" t="e">
            <v>#N/A</v>
          </cell>
          <cell r="BF152" t="e">
            <v>#N/A</v>
          </cell>
          <cell r="BL152">
            <v>0</v>
          </cell>
          <cell r="BM152" t="e">
            <v>#N/A</v>
          </cell>
          <cell r="BN152" t="e">
            <v>#N/A</v>
          </cell>
          <cell r="BO152" t="e">
            <v>#N/A</v>
          </cell>
          <cell r="BP152" t="e">
            <v>#N/A</v>
          </cell>
          <cell r="BQ152" t="e">
            <v>#N/A</v>
          </cell>
          <cell r="BR152">
            <v>-0.38784232365145227</v>
          </cell>
          <cell r="BT152">
            <v>-0.38784232365145227</v>
          </cell>
          <cell r="BU152" t="e">
            <v>#N/A</v>
          </cell>
          <cell r="BV152" t="e">
            <v>#N/A</v>
          </cell>
          <cell r="BW152" t="e">
            <v>#N/A</v>
          </cell>
          <cell r="BX152" t="e">
            <v>#N/A</v>
          </cell>
          <cell r="BY152" t="e">
            <v>#N/A</v>
          </cell>
          <cell r="BZ152" t="str">
            <v>CDI</v>
          </cell>
          <cell r="CA152" t="str">
            <v/>
          </cell>
          <cell r="CB152" t="str">
            <v/>
          </cell>
          <cell r="CC152" t="str">
            <v>BANQUE</v>
          </cell>
          <cell r="CD152" t="str">
            <v>650-Security</v>
          </cell>
          <cell r="CE152">
            <v>650</v>
          </cell>
        </row>
        <row r="153">
          <cell r="B153" t="str">
            <v>07022</v>
          </cell>
          <cell r="C153" t="str">
            <v>DIANA NGOMA REAGANE</v>
          </cell>
          <cell r="D153" t="str">
            <v>Security</v>
          </cell>
          <cell r="E153" t="str">
            <v>00018000360001076120029</v>
          </cell>
          <cell r="F153" t="str">
            <v>108335411220K</v>
          </cell>
          <cell r="G153" t="str">
            <v>Security Agent</v>
          </cell>
          <cell r="H153">
            <v>6.65</v>
          </cell>
          <cell r="I153">
            <v>7.7</v>
          </cell>
          <cell r="J153">
            <v>7.6999999999999993</v>
          </cell>
          <cell r="K153" t="str">
            <v>TSQ1-4.III</v>
          </cell>
          <cell r="L153" t="str">
            <v>TRAVAILLEUR SEMI QUALIFIE</v>
          </cell>
          <cell r="M153" t="str">
            <v>CATEGORIE 1 A 5</v>
          </cell>
          <cell r="N153" t="str">
            <v>TRAVAILLEUR SEMI QUALIFIE (TSQ), Echellon 1, Classe 4</v>
          </cell>
          <cell r="P153">
            <v>41275</v>
          </cell>
          <cell r="Q153" t="e">
            <v>#N/A</v>
          </cell>
          <cell r="R153" t="e">
            <v>#N/A</v>
          </cell>
          <cell r="S153" t="e">
            <v>#N/A</v>
          </cell>
          <cell r="T153" t="e">
            <v>#N/A</v>
          </cell>
          <cell r="U153" t="e">
            <v>#N/A</v>
          </cell>
          <cell r="V153" t="e">
            <v>#N/A</v>
          </cell>
          <cell r="W153" t="e">
            <v>#N/A</v>
          </cell>
          <cell r="X153" t="e">
            <v>#N/A</v>
          </cell>
          <cell r="Y153" t="e">
            <v>#N/A</v>
          </cell>
          <cell r="Z153" t="e">
            <v>#N/A</v>
          </cell>
          <cell r="AA153" t="e">
            <v>#N/A</v>
          </cell>
          <cell r="AB153" t="e">
            <v>#N/A</v>
          </cell>
          <cell r="AC153" t="e">
            <v>#N/A</v>
          </cell>
          <cell r="AE153">
            <v>200.2</v>
          </cell>
          <cell r="AF153" t="e">
            <v>#N/A</v>
          </cell>
          <cell r="AG153" t="e">
            <v>#N/A</v>
          </cell>
          <cell r="AH153" t="e">
            <v>#N/A</v>
          </cell>
          <cell r="AI153" t="e">
            <v>#N/A</v>
          </cell>
          <cell r="AJ153" t="e">
            <v>#N/A</v>
          </cell>
          <cell r="AK153" t="e">
            <v>#N/A</v>
          </cell>
          <cell r="AL153" t="e">
            <v>#N/A</v>
          </cell>
          <cell r="AM153" t="e">
            <v>#N/A</v>
          </cell>
          <cell r="AN153">
            <v>0</v>
          </cell>
          <cell r="AR153" t="e">
            <v>#N/A</v>
          </cell>
          <cell r="AS153">
            <v>60</v>
          </cell>
          <cell r="AT153" t="e">
            <v>#N/A</v>
          </cell>
          <cell r="AU153">
            <v>28.3</v>
          </cell>
          <cell r="AV153">
            <v>0</v>
          </cell>
          <cell r="AX153">
            <v>0</v>
          </cell>
          <cell r="AY153" t="e">
            <v>#N/A</v>
          </cell>
          <cell r="BA153">
            <v>2.71999999999997</v>
          </cell>
          <cell r="BB153" t="e">
            <v>#N/A</v>
          </cell>
          <cell r="BC153">
            <v>0</v>
          </cell>
          <cell r="BD153" t="e">
            <v>#N/A</v>
          </cell>
          <cell r="BE153" t="e">
            <v>#N/A</v>
          </cell>
          <cell r="BF153" t="e">
            <v>#N/A</v>
          </cell>
          <cell r="BL153">
            <v>0</v>
          </cell>
          <cell r="BM153" t="e">
            <v>#N/A</v>
          </cell>
          <cell r="BN153" t="e">
            <v>#N/A</v>
          </cell>
          <cell r="BO153" t="e">
            <v>#N/A</v>
          </cell>
          <cell r="BP153" t="e">
            <v>#N/A</v>
          </cell>
          <cell r="BQ153" t="e">
            <v>#N/A</v>
          </cell>
          <cell r="BR153">
            <v>-0.38784232365145227</v>
          </cell>
          <cell r="BT153">
            <v>-0.38784232365145227</v>
          </cell>
          <cell r="BU153" t="e">
            <v>#N/A</v>
          </cell>
          <cell r="BV153" t="e">
            <v>#N/A</v>
          </cell>
          <cell r="BW153" t="e">
            <v>#N/A</v>
          </cell>
          <cell r="BX153" t="e">
            <v>#N/A</v>
          </cell>
          <cell r="BY153" t="e">
            <v>#N/A</v>
          </cell>
          <cell r="BZ153" t="str">
            <v>CDI</v>
          </cell>
          <cell r="CA153" t="str">
            <v/>
          </cell>
          <cell r="CB153" t="str">
            <v/>
          </cell>
          <cell r="CC153" t="str">
            <v>BANQUE</v>
          </cell>
          <cell r="CD153" t="str">
            <v>650-Security</v>
          </cell>
          <cell r="CE153">
            <v>650</v>
          </cell>
        </row>
        <row r="154">
          <cell r="B154" t="str">
            <v>07025</v>
          </cell>
          <cell r="C154" t="str">
            <v>KUNDA DINAMBUENE REBECA</v>
          </cell>
          <cell r="D154" t="str">
            <v>Security</v>
          </cell>
          <cell r="E154" t="str">
            <v>00018000360112719120040</v>
          </cell>
          <cell r="F154" t="str">
            <v>208427911240J</v>
          </cell>
          <cell r="G154" t="str">
            <v>Personal Assistant</v>
          </cell>
          <cell r="H154">
            <v>13.7</v>
          </cell>
          <cell r="I154">
            <v>15.85</v>
          </cell>
          <cell r="J154">
            <v>15.850000000000001</v>
          </cell>
          <cell r="K154" t="str">
            <v>THQ0-9.V</v>
          </cell>
          <cell r="L154" t="str">
            <v>TRAVAILLEUR HAUTEMENT QUALIFIE</v>
          </cell>
          <cell r="M154" t="str">
            <v>CATEGORIE 1 A 5</v>
          </cell>
          <cell r="N154" t="str">
            <v>TRAVAILLEUR HAUTEMENT QUALIFIE (THQ), Echellon 0, Classe 9</v>
          </cell>
          <cell r="P154">
            <v>41275</v>
          </cell>
          <cell r="Q154" t="e">
            <v>#N/A</v>
          </cell>
          <cell r="R154" t="e">
            <v>#N/A</v>
          </cell>
          <cell r="S154" t="e">
            <v>#N/A</v>
          </cell>
          <cell r="T154" t="e">
            <v>#N/A</v>
          </cell>
          <cell r="U154" t="e">
            <v>#N/A</v>
          </cell>
          <cell r="V154" t="e">
            <v>#N/A</v>
          </cell>
          <cell r="W154" t="e">
            <v>#N/A</v>
          </cell>
          <cell r="X154" t="e">
            <v>#N/A</v>
          </cell>
          <cell r="Y154" t="e">
            <v>#N/A</v>
          </cell>
          <cell r="Z154" t="e">
            <v>#N/A</v>
          </cell>
          <cell r="AA154" t="e">
            <v>#N/A</v>
          </cell>
          <cell r="AB154" t="e">
            <v>#N/A</v>
          </cell>
          <cell r="AC154" t="e">
            <v>#N/A</v>
          </cell>
          <cell r="AE154">
            <v>412.1</v>
          </cell>
          <cell r="AF154" t="e">
            <v>#N/A</v>
          </cell>
          <cell r="AG154" t="e">
            <v>#N/A</v>
          </cell>
          <cell r="AH154" t="e">
            <v>#N/A</v>
          </cell>
          <cell r="AI154" t="e">
            <v>#N/A</v>
          </cell>
          <cell r="AJ154" t="e">
            <v>#N/A</v>
          </cell>
          <cell r="AK154" t="e">
            <v>#N/A</v>
          </cell>
          <cell r="AL154" t="e">
            <v>#N/A</v>
          </cell>
          <cell r="AM154" t="e">
            <v>#N/A</v>
          </cell>
          <cell r="AN154">
            <v>0</v>
          </cell>
          <cell r="AR154" t="e">
            <v>#N/A</v>
          </cell>
          <cell r="AS154">
            <v>75</v>
          </cell>
          <cell r="AT154" t="e">
            <v>#N/A</v>
          </cell>
          <cell r="AU154">
            <v>55.9</v>
          </cell>
          <cell r="AV154">
            <v>4</v>
          </cell>
          <cell r="AX154">
            <v>0</v>
          </cell>
          <cell r="AY154" t="e">
            <v>#N/A</v>
          </cell>
          <cell r="BA154">
            <v>9.44</v>
          </cell>
          <cell r="BB154" t="e">
            <v>#N/A</v>
          </cell>
          <cell r="BC154">
            <v>0</v>
          </cell>
          <cell r="BD154" t="e">
            <v>#N/A</v>
          </cell>
          <cell r="BE154" t="e">
            <v>#N/A</v>
          </cell>
          <cell r="BF154" t="e">
            <v>#N/A</v>
          </cell>
          <cell r="BL154">
            <v>0</v>
          </cell>
          <cell r="BM154" t="e">
            <v>#N/A</v>
          </cell>
          <cell r="BN154" t="e">
            <v>#N/A</v>
          </cell>
          <cell r="BO154" t="e">
            <v>#N/A</v>
          </cell>
          <cell r="BP154" t="e">
            <v>#N/A</v>
          </cell>
          <cell r="BQ154" t="e">
            <v>#N/A</v>
          </cell>
          <cell r="BR154">
            <v>-0.38784232365145227</v>
          </cell>
          <cell r="BT154">
            <v>-0.38784232365145227</v>
          </cell>
          <cell r="BU154" t="e">
            <v>#N/A</v>
          </cell>
          <cell r="BV154" t="e">
            <v>#N/A</v>
          </cell>
          <cell r="BW154" t="e">
            <v>#N/A</v>
          </cell>
          <cell r="BX154" t="e">
            <v>#N/A</v>
          </cell>
          <cell r="BY154" t="e">
            <v>#N/A</v>
          </cell>
          <cell r="BZ154" t="str">
            <v>CDI</v>
          </cell>
          <cell r="CA154" t="str">
            <v/>
          </cell>
          <cell r="CB154" t="str">
            <v/>
          </cell>
          <cell r="CC154" t="str">
            <v>BANQUE</v>
          </cell>
          <cell r="CD154" t="str">
            <v>650-Security</v>
          </cell>
          <cell r="CE154">
            <v>650</v>
          </cell>
        </row>
        <row r="155">
          <cell r="B155" t="str">
            <v>07026</v>
          </cell>
          <cell r="C155" t="str">
            <v>BUISU KALONDA JUNIOR</v>
          </cell>
          <cell r="D155" t="str">
            <v>Security</v>
          </cell>
          <cell r="E155" t="str">
            <v>00018000360001073120013</v>
          </cell>
          <cell r="F155" t="str">
            <v>103549007300E</v>
          </cell>
          <cell r="G155" t="str">
            <v>Security Supervisor</v>
          </cell>
          <cell r="H155">
            <v>10.3</v>
          </cell>
          <cell r="I155">
            <v>11.85</v>
          </cell>
          <cell r="J155">
            <v>11.850000000000001</v>
          </cell>
          <cell r="K155" t="str">
            <v>TRQ1-7.IV</v>
          </cell>
          <cell r="L155" t="str">
            <v>TRAVAILLEUR QUALIFIE</v>
          </cell>
          <cell r="M155" t="str">
            <v>CATEGORIE 1 A 5</v>
          </cell>
          <cell r="N155" t="str">
            <v>TRAVAILLEUR QUALIFIE (TQ), Echellon 1, Classe 7</v>
          </cell>
          <cell r="P155">
            <v>41275</v>
          </cell>
          <cell r="Q155" t="e">
            <v>#N/A</v>
          </cell>
          <cell r="R155" t="e">
            <v>#N/A</v>
          </cell>
          <cell r="S155" t="e">
            <v>#N/A</v>
          </cell>
          <cell r="T155" t="e">
            <v>#N/A</v>
          </cell>
          <cell r="U155" t="e">
            <v>#N/A</v>
          </cell>
          <cell r="V155" t="e">
            <v>#N/A</v>
          </cell>
          <cell r="W155" t="e">
            <v>#N/A</v>
          </cell>
          <cell r="X155" t="e">
            <v>#N/A</v>
          </cell>
          <cell r="Y155" t="e">
            <v>#N/A</v>
          </cell>
          <cell r="Z155" t="e">
            <v>#N/A</v>
          </cell>
          <cell r="AA155" t="e">
            <v>#N/A</v>
          </cell>
          <cell r="AB155" t="e">
            <v>#N/A</v>
          </cell>
          <cell r="AC155" t="e">
            <v>#N/A</v>
          </cell>
          <cell r="AE155">
            <v>308.10000000000002</v>
          </cell>
          <cell r="AF155" t="e">
            <v>#N/A</v>
          </cell>
          <cell r="AG155" t="e">
            <v>#N/A</v>
          </cell>
          <cell r="AH155" t="e">
            <v>#N/A</v>
          </cell>
          <cell r="AI155" t="e">
            <v>#N/A</v>
          </cell>
          <cell r="AJ155" t="e">
            <v>#N/A</v>
          </cell>
          <cell r="AK155" t="e">
            <v>#N/A</v>
          </cell>
          <cell r="AL155" t="e">
            <v>#N/A</v>
          </cell>
          <cell r="AM155" t="e">
            <v>#N/A</v>
          </cell>
          <cell r="AN155">
            <v>0</v>
          </cell>
          <cell r="AR155" t="e">
            <v>#N/A</v>
          </cell>
          <cell r="AS155">
            <v>46.21</v>
          </cell>
          <cell r="AT155" t="e">
            <v>#N/A</v>
          </cell>
          <cell r="AU155">
            <v>60</v>
          </cell>
          <cell r="AV155">
            <v>1</v>
          </cell>
          <cell r="AX155">
            <v>0</v>
          </cell>
          <cell r="AY155" t="e">
            <v>#N/A</v>
          </cell>
          <cell r="BB155" t="e">
            <v>#N/A</v>
          </cell>
          <cell r="BC155">
            <v>0</v>
          </cell>
          <cell r="BD155" t="e">
            <v>#N/A</v>
          </cell>
          <cell r="BE155" t="e">
            <v>#N/A</v>
          </cell>
          <cell r="BF155" t="e">
            <v>#N/A</v>
          </cell>
          <cell r="BL155">
            <v>0</v>
          </cell>
          <cell r="BM155" t="e">
            <v>#N/A</v>
          </cell>
          <cell r="BN155" t="e">
            <v>#N/A</v>
          </cell>
          <cell r="BO155" t="e">
            <v>#N/A</v>
          </cell>
          <cell r="BP155" t="e">
            <v>#N/A</v>
          </cell>
          <cell r="BQ155" t="e">
            <v>#N/A</v>
          </cell>
          <cell r="BR155">
            <v>-0.38784232365145227</v>
          </cell>
          <cell r="BT155">
            <v>-0.38784232365145227</v>
          </cell>
          <cell r="BU155" t="e">
            <v>#N/A</v>
          </cell>
          <cell r="BV155" t="e">
            <v>#N/A</v>
          </cell>
          <cell r="BW155" t="e">
            <v>#N/A</v>
          </cell>
          <cell r="BX155" t="e">
            <v>#N/A</v>
          </cell>
          <cell r="BY155" t="e">
            <v>#N/A</v>
          </cell>
          <cell r="BZ155" t="str">
            <v>CDI</v>
          </cell>
          <cell r="CA155" t="str">
            <v/>
          </cell>
          <cell r="CB155" t="str">
            <v/>
          </cell>
          <cell r="CC155" t="str">
            <v>BANQUE</v>
          </cell>
          <cell r="CD155" t="str">
            <v>650-Security</v>
          </cell>
          <cell r="CE155">
            <v>650</v>
          </cell>
        </row>
        <row r="156">
          <cell r="B156" t="str">
            <v>07027</v>
          </cell>
          <cell r="C156" t="str">
            <v>PEMBA KABANGU AGATTE</v>
          </cell>
          <cell r="D156" t="str">
            <v>Security</v>
          </cell>
          <cell r="E156" t="str">
            <v>00018000360138667120075</v>
          </cell>
          <cell r="F156" t="str">
            <v>207558005270Q</v>
          </cell>
          <cell r="G156" t="str">
            <v>Security Agent</v>
          </cell>
          <cell r="H156">
            <v>6.65</v>
          </cell>
          <cell r="I156">
            <v>7.7</v>
          </cell>
          <cell r="J156">
            <v>7.6999999999999993</v>
          </cell>
          <cell r="K156" t="str">
            <v>TSQ1-4.III</v>
          </cell>
          <cell r="L156" t="str">
            <v>TRAVAILLEUR SEMI QUALIFIE</v>
          </cell>
          <cell r="M156" t="str">
            <v>CATEGORIE 1 A 5</v>
          </cell>
          <cell r="N156" t="str">
            <v>TRAVAILLEUR SEMI QUALIFIE (TSQ), Echellon 1, Classe 4</v>
          </cell>
          <cell r="P156">
            <v>41275</v>
          </cell>
          <cell r="Q156" t="e">
            <v>#N/A</v>
          </cell>
          <cell r="R156" t="e">
            <v>#N/A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X156" t="e">
            <v>#N/A</v>
          </cell>
          <cell r="Y156" t="e">
            <v>#N/A</v>
          </cell>
          <cell r="Z156" t="e">
            <v>#N/A</v>
          </cell>
          <cell r="AA156" t="e">
            <v>#N/A</v>
          </cell>
          <cell r="AB156" t="e">
            <v>#N/A</v>
          </cell>
          <cell r="AC156" t="e">
            <v>#N/A</v>
          </cell>
          <cell r="AE156">
            <v>200.2</v>
          </cell>
          <cell r="AF156" t="e">
            <v>#N/A</v>
          </cell>
          <cell r="AG156" t="e">
            <v>#N/A</v>
          </cell>
          <cell r="AH156" t="e">
            <v>#N/A</v>
          </cell>
          <cell r="AI156" t="e">
            <v>#N/A</v>
          </cell>
          <cell r="AJ156" t="e">
            <v>#N/A</v>
          </cell>
          <cell r="AK156" t="e">
            <v>#N/A</v>
          </cell>
          <cell r="AL156" t="e">
            <v>#N/A</v>
          </cell>
          <cell r="AM156" t="e">
            <v>#N/A</v>
          </cell>
          <cell r="AN156">
            <v>0</v>
          </cell>
          <cell r="AR156" t="e">
            <v>#N/A</v>
          </cell>
          <cell r="AS156">
            <v>60</v>
          </cell>
          <cell r="AT156" t="e">
            <v>#N/A</v>
          </cell>
          <cell r="AU156">
            <v>28.3</v>
          </cell>
          <cell r="AV156">
            <v>3</v>
          </cell>
          <cell r="AX156">
            <v>0</v>
          </cell>
          <cell r="AY156" t="e">
            <v>#N/A</v>
          </cell>
          <cell r="BA156">
            <v>4.1100000000000101</v>
          </cell>
          <cell r="BB156" t="e">
            <v>#N/A</v>
          </cell>
          <cell r="BC156">
            <v>0</v>
          </cell>
          <cell r="BD156" t="e">
            <v>#N/A</v>
          </cell>
          <cell r="BE156" t="e">
            <v>#N/A</v>
          </cell>
          <cell r="BF156" t="e">
            <v>#N/A</v>
          </cell>
          <cell r="BL156">
            <v>0</v>
          </cell>
          <cell r="BM156" t="e">
            <v>#N/A</v>
          </cell>
          <cell r="BN156" t="e">
            <v>#N/A</v>
          </cell>
          <cell r="BO156" t="e">
            <v>#N/A</v>
          </cell>
          <cell r="BP156" t="e">
            <v>#N/A</v>
          </cell>
          <cell r="BQ156" t="e">
            <v>#N/A</v>
          </cell>
          <cell r="BR156">
            <v>-0.38784232365145227</v>
          </cell>
          <cell r="BT156">
            <v>-0.38784232365145227</v>
          </cell>
          <cell r="BU156" t="e">
            <v>#N/A</v>
          </cell>
          <cell r="BV156" t="e">
            <v>#N/A</v>
          </cell>
          <cell r="BW156" t="e">
            <v>#N/A</v>
          </cell>
          <cell r="BX156" t="e">
            <v>#N/A</v>
          </cell>
          <cell r="BY156" t="e">
            <v>#N/A</v>
          </cell>
          <cell r="BZ156" t="str">
            <v>CDI</v>
          </cell>
          <cell r="CA156" t="str">
            <v/>
          </cell>
          <cell r="CB156" t="str">
            <v/>
          </cell>
          <cell r="CC156" t="str">
            <v>BANQUE</v>
          </cell>
          <cell r="CD156" t="str">
            <v>650-Security</v>
          </cell>
          <cell r="CE156">
            <v>650</v>
          </cell>
        </row>
        <row r="157">
          <cell r="B157" t="str">
            <v>07028</v>
          </cell>
          <cell r="C157" t="str">
            <v>TANGA MANGELE JONATHAN</v>
          </cell>
          <cell r="D157" t="str">
            <v>Security</v>
          </cell>
          <cell r="E157" t="str">
            <v>00018000360001223120037</v>
          </cell>
          <cell r="F157" t="str">
            <v>102628908080G</v>
          </cell>
          <cell r="G157" t="str">
            <v>Security Agent</v>
          </cell>
          <cell r="H157">
            <v>6.65</v>
          </cell>
          <cell r="I157">
            <v>7.7</v>
          </cell>
          <cell r="J157">
            <v>7.6999999999999993</v>
          </cell>
          <cell r="K157" t="str">
            <v>TSQ1-4.III</v>
          </cell>
          <cell r="L157" t="str">
            <v>TRAVAILLEUR SEMI QUALIFIE</v>
          </cell>
          <cell r="M157" t="str">
            <v>CATEGORIE 1 A 5</v>
          </cell>
          <cell r="N157" t="str">
            <v>TRAVAILLEUR SEMI QUALIFIE (TSQ), Echellon 1, Classe 4</v>
          </cell>
          <cell r="P157">
            <v>41275</v>
          </cell>
          <cell r="Q157" t="e">
            <v>#N/A</v>
          </cell>
          <cell r="R157" t="e">
            <v>#N/A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X157" t="e">
            <v>#N/A</v>
          </cell>
          <cell r="Y157" t="e">
            <v>#N/A</v>
          </cell>
          <cell r="Z157" t="e">
            <v>#N/A</v>
          </cell>
          <cell r="AA157" t="e">
            <v>#N/A</v>
          </cell>
          <cell r="AB157" t="e">
            <v>#N/A</v>
          </cell>
          <cell r="AC157" t="e">
            <v>#N/A</v>
          </cell>
          <cell r="AE157">
            <v>200.2</v>
          </cell>
          <cell r="AF157" t="e">
            <v>#N/A</v>
          </cell>
          <cell r="AG157" t="e">
            <v>#N/A</v>
          </cell>
          <cell r="AH157" t="e">
            <v>#N/A</v>
          </cell>
          <cell r="AI157" t="e">
            <v>#N/A</v>
          </cell>
          <cell r="AJ157" t="e">
            <v>#N/A</v>
          </cell>
          <cell r="AK157" t="e">
            <v>#N/A</v>
          </cell>
          <cell r="AL157" t="e">
            <v>#N/A</v>
          </cell>
          <cell r="AM157" t="e">
            <v>#N/A</v>
          </cell>
          <cell r="AN157">
            <v>0</v>
          </cell>
          <cell r="AR157" t="e">
            <v>#N/A</v>
          </cell>
          <cell r="AS157">
            <v>60</v>
          </cell>
          <cell r="AT157" t="e">
            <v>#N/A</v>
          </cell>
          <cell r="AU157">
            <v>28.3</v>
          </cell>
          <cell r="AV157">
            <v>1</v>
          </cell>
          <cell r="AX157">
            <v>0</v>
          </cell>
          <cell r="AY157" t="e">
            <v>#N/A</v>
          </cell>
          <cell r="BA157">
            <v>3.27000000000004</v>
          </cell>
          <cell r="BB157" t="e">
            <v>#N/A</v>
          </cell>
          <cell r="BC157">
            <v>0</v>
          </cell>
          <cell r="BD157" t="e">
            <v>#N/A</v>
          </cell>
          <cell r="BE157" t="e">
            <v>#N/A</v>
          </cell>
          <cell r="BF157" t="e">
            <v>#N/A</v>
          </cell>
          <cell r="BL157">
            <v>0</v>
          </cell>
          <cell r="BM157" t="e">
            <v>#N/A</v>
          </cell>
          <cell r="BN157" t="e">
            <v>#N/A</v>
          </cell>
          <cell r="BO157" t="e">
            <v>#N/A</v>
          </cell>
          <cell r="BP157" t="e">
            <v>#N/A</v>
          </cell>
          <cell r="BQ157" t="e">
            <v>#N/A</v>
          </cell>
          <cell r="BR157">
            <v>-0.38784232365145227</v>
          </cell>
          <cell r="BT157">
            <v>-0.38784232365145227</v>
          </cell>
          <cell r="BU157" t="e">
            <v>#N/A</v>
          </cell>
          <cell r="BV157" t="e">
            <v>#N/A</v>
          </cell>
          <cell r="BW157" t="e">
            <v>#N/A</v>
          </cell>
          <cell r="BX157" t="e">
            <v>#N/A</v>
          </cell>
          <cell r="BY157" t="e">
            <v>#N/A</v>
          </cell>
          <cell r="BZ157" t="str">
            <v>CDI</v>
          </cell>
          <cell r="CA157" t="str">
            <v/>
          </cell>
          <cell r="CB157" t="str">
            <v/>
          </cell>
          <cell r="CC157" t="str">
            <v>BANQUE</v>
          </cell>
          <cell r="CD157" t="str">
            <v>650-Security</v>
          </cell>
          <cell r="CE157">
            <v>650</v>
          </cell>
        </row>
        <row r="158">
          <cell r="B158" t="str">
            <v>07029</v>
          </cell>
          <cell r="C158" t="str">
            <v>NDANGU BISALU LUC</v>
          </cell>
          <cell r="D158" t="str">
            <v>Security</v>
          </cell>
          <cell r="E158" t="str">
            <v>00018000360001190120055</v>
          </cell>
          <cell r="F158" t="str">
            <v>108529101080Q</v>
          </cell>
          <cell r="G158" t="str">
            <v>Security Agent</v>
          </cell>
          <cell r="H158">
            <v>6.65</v>
          </cell>
          <cell r="I158">
            <v>7.7</v>
          </cell>
          <cell r="J158">
            <v>7.6999999999999993</v>
          </cell>
          <cell r="K158" t="str">
            <v>TSQ1-4.III</v>
          </cell>
          <cell r="L158" t="str">
            <v>TRAVAILLEUR SEMI QUALIFIE</v>
          </cell>
          <cell r="M158" t="str">
            <v>CATEGORIE 1 A 5</v>
          </cell>
          <cell r="N158" t="str">
            <v>TRAVAILLEUR SEMI QUALIFIE (TSQ), Echellon 1, Classe 4</v>
          </cell>
          <cell r="P158">
            <v>41292</v>
          </cell>
          <cell r="Q158" t="e">
            <v>#N/A</v>
          </cell>
          <cell r="R158" t="e">
            <v>#N/A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 t="e">
            <v>#N/A</v>
          </cell>
          <cell r="X158" t="e">
            <v>#N/A</v>
          </cell>
          <cell r="Y158" t="e">
            <v>#N/A</v>
          </cell>
          <cell r="Z158" t="e">
            <v>#N/A</v>
          </cell>
          <cell r="AA158" t="e">
            <v>#N/A</v>
          </cell>
          <cell r="AB158" t="e">
            <v>#N/A</v>
          </cell>
          <cell r="AC158" t="e">
            <v>#N/A</v>
          </cell>
          <cell r="AE158">
            <v>200.2</v>
          </cell>
          <cell r="AF158" t="e">
            <v>#N/A</v>
          </cell>
          <cell r="AG158" t="e">
            <v>#N/A</v>
          </cell>
          <cell r="AH158" t="e">
            <v>#N/A</v>
          </cell>
          <cell r="AI158" t="e">
            <v>#N/A</v>
          </cell>
          <cell r="AJ158" t="e">
            <v>#N/A</v>
          </cell>
          <cell r="AK158" t="e">
            <v>#N/A</v>
          </cell>
          <cell r="AL158" t="e">
            <v>#N/A</v>
          </cell>
          <cell r="AM158" t="e">
            <v>#N/A</v>
          </cell>
          <cell r="AN158">
            <v>0</v>
          </cell>
          <cell r="AR158" t="e">
            <v>#N/A</v>
          </cell>
          <cell r="AS158">
            <v>60</v>
          </cell>
          <cell r="AT158" t="e">
            <v>#N/A</v>
          </cell>
          <cell r="AU158">
            <v>28.3</v>
          </cell>
          <cell r="AV158">
            <v>0</v>
          </cell>
          <cell r="AX158">
            <v>0</v>
          </cell>
          <cell r="AY158" t="e">
            <v>#N/A</v>
          </cell>
          <cell r="BA158">
            <v>2.25999999999999</v>
          </cell>
          <cell r="BB158" t="e">
            <v>#N/A</v>
          </cell>
          <cell r="BC158">
            <v>0</v>
          </cell>
          <cell r="BD158" t="e">
            <v>#N/A</v>
          </cell>
          <cell r="BE158" t="e">
            <v>#N/A</v>
          </cell>
          <cell r="BF158" t="e">
            <v>#N/A</v>
          </cell>
          <cell r="BL158">
            <v>0</v>
          </cell>
          <cell r="BM158" t="e">
            <v>#N/A</v>
          </cell>
          <cell r="BN158" t="e">
            <v>#N/A</v>
          </cell>
          <cell r="BO158" t="e">
            <v>#N/A</v>
          </cell>
          <cell r="BP158" t="e">
            <v>#N/A</v>
          </cell>
          <cell r="BQ158" t="e">
            <v>#N/A</v>
          </cell>
          <cell r="BR158">
            <v>-0.38784232365145227</v>
          </cell>
          <cell r="BT158">
            <v>-0.38784232365145227</v>
          </cell>
          <cell r="BU158" t="e">
            <v>#N/A</v>
          </cell>
          <cell r="BV158" t="e">
            <v>#N/A</v>
          </cell>
          <cell r="BW158" t="e">
            <v>#N/A</v>
          </cell>
          <cell r="BX158" t="e">
            <v>#N/A</v>
          </cell>
          <cell r="BY158" t="e">
            <v>#N/A</v>
          </cell>
          <cell r="BZ158" t="str">
            <v>CDI</v>
          </cell>
          <cell r="CA158" t="str">
            <v/>
          </cell>
          <cell r="CB158" t="str">
            <v/>
          </cell>
          <cell r="CC158" t="str">
            <v>BANQUE</v>
          </cell>
          <cell r="CD158" t="str">
            <v>650-Security</v>
          </cell>
          <cell r="CE158">
            <v>650</v>
          </cell>
        </row>
        <row r="159">
          <cell r="B159" t="str">
            <v>07036</v>
          </cell>
          <cell r="C159" t="str">
            <v>NGOY KAMPALATA ODON</v>
          </cell>
          <cell r="D159" t="str">
            <v>Security</v>
          </cell>
          <cell r="E159" t="str">
            <v>00018000360001283120066</v>
          </cell>
          <cell r="F159" t="str">
            <v>105657206140H</v>
          </cell>
          <cell r="G159" t="str">
            <v>Security Agent</v>
          </cell>
          <cell r="H159">
            <v>6.65</v>
          </cell>
          <cell r="I159">
            <v>7.7</v>
          </cell>
          <cell r="J159">
            <v>7.6999999999999993</v>
          </cell>
          <cell r="K159" t="str">
            <v>TSQ1-4.III</v>
          </cell>
          <cell r="L159" t="str">
            <v>TRAVAILLEUR SEMI QUALIFIE</v>
          </cell>
          <cell r="M159" t="str">
            <v>CATEGORIE 1 A 5</v>
          </cell>
          <cell r="N159" t="str">
            <v>TRAVAILLEUR SEMI QUALIFIE (TSQ), Echellon 1, Classe 4</v>
          </cell>
          <cell r="P159">
            <v>41421</v>
          </cell>
          <cell r="Q159" t="e">
            <v>#N/A</v>
          </cell>
          <cell r="R159" t="e">
            <v>#N/A</v>
          </cell>
          <cell r="S159" t="e">
            <v>#N/A</v>
          </cell>
          <cell r="T159" t="e">
            <v>#N/A</v>
          </cell>
          <cell r="U159" t="e">
            <v>#N/A</v>
          </cell>
          <cell r="V159" t="e">
            <v>#N/A</v>
          </cell>
          <cell r="W159" t="e">
            <v>#N/A</v>
          </cell>
          <cell r="X159" t="e">
            <v>#N/A</v>
          </cell>
          <cell r="Y159" t="e">
            <v>#N/A</v>
          </cell>
          <cell r="Z159" t="e">
            <v>#N/A</v>
          </cell>
          <cell r="AA159" t="e">
            <v>#N/A</v>
          </cell>
          <cell r="AB159" t="e">
            <v>#N/A</v>
          </cell>
          <cell r="AC159" t="e">
            <v>#N/A</v>
          </cell>
          <cell r="AE159">
            <v>200.2</v>
          </cell>
          <cell r="AF159" t="e">
            <v>#N/A</v>
          </cell>
          <cell r="AG159" t="e">
            <v>#N/A</v>
          </cell>
          <cell r="AH159" t="e">
            <v>#N/A</v>
          </cell>
          <cell r="AI159" t="e">
            <v>#N/A</v>
          </cell>
          <cell r="AJ159" t="e">
            <v>#N/A</v>
          </cell>
          <cell r="AK159" t="e">
            <v>#N/A</v>
          </cell>
          <cell r="AL159" t="e">
            <v>#N/A</v>
          </cell>
          <cell r="AM159" t="e">
            <v>#N/A</v>
          </cell>
          <cell r="AN159">
            <v>0</v>
          </cell>
          <cell r="AR159" t="e">
            <v>#N/A</v>
          </cell>
          <cell r="AS159">
            <v>60</v>
          </cell>
          <cell r="AT159" t="e">
            <v>#N/A</v>
          </cell>
          <cell r="AU159">
            <v>28.3</v>
          </cell>
          <cell r="AV159">
            <v>5</v>
          </cell>
          <cell r="AX159">
            <v>0</v>
          </cell>
          <cell r="AY159" t="e">
            <v>#N/A</v>
          </cell>
          <cell r="BA159">
            <v>2.3899999999999899</v>
          </cell>
          <cell r="BB159" t="e">
            <v>#N/A</v>
          </cell>
          <cell r="BC159">
            <v>0</v>
          </cell>
          <cell r="BD159" t="e">
            <v>#N/A</v>
          </cell>
          <cell r="BE159" t="e">
            <v>#N/A</v>
          </cell>
          <cell r="BF159" t="e">
            <v>#N/A</v>
          </cell>
          <cell r="BL159">
            <v>0</v>
          </cell>
          <cell r="BM159" t="e">
            <v>#N/A</v>
          </cell>
          <cell r="BN159" t="e">
            <v>#N/A</v>
          </cell>
          <cell r="BO159" t="e">
            <v>#N/A</v>
          </cell>
          <cell r="BP159" t="e">
            <v>#N/A</v>
          </cell>
          <cell r="BQ159" t="e">
            <v>#N/A</v>
          </cell>
          <cell r="BR159">
            <v>-0.38784232365145227</v>
          </cell>
          <cell r="BT159">
            <v>-0.38784232365145227</v>
          </cell>
          <cell r="BU159" t="e">
            <v>#N/A</v>
          </cell>
          <cell r="BV159" t="e">
            <v>#N/A</v>
          </cell>
          <cell r="BW159" t="e">
            <v>#N/A</v>
          </cell>
          <cell r="BX159" t="e">
            <v>#N/A</v>
          </cell>
          <cell r="BY159" t="e">
            <v>#N/A</v>
          </cell>
          <cell r="BZ159" t="str">
            <v>CDI</v>
          </cell>
          <cell r="CA159" t="str">
            <v/>
          </cell>
          <cell r="CB159" t="str">
            <v/>
          </cell>
          <cell r="CC159" t="str">
            <v>BANQUE</v>
          </cell>
          <cell r="CD159" t="str">
            <v>650-Security</v>
          </cell>
          <cell r="CE159">
            <v>650</v>
          </cell>
        </row>
        <row r="160">
          <cell r="B160" t="str">
            <v>02042</v>
          </cell>
          <cell r="C160" t="str">
            <v>IBANDA KITENGE MARIE</v>
          </cell>
          <cell r="D160" t="str">
            <v>Stewarding</v>
          </cell>
          <cell r="E160" t="str">
            <v>00018000360001089120066</v>
          </cell>
          <cell r="F160" t="str">
            <v>206437812040F</v>
          </cell>
          <cell r="G160" t="str">
            <v>Steward</v>
          </cell>
          <cell r="H160">
            <v>5.8</v>
          </cell>
          <cell r="I160">
            <v>6.65</v>
          </cell>
          <cell r="J160">
            <v>6.65</v>
          </cell>
          <cell r="K160" t="str">
            <v>TSP0-3.II</v>
          </cell>
          <cell r="L160" t="str">
            <v>TRAVAILLEUR SPECIALISE</v>
          </cell>
          <cell r="M160" t="str">
            <v>CATEGORIE 1 A 5</v>
          </cell>
          <cell r="N160" t="str">
            <v>TRAVAILLEUR SPECIALISE (TS), Echellon 0 , Classe 3</v>
          </cell>
          <cell r="P160">
            <v>41790</v>
          </cell>
          <cell r="Q160" t="e">
            <v>#N/A</v>
          </cell>
          <cell r="R160" t="e">
            <v>#N/A</v>
          </cell>
          <cell r="S160" t="e">
            <v>#N/A</v>
          </cell>
          <cell r="T160" t="e">
            <v>#N/A</v>
          </cell>
          <cell r="U160" t="e">
            <v>#N/A</v>
          </cell>
          <cell r="V160" t="e">
            <v>#N/A</v>
          </cell>
          <cell r="W160" t="e">
            <v>#N/A</v>
          </cell>
          <cell r="X160" t="e">
            <v>#N/A</v>
          </cell>
          <cell r="Y160" t="e">
            <v>#N/A</v>
          </cell>
          <cell r="Z160" t="e">
            <v>#N/A</v>
          </cell>
          <cell r="AA160" t="e">
            <v>#N/A</v>
          </cell>
          <cell r="AB160" t="e">
            <v>#N/A</v>
          </cell>
          <cell r="AC160" t="e">
            <v>#N/A</v>
          </cell>
          <cell r="AE160">
            <v>172.9</v>
          </cell>
          <cell r="AF160" t="e">
            <v>#N/A</v>
          </cell>
          <cell r="AG160" t="e">
            <v>#N/A</v>
          </cell>
          <cell r="AH160" t="e">
            <v>#N/A</v>
          </cell>
          <cell r="AI160" t="e">
            <v>#N/A</v>
          </cell>
          <cell r="AJ160" t="e">
            <v>#N/A</v>
          </cell>
          <cell r="AK160" t="e">
            <v>#N/A</v>
          </cell>
          <cell r="AL160" t="e">
            <v>#N/A</v>
          </cell>
          <cell r="AM160" t="e">
            <v>#N/A</v>
          </cell>
          <cell r="AN160">
            <v>0</v>
          </cell>
          <cell r="AR160" t="e">
            <v>#N/A</v>
          </cell>
          <cell r="AS160">
            <v>60</v>
          </cell>
          <cell r="AT160" t="e">
            <v>#N/A</v>
          </cell>
          <cell r="AU160">
            <v>38.1</v>
          </cell>
          <cell r="AV160">
            <v>0</v>
          </cell>
          <cell r="AX160">
            <v>0</v>
          </cell>
          <cell r="AY160" t="e">
            <v>#N/A</v>
          </cell>
          <cell r="BA160">
            <v>0.93999999999999795</v>
          </cell>
          <cell r="BB160" t="e">
            <v>#N/A</v>
          </cell>
          <cell r="BC160">
            <v>0</v>
          </cell>
          <cell r="BD160" t="e">
            <v>#N/A</v>
          </cell>
          <cell r="BE160" t="e">
            <v>#N/A</v>
          </cell>
          <cell r="BF160" t="e">
            <v>#N/A</v>
          </cell>
          <cell r="BL160">
            <v>0</v>
          </cell>
          <cell r="BM160" t="e">
            <v>#N/A</v>
          </cell>
          <cell r="BN160" t="e">
            <v>#N/A</v>
          </cell>
          <cell r="BO160" t="e">
            <v>#N/A</v>
          </cell>
          <cell r="BP160" t="e">
            <v>#N/A</v>
          </cell>
          <cell r="BQ160" t="e">
            <v>#N/A</v>
          </cell>
          <cell r="BR160">
            <v>-0.38784232365145227</v>
          </cell>
          <cell r="BT160">
            <v>-0.38784232365145227</v>
          </cell>
          <cell r="BU160" t="e">
            <v>#N/A</v>
          </cell>
          <cell r="BV160" t="e">
            <v>#N/A</v>
          </cell>
          <cell r="BW160" t="e">
            <v>#N/A</v>
          </cell>
          <cell r="BX160" t="e">
            <v>#N/A</v>
          </cell>
          <cell r="BY160" t="e">
            <v>#N/A</v>
          </cell>
          <cell r="BZ160" t="str">
            <v>CDI</v>
          </cell>
          <cell r="CA160" t="str">
            <v/>
          </cell>
          <cell r="CB160" t="str">
            <v/>
          </cell>
          <cell r="CC160" t="str">
            <v>BANQUE</v>
          </cell>
          <cell r="CD160" t="str">
            <v>282-Stewarding</v>
          </cell>
          <cell r="CE160">
            <v>282</v>
          </cell>
        </row>
        <row r="161">
          <cell r="B161" t="str">
            <v>02047</v>
          </cell>
          <cell r="C161" t="str">
            <v>FINGU BUELA EZECHIEL</v>
          </cell>
          <cell r="D161" t="str">
            <v>Stewarding</v>
          </cell>
          <cell r="E161" t="str">
            <v>00018000360001085120077</v>
          </cell>
          <cell r="F161" t="str">
            <v>108538908121S</v>
          </cell>
          <cell r="G161" t="str">
            <v>steward</v>
          </cell>
          <cell r="H161">
            <v>5.8</v>
          </cell>
          <cell r="I161">
            <v>6.65</v>
          </cell>
          <cell r="J161">
            <v>6.65</v>
          </cell>
          <cell r="K161" t="str">
            <v>TSP0-3.II</v>
          </cell>
          <cell r="L161" t="str">
            <v>TRAVAILLEUR SPECIALISE</v>
          </cell>
          <cell r="M161" t="str">
            <v>CATEGORIE 1 A 5</v>
          </cell>
          <cell r="N161" t="str">
            <v>TRAVAILLEUR SPECIALISE (TS), Echellon 0 , Classe 3</v>
          </cell>
          <cell r="P161">
            <v>41732</v>
          </cell>
          <cell r="Q161" t="e">
            <v>#N/A</v>
          </cell>
          <cell r="R161" t="e">
            <v>#N/A</v>
          </cell>
          <cell r="S161" t="e">
            <v>#N/A</v>
          </cell>
          <cell r="T161" t="e">
            <v>#N/A</v>
          </cell>
          <cell r="U161" t="e">
            <v>#N/A</v>
          </cell>
          <cell r="V161" t="e">
            <v>#N/A</v>
          </cell>
          <cell r="W161" t="e">
            <v>#N/A</v>
          </cell>
          <cell r="X161" t="e">
            <v>#N/A</v>
          </cell>
          <cell r="Y161" t="e">
            <v>#N/A</v>
          </cell>
          <cell r="Z161" t="e">
            <v>#N/A</v>
          </cell>
          <cell r="AA161" t="e">
            <v>#N/A</v>
          </cell>
          <cell r="AB161" t="e">
            <v>#N/A</v>
          </cell>
          <cell r="AC161" t="e">
            <v>#N/A</v>
          </cell>
          <cell r="AE161">
            <v>172.9</v>
          </cell>
          <cell r="AF161" t="e">
            <v>#N/A</v>
          </cell>
          <cell r="AG161" t="e">
            <v>#N/A</v>
          </cell>
          <cell r="AH161" t="e">
            <v>#N/A</v>
          </cell>
          <cell r="AI161" t="e">
            <v>#N/A</v>
          </cell>
          <cell r="AJ161" t="e">
            <v>#N/A</v>
          </cell>
          <cell r="AK161" t="e">
            <v>#N/A</v>
          </cell>
          <cell r="AL161" t="e">
            <v>#N/A</v>
          </cell>
          <cell r="AM161" t="e">
            <v>#N/A</v>
          </cell>
          <cell r="AN161">
            <v>0</v>
          </cell>
          <cell r="AR161" t="e">
            <v>#N/A</v>
          </cell>
          <cell r="AS161">
            <v>60</v>
          </cell>
          <cell r="AT161" t="e">
            <v>#N/A</v>
          </cell>
          <cell r="AU161">
            <v>38.1</v>
          </cell>
          <cell r="AV161">
            <v>3</v>
          </cell>
          <cell r="AX161">
            <v>0</v>
          </cell>
          <cell r="AY161" t="e">
            <v>#N/A</v>
          </cell>
          <cell r="BA161">
            <v>0.91000000000002501</v>
          </cell>
          <cell r="BB161" t="e">
            <v>#N/A</v>
          </cell>
          <cell r="BC161">
            <v>0</v>
          </cell>
          <cell r="BD161" t="e">
            <v>#N/A</v>
          </cell>
          <cell r="BE161" t="e">
            <v>#N/A</v>
          </cell>
          <cell r="BF161" t="e">
            <v>#N/A</v>
          </cell>
          <cell r="BL161">
            <v>0</v>
          </cell>
          <cell r="BM161" t="e">
            <v>#N/A</v>
          </cell>
          <cell r="BN161" t="e">
            <v>#N/A</v>
          </cell>
          <cell r="BO161" t="e">
            <v>#N/A</v>
          </cell>
          <cell r="BP161" t="e">
            <v>#N/A</v>
          </cell>
          <cell r="BQ161" t="e">
            <v>#N/A</v>
          </cell>
          <cell r="BR161">
            <v>-0.38784232365145227</v>
          </cell>
          <cell r="BT161">
            <v>-0.38784232365145227</v>
          </cell>
          <cell r="BU161" t="e">
            <v>#N/A</v>
          </cell>
          <cell r="BV161" t="e">
            <v>#N/A</v>
          </cell>
          <cell r="BW161" t="e">
            <v>#N/A</v>
          </cell>
          <cell r="BX161" t="e">
            <v>#N/A</v>
          </cell>
          <cell r="BY161" t="e">
            <v>#N/A</v>
          </cell>
          <cell r="BZ161" t="str">
            <v>CDI</v>
          </cell>
          <cell r="CA161" t="str">
            <v/>
          </cell>
          <cell r="CB161" t="str">
            <v/>
          </cell>
          <cell r="CC161" t="str">
            <v>BANQUE</v>
          </cell>
          <cell r="CD161" t="str">
            <v>282-Stewarding</v>
          </cell>
          <cell r="CE161">
            <v>282</v>
          </cell>
        </row>
        <row r="162">
          <cell r="B162" t="str">
            <v>05074</v>
          </cell>
          <cell r="C162" t="str">
            <v>NZUZI NSAFU FRANCOIS</v>
          </cell>
          <cell r="D162" t="str">
            <v>Stewarding</v>
          </cell>
          <cell r="E162" t="str">
            <v>00018000360001206120011</v>
          </cell>
          <cell r="F162" t="str">
            <v>108337710010T</v>
          </cell>
          <cell r="G162" t="str">
            <v>Steward</v>
          </cell>
          <cell r="H162">
            <v>6.65</v>
          </cell>
          <cell r="I162">
            <v>7.7</v>
          </cell>
          <cell r="J162">
            <v>7.6999999999999993</v>
          </cell>
          <cell r="K162" t="str">
            <v>TSQ1-4.III</v>
          </cell>
          <cell r="L162" t="str">
            <v>TRAVAILLEUR SEMI QUALIFIE</v>
          </cell>
          <cell r="M162" t="str">
            <v>CATEGORIE 1 A 5</v>
          </cell>
          <cell r="N162" t="str">
            <v>TRAVAILLEUR SEMI QUALIFIE (TSQ), Echellon 1, Classe 4</v>
          </cell>
          <cell r="P162">
            <v>41153</v>
          </cell>
          <cell r="Q162" t="e">
            <v>#N/A</v>
          </cell>
          <cell r="R162" t="e">
            <v>#N/A</v>
          </cell>
          <cell r="S162" t="e">
            <v>#N/A</v>
          </cell>
          <cell r="T162" t="e">
            <v>#N/A</v>
          </cell>
          <cell r="U162" t="e">
            <v>#N/A</v>
          </cell>
          <cell r="V162" t="e">
            <v>#N/A</v>
          </cell>
          <cell r="W162" t="e">
            <v>#N/A</v>
          </cell>
          <cell r="X162" t="e">
            <v>#N/A</v>
          </cell>
          <cell r="Y162" t="e">
            <v>#N/A</v>
          </cell>
          <cell r="Z162" t="e">
            <v>#N/A</v>
          </cell>
          <cell r="AA162" t="e">
            <v>#N/A</v>
          </cell>
          <cell r="AB162" t="e">
            <v>#N/A</v>
          </cell>
          <cell r="AC162" t="e">
            <v>#N/A</v>
          </cell>
          <cell r="AE162">
            <v>200.2</v>
          </cell>
          <cell r="AF162" t="e">
            <v>#N/A</v>
          </cell>
          <cell r="AG162" t="e">
            <v>#N/A</v>
          </cell>
          <cell r="AH162" t="e">
            <v>#N/A</v>
          </cell>
          <cell r="AI162" t="e">
            <v>#N/A</v>
          </cell>
          <cell r="AJ162" t="e">
            <v>#N/A</v>
          </cell>
          <cell r="AK162" t="e">
            <v>#N/A</v>
          </cell>
          <cell r="AL162" t="e">
            <v>#N/A</v>
          </cell>
          <cell r="AM162" t="e">
            <v>#N/A</v>
          </cell>
          <cell r="AN162">
            <v>0</v>
          </cell>
          <cell r="AR162" t="e">
            <v>#N/A</v>
          </cell>
          <cell r="AS162">
            <v>60</v>
          </cell>
          <cell r="AT162" t="e">
            <v>#N/A</v>
          </cell>
          <cell r="AU162">
            <v>29.8</v>
          </cell>
          <cell r="AV162">
            <v>0</v>
          </cell>
          <cell r="AX162">
            <v>0</v>
          </cell>
          <cell r="AY162" t="e">
            <v>#N/A</v>
          </cell>
          <cell r="BA162">
            <v>0.74000000000000898</v>
          </cell>
          <cell r="BB162" t="e">
            <v>#N/A</v>
          </cell>
          <cell r="BC162">
            <v>0</v>
          </cell>
          <cell r="BD162" t="e">
            <v>#N/A</v>
          </cell>
          <cell r="BE162" t="e">
            <v>#N/A</v>
          </cell>
          <cell r="BF162" t="e">
            <v>#N/A</v>
          </cell>
          <cell r="BL162">
            <v>0</v>
          </cell>
          <cell r="BM162" t="e">
            <v>#N/A</v>
          </cell>
          <cell r="BN162" t="e">
            <v>#N/A</v>
          </cell>
          <cell r="BO162" t="e">
            <v>#N/A</v>
          </cell>
          <cell r="BP162" t="e">
            <v>#N/A</v>
          </cell>
          <cell r="BQ162" t="e">
            <v>#N/A</v>
          </cell>
          <cell r="BR162">
            <v>-0.38784232365145227</v>
          </cell>
          <cell r="BT162">
            <v>-0.38784232365145227</v>
          </cell>
          <cell r="BU162" t="e">
            <v>#N/A</v>
          </cell>
          <cell r="BV162" t="e">
            <v>#N/A</v>
          </cell>
          <cell r="BW162" t="e">
            <v>#N/A</v>
          </cell>
          <cell r="BX162" t="e">
            <v>#N/A</v>
          </cell>
          <cell r="BY162" t="e">
            <v>#N/A</v>
          </cell>
          <cell r="BZ162" t="str">
            <v>CDI</v>
          </cell>
          <cell r="CA162" t="str">
            <v/>
          </cell>
          <cell r="CB162" t="str">
            <v/>
          </cell>
          <cell r="CC162" t="str">
            <v>BANQUE</v>
          </cell>
          <cell r="CD162" t="str">
            <v>282-Stewarding</v>
          </cell>
          <cell r="CE162">
            <v>282</v>
          </cell>
        </row>
        <row r="163">
          <cell r="B163" t="str">
            <v>05081</v>
          </cell>
          <cell r="C163" t="str">
            <v>MULUKA LUABEYA MARTHE</v>
          </cell>
          <cell r="D163" t="str">
            <v>Stewarding</v>
          </cell>
          <cell r="E163" t="str">
            <v>00018000360001271120002</v>
          </cell>
          <cell r="F163" t="str">
            <v>207538804140W</v>
          </cell>
          <cell r="G163" t="str">
            <v>Steward</v>
          </cell>
          <cell r="H163">
            <v>6.65</v>
          </cell>
          <cell r="I163">
            <v>7.7</v>
          </cell>
          <cell r="J163">
            <v>7.6999999999999993</v>
          </cell>
          <cell r="K163" t="str">
            <v>TSQ1-4.III</v>
          </cell>
          <cell r="L163" t="str">
            <v>TRAVAILLEUR SEMI QUALIFIE</v>
          </cell>
          <cell r="M163" t="str">
            <v>CATEGORIE 1 A 5</v>
          </cell>
          <cell r="N163" t="str">
            <v>TRAVAILLEUR SEMI QUALIFIE (TSQ), Echellon 1, Classe 4</v>
          </cell>
          <cell r="P163">
            <v>41153</v>
          </cell>
          <cell r="Q163" t="e">
            <v>#N/A</v>
          </cell>
          <cell r="R163" t="e">
            <v>#N/A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 t="e">
            <v>#N/A</v>
          </cell>
          <cell r="X163" t="e">
            <v>#N/A</v>
          </cell>
          <cell r="Y163" t="e">
            <v>#N/A</v>
          </cell>
          <cell r="Z163" t="e">
            <v>#N/A</v>
          </cell>
          <cell r="AA163" t="e">
            <v>#N/A</v>
          </cell>
          <cell r="AB163" t="e">
            <v>#N/A</v>
          </cell>
          <cell r="AC163" t="e">
            <v>#N/A</v>
          </cell>
          <cell r="AE163">
            <v>200.2</v>
          </cell>
          <cell r="AF163" t="e">
            <v>#N/A</v>
          </cell>
          <cell r="AG163" t="e">
            <v>#N/A</v>
          </cell>
          <cell r="AH163" t="e">
            <v>#N/A</v>
          </cell>
          <cell r="AI163" t="e">
            <v>#N/A</v>
          </cell>
          <cell r="AJ163" t="e">
            <v>#N/A</v>
          </cell>
          <cell r="AK163" t="e">
            <v>#N/A</v>
          </cell>
          <cell r="AL163" t="e">
            <v>#N/A</v>
          </cell>
          <cell r="AM163" t="e">
            <v>#N/A</v>
          </cell>
          <cell r="AN163">
            <v>0</v>
          </cell>
          <cell r="AR163" t="e">
            <v>#N/A</v>
          </cell>
          <cell r="AS163">
            <v>60</v>
          </cell>
          <cell r="AT163" t="e">
            <v>#N/A</v>
          </cell>
          <cell r="AU163">
            <v>29.8</v>
          </cell>
          <cell r="AV163">
            <v>1</v>
          </cell>
          <cell r="AX163">
            <v>0</v>
          </cell>
          <cell r="AY163" t="e">
            <v>#N/A</v>
          </cell>
          <cell r="BA163">
            <v>3.83000000000004</v>
          </cell>
          <cell r="BB163" t="e">
            <v>#N/A</v>
          </cell>
          <cell r="BC163">
            <v>0</v>
          </cell>
          <cell r="BD163" t="e">
            <v>#N/A</v>
          </cell>
          <cell r="BE163" t="e">
            <v>#N/A</v>
          </cell>
          <cell r="BF163" t="e">
            <v>#N/A</v>
          </cell>
          <cell r="BL163">
            <v>0</v>
          </cell>
          <cell r="BM163" t="e">
            <v>#N/A</v>
          </cell>
          <cell r="BN163" t="e">
            <v>#N/A</v>
          </cell>
          <cell r="BO163" t="e">
            <v>#N/A</v>
          </cell>
          <cell r="BP163" t="e">
            <v>#N/A</v>
          </cell>
          <cell r="BQ163" t="e">
            <v>#N/A</v>
          </cell>
          <cell r="BR163">
            <v>-0.38784232365145227</v>
          </cell>
          <cell r="BT163">
            <v>-0.38784232365145227</v>
          </cell>
          <cell r="BU163" t="e">
            <v>#N/A</v>
          </cell>
          <cell r="BV163" t="e">
            <v>#N/A</v>
          </cell>
          <cell r="BW163" t="e">
            <v>#N/A</v>
          </cell>
          <cell r="BX163" t="e">
            <v>#N/A</v>
          </cell>
          <cell r="BY163" t="e">
            <v>#N/A</v>
          </cell>
          <cell r="BZ163" t="str">
            <v>CDI</v>
          </cell>
          <cell r="CA163" t="str">
            <v/>
          </cell>
          <cell r="CB163" t="str">
            <v/>
          </cell>
          <cell r="CC163" t="str">
            <v>BANQUE</v>
          </cell>
          <cell r="CD163" t="str">
            <v>282-Stewarding</v>
          </cell>
          <cell r="CE163">
            <v>282</v>
          </cell>
        </row>
        <row r="164">
          <cell r="B164" t="str">
            <v>05211</v>
          </cell>
          <cell r="C164" t="str">
            <v>KIABA VERONIQUE</v>
          </cell>
          <cell r="D164" t="str">
            <v>Stewarding</v>
          </cell>
          <cell r="E164" t="str">
            <v>00018000360001249120014</v>
          </cell>
          <cell r="F164" t="str">
            <v>208538603230O</v>
          </cell>
          <cell r="G164" t="str">
            <v>Steward</v>
          </cell>
          <cell r="H164">
            <v>6.65</v>
          </cell>
          <cell r="I164">
            <v>7.7</v>
          </cell>
          <cell r="J164">
            <v>7.6999999999999993</v>
          </cell>
          <cell r="K164" t="str">
            <v>TSQ1-4.III</v>
          </cell>
          <cell r="L164" t="str">
            <v>TRAVAILLEUR SEMI QUALIFIE</v>
          </cell>
          <cell r="M164" t="str">
            <v>CATEGORIE 1 A 5</v>
          </cell>
          <cell r="N164" t="str">
            <v>TRAVAILLEUR SEMI QUALIFIE (TSQ), Echellon 1, Classe 4</v>
          </cell>
          <cell r="P164">
            <v>41357</v>
          </cell>
          <cell r="Q164" t="e">
            <v>#N/A</v>
          </cell>
          <cell r="R164" t="e">
            <v>#N/A</v>
          </cell>
          <cell r="S164" t="e">
            <v>#N/A</v>
          </cell>
          <cell r="T164" t="e">
            <v>#N/A</v>
          </cell>
          <cell r="U164" t="e">
            <v>#N/A</v>
          </cell>
          <cell r="V164" t="e">
            <v>#N/A</v>
          </cell>
          <cell r="W164" t="e">
            <v>#N/A</v>
          </cell>
          <cell r="X164" t="e">
            <v>#N/A</v>
          </cell>
          <cell r="Y164" t="e">
            <v>#N/A</v>
          </cell>
          <cell r="Z164" t="e">
            <v>#N/A</v>
          </cell>
          <cell r="AA164" t="e">
            <v>#N/A</v>
          </cell>
          <cell r="AB164" t="e">
            <v>#N/A</v>
          </cell>
          <cell r="AC164" t="e">
            <v>#N/A</v>
          </cell>
          <cell r="AE164">
            <v>200.2</v>
          </cell>
          <cell r="AF164" t="e">
            <v>#N/A</v>
          </cell>
          <cell r="AG164" t="e">
            <v>#N/A</v>
          </cell>
          <cell r="AH164" t="e">
            <v>#N/A</v>
          </cell>
          <cell r="AI164" t="e">
            <v>#N/A</v>
          </cell>
          <cell r="AJ164" t="e">
            <v>#N/A</v>
          </cell>
          <cell r="AK164" t="e">
            <v>#N/A</v>
          </cell>
          <cell r="AL164" t="e">
            <v>#N/A</v>
          </cell>
          <cell r="AM164" t="e">
            <v>#N/A</v>
          </cell>
          <cell r="AN164">
            <v>0</v>
          </cell>
          <cell r="AR164" t="e">
            <v>#N/A</v>
          </cell>
          <cell r="AS164">
            <v>60</v>
          </cell>
          <cell r="AT164" t="e">
            <v>#N/A</v>
          </cell>
          <cell r="AU164">
            <v>48.05</v>
          </cell>
          <cell r="AV164">
            <v>3</v>
          </cell>
          <cell r="AX164">
            <v>0</v>
          </cell>
          <cell r="AY164" t="e">
            <v>#N/A</v>
          </cell>
          <cell r="BA164">
            <v>1.0999999999999699</v>
          </cell>
          <cell r="BB164" t="e">
            <v>#N/A</v>
          </cell>
          <cell r="BC164">
            <v>0</v>
          </cell>
          <cell r="BD164" t="e">
            <v>#N/A</v>
          </cell>
          <cell r="BE164" t="e">
            <v>#N/A</v>
          </cell>
          <cell r="BF164" t="e">
            <v>#N/A</v>
          </cell>
          <cell r="BI164">
            <v>16.5</v>
          </cell>
          <cell r="BL164">
            <v>16.5</v>
          </cell>
          <cell r="BM164" t="e">
            <v>#N/A</v>
          </cell>
          <cell r="BN164" t="e">
            <v>#N/A</v>
          </cell>
          <cell r="BO164" t="e">
            <v>#N/A</v>
          </cell>
          <cell r="BP164" t="e">
            <v>#N/A</v>
          </cell>
          <cell r="BQ164" t="e">
            <v>#N/A</v>
          </cell>
          <cell r="BR164">
            <v>-0.38784232365145227</v>
          </cell>
          <cell r="BT164">
            <v>-0.38784232365145227</v>
          </cell>
          <cell r="BU164" t="e">
            <v>#N/A</v>
          </cell>
          <cell r="BV164" t="e">
            <v>#N/A</v>
          </cell>
          <cell r="BW164" t="e">
            <v>#N/A</v>
          </cell>
          <cell r="BX164" t="e">
            <v>#N/A</v>
          </cell>
          <cell r="BY164" t="e">
            <v>#N/A</v>
          </cell>
          <cell r="BZ164" t="str">
            <v>CDI</v>
          </cell>
          <cell r="CA164" t="str">
            <v/>
          </cell>
          <cell r="CB164" t="str">
            <v/>
          </cell>
          <cell r="CC164" t="str">
            <v>BANQUE</v>
          </cell>
          <cell r="CD164" t="str">
            <v>282-Stewarding</v>
          </cell>
          <cell r="CE164">
            <v>282</v>
          </cell>
        </row>
        <row r="165">
          <cell r="B165" t="str">
            <v>05264</v>
          </cell>
          <cell r="C165" t="str">
            <v>KIFUNGA MWOLO PATRICK</v>
          </cell>
          <cell r="D165" t="str">
            <v>Kitchen</v>
          </cell>
          <cell r="E165" t="str">
            <v>00018000360001251120057</v>
          </cell>
          <cell r="F165" t="str">
            <v>109428006290V</v>
          </cell>
          <cell r="G165" t="str">
            <v>Commis</v>
          </cell>
          <cell r="H165">
            <v>5.8</v>
          </cell>
          <cell r="I165">
            <v>6.65</v>
          </cell>
          <cell r="J165">
            <v>6.65</v>
          </cell>
          <cell r="K165" t="str">
            <v>TSP0-3.II</v>
          </cell>
          <cell r="L165" t="str">
            <v>TRAVAILLEUR SPECIALISE</v>
          </cell>
          <cell r="M165" t="str">
            <v>CATEGORIE 1 A 5</v>
          </cell>
          <cell r="N165" t="str">
            <v>TRAVAILLEUR SPECIALISE (TS), Echellon 0 , Classe 3</v>
          </cell>
          <cell r="P165">
            <v>41153</v>
          </cell>
          <cell r="Q165" t="e">
            <v>#N/A</v>
          </cell>
          <cell r="R165" t="e">
            <v>#N/A</v>
          </cell>
          <cell r="S165" t="e">
            <v>#N/A</v>
          </cell>
          <cell r="T165" t="e">
            <v>#N/A</v>
          </cell>
          <cell r="U165" t="e">
            <v>#N/A</v>
          </cell>
          <cell r="V165" t="e">
            <v>#N/A</v>
          </cell>
          <cell r="W165" t="e">
            <v>#N/A</v>
          </cell>
          <cell r="X165" t="e">
            <v>#N/A</v>
          </cell>
          <cell r="Y165" t="e">
            <v>#N/A</v>
          </cell>
          <cell r="Z165" t="e">
            <v>#N/A</v>
          </cell>
          <cell r="AA165" t="e">
            <v>#N/A</v>
          </cell>
          <cell r="AB165" t="e">
            <v>#N/A</v>
          </cell>
          <cell r="AC165" t="e">
            <v>#N/A</v>
          </cell>
          <cell r="AE165">
            <v>172.9</v>
          </cell>
          <cell r="AF165" t="e">
            <v>#N/A</v>
          </cell>
          <cell r="AG165" t="e">
            <v>#N/A</v>
          </cell>
          <cell r="AH165" t="e">
            <v>#N/A</v>
          </cell>
          <cell r="AI165" t="e">
            <v>#N/A</v>
          </cell>
          <cell r="AJ165" t="e">
            <v>#N/A</v>
          </cell>
          <cell r="AK165" t="e">
            <v>#N/A</v>
          </cell>
          <cell r="AL165" t="e">
            <v>#N/A</v>
          </cell>
          <cell r="AM165" t="e">
            <v>#N/A</v>
          </cell>
          <cell r="AN165">
            <v>0</v>
          </cell>
          <cell r="AR165" t="e">
            <v>#N/A</v>
          </cell>
          <cell r="AS165">
            <v>60</v>
          </cell>
          <cell r="AT165" t="e">
            <v>#N/A</v>
          </cell>
          <cell r="AU165">
            <v>37.200000000000003</v>
          </cell>
          <cell r="AV165">
            <v>5</v>
          </cell>
          <cell r="AX165">
            <v>0</v>
          </cell>
          <cell r="AY165" t="e">
            <v>#N/A</v>
          </cell>
          <cell r="BA165">
            <v>0.45999999999997998</v>
          </cell>
          <cell r="BB165" t="e">
            <v>#N/A</v>
          </cell>
          <cell r="BC165">
            <v>0</v>
          </cell>
          <cell r="BD165" t="e">
            <v>#N/A</v>
          </cell>
          <cell r="BE165" t="e">
            <v>#N/A</v>
          </cell>
          <cell r="BF165" t="e">
            <v>#N/A</v>
          </cell>
          <cell r="BL165">
            <v>0</v>
          </cell>
          <cell r="BM165" t="e">
            <v>#N/A</v>
          </cell>
          <cell r="BN165" t="e">
            <v>#N/A</v>
          </cell>
          <cell r="BO165" t="e">
            <v>#N/A</v>
          </cell>
          <cell r="BP165" t="e">
            <v>#N/A</v>
          </cell>
          <cell r="BQ165" t="e">
            <v>#N/A</v>
          </cell>
          <cell r="BR165">
            <v>-0.38784232365145227</v>
          </cell>
          <cell r="BT165">
            <v>-0.38784232365145227</v>
          </cell>
          <cell r="BU165" t="e">
            <v>#N/A</v>
          </cell>
          <cell r="BV165" t="e">
            <v>#N/A</v>
          </cell>
          <cell r="BW165" t="e">
            <v>#N/A</v>
          </cell>
          <cell r="BX165" t="e">
            <v>#N/A</v>
          </cell>
          <cell r="BY165" t="e">
            <v>#N/A</v>
          </cell>
          <cell r="BZ165" t="str">
            <v>CDI</v>
          </cell>
          <cell r="CA165" t="str">
            <v/>
          </cell>
          <cell r="CB165" t="str">
            <v/>
          </cell>
          <cell r="CC165" t="str">
            <v>BANQUE</v>
          </cell>
          <cell r="CD165" t="str">
            <v>281-Kitchen</v>
          </cell>
          <cell r="CE165">
            <v>281</v>
          </cell>
        </row>
        <row r="166">
          <cell r="B166" t="str">
            <v>05293</v>
          </cell>
          <cell r="C166" t="str">
            <v>MAKUELA TSHOBI REAGAN</v>
          </cell>
          <cell r="D166" t="str">
            <v>Stewarding</v>
          </cell>
          <cell r="E166" t="str">
            <v>00018000360001147120052</v>
          </cell>
          <cell r="F166" t="str">
            <v>109319005250G</v>
          </cell>
          <cell r="G166" t="str">
            <v>Shift leader</v>
          </cell>
          <cell r="H166">
            <v>7.7</v>
          </cell>
          <cell r="I166">
            <v>8.9</v>
          </cell>
          <cell r="J166">
            <v>8.9</v>
          </cell>
          <cell r="K166" t="str">
            <v>TSQ2-5.III</v>
          </cell>
          <cell r="L166" t="str">
            <v>TRAVAILLEUR SEMI QUALIFIE</v>
          </cell>
          <cell r="M166" t="str">
            <v>CATEGORIE 1 A 5</v>
          </cell>
          <cell r="N166" t="str">
            <v>TRAVAILLEUR SEMI QUALIFIE (TSQ), Echellon 2, Classe 5</v>
          </cell>
          <cell r="P166">
            <v>41619</v>
          </cell>
          <cell r="Q166" t="e">
            <v>#N/A</v>
          </cell>
          <cell r="R166" t="e">
            <v>#N/A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 t="e">
            <v>#N/A</v>
          </cell>
          <cell r="X166" t="e">
            <v>#N/A</v>
          </cell>
          <cell r="Y166" t="e">
            <v>#N/A</v>
          </cell>
          <cell r="Z166" t="e">
            <v>#N/A</v>
          </cell>
          <cell r="AA166" t="e">
            <v>#N/A</v>
          </cell>
          <cell r="AB166" t="e">
            <v>#N/A</v>
          </cell>
          <cell r="AC166" t="e">
            <v>#N/A</v>
          </cell>
          <cell r="AE166">
            <v>231.4</v>
          </cell>
          <cell r="AF166" t="e">
            <v>#N/A</v>
          </cell>
          <cell r="AG166" t="e">
            <v>#N/A</v>
          </cell>
          <cell r="AH166" t="e">
            <v>#N/A</v>
          </cell>
          <cell r="AI166" t="e">
            <v>#N/A</v>
          </cell>
          <cell r="AJ166" t="e">
            <v>#N/A</v>
          </cell>
          <cell r="AK166" t="e">
            <v>#N/A</v>
          </cell>
          <cell r="AL166" t="e">
            <v>#N/A</v>
          </cell>
          <cell r="AM166" t="e">
            <v>#N/A</v>
          </cell>
          <cell r="AN166">
            <v>0</v>
          </cell>
          <cell r="AR166" t="e">
            <v>#N/A</v>
          </cell>
          <cell r="AS166">
            <v>81</v>
          </cell>
          <cell r="AT166" t="e">
            <v>#N/A</v>
          </cell>
          <cell r="AU166">
            <v>67.599999999999994</v>
          </cell>
          <cell r="AV166">
            <v>2</v>
          </cell>
          <cell r="AX166">
            <v>0</v>
          </cell>
          <cell r="AY166" t="e">
            <v>#N/A</v>
          </cell>
          <cell r="BA166">
            <v>0.139999999999986</v>
          </cell>
          <cell r="BB166" t="e">
            <v>#N/A</v>
          </cell>
          <cell r="BC166">
            <v>0</v>
          </cell>
          <cell r="BD166" t="e">
            <v>#N/A</v>
          </cell>
          <cell r="BE166" t="e">
            <v>#N/A</v>
          </cell>
          <cell r="BF166" t="e">
            <v>#N/A</v>
          </cell>
          <cell r="BL166">
            <v>0</v>
          </cell>
          <cell r="BM166" t="e">
            <v>#N/A</v>
          </cell>
          <cell r="BN166" t="e">
            <v>#N/A</v>
          </cell>
          <cell r="BO166" t="e">
            <v>#N/A</v>
          </cell>
          <cell r="BP166" t="e">
            <v>#N/A</v>
          </cell>
          <cell r="BQ166" t="e">
            <v>#N/A</v>
          </cell>
          <cell r="BR166">
            <v>-0.38784232365145227</v>
          </cell>
          <cell r="BT166">
            <v>-0.38784232365145227</v>
          </cell>
          <cell r="BU166" t="e">
            <v>#N/A</v>
          </cell>
          <cell r="BV166" t="e">
            <v>#N/A</v>
          </cell>
          <cell r="BW166" t="e">
            <v>#N/A</v>
          </cell>
          <cell r="BX166" t="e">
            <v>#N/A</v>
          </cell>
          <cell r="BY166" t="e">
            <v>#N/A</v>
          </cell>
          <cell r="BZ166" t="str">
            <v>CDI</v>
          </cell>
          <cell r="CA166" t="str">
            <v/>
          </cell>
          <cell r="CB166" t="str">
            <v/>
          </cell>
          <cell r="CC166" t="str">
            <v>BANQUE</v>
          </cell>
          <cell r="CD166" t="str">
            <v>282-Stewarding</v>
          </cell>
          <cell r="CE166">
            <v>282</v>
          </cell>
        </row>
        <row r="167">
          <cell r="B167" t="str">
            <v>05294</v>
          </cell>
          <cell r="C167" t="str">
            <v>MAPUATA MIKASA ALPHONSE</v>
          </cell>
          <cell r="D167" t="str">
            <v>Stewarding</v>
          </cell>
          <cell r="E167" t="str">
            <v>00018000360001154120057</v>
          </cell>
          <cell r="F167" t="str">
            <v>108417412041M</v>
          </cell>
          <cell r="G167" t="str">
            <v>Shift leader</v>
          </cell>
          <cell r="H167">
            <v>7.7</v>
          </cell>
          <cell r="I167">
            <v>8.9</v>
          </cell>
          <cell r="J167">
            <v>8.9</v>
          </cell>
          <cell r="K167" t="str">
            <v>TSQ2-5.III</v>
          </cell>
          <cell r="L167" t="str">
            <v>TRAVAILLEUR SEMI QUALIFIE</v>
          </cell>
          <cell r="M167" t="str">
            <v>CATEGORIE 1 A 5</v>
          </cell>
          <cell r="N167" t="str">
            <v>TRAVAILLEUR SEMI QUALIFIE (TSQ), Echellon 2, Classe 5</v>
          </cell>
          <cell r="P167">
            <v>41626</v>
          </cell>
          <cell r="Q167" t="e">
            <v>#N/A</v>
          </cell>
          <cell r="R167" t="e">
            <v>#N/A</v>
          </cell>
          <cell r="S167" t="e">
            <v>#N/A</v>
          </cell>
          <cell r="T167" t="e">
            <v>#N/A</v>
          </cell>
          <cell r="U167" t="e">
            <v>#N/A</v>
          </cell>
          <cell r="V167" t="e">
            <v>#N/A</v>
          </cell>
          <cell r="W167" t="e">
            <v>#N/A</v>
          </cell>
          <cell r="X167" t="e">
            <v>#N/A</v>
          </cell>
          <cell r="Y167" t="e">
            <v>#N/A</v>
          </cell>
          <cell r="Z167" t="e">
            <v>#N/A</v>
          </cell>
          <cell r="AA167" t="e">
            <v>#N/A</v>
          </cell>
          <cell r="AB167" t="e">
            <v>#N/A</v>
          </cell>
          <cell r="AC167" t="e">
            <v>#N/A</v>
          </cell>
          <cell r="AE167">
            <v>231.4</v>
          </cell>
          <cell r="AF167" t="e">
            <v>#N/A</v>
          </cell>
          <cell r="AG167" t="e">
            <v>#N/A</v>
          </cell>
          <cell r="AH167" t="e">
            <v>#N/A</v>
          </cell>
          <cell r="AI167" t="e">
            <v>#N/A</v>
          </cell>
          <cell r="AJ167" t="e">
            <v>#N/A</v>
          </cell>
          <cell r="AK167" t="e">
            <v>#N/A</v>
          </cell>
          <cell r="AL167" t="e">
            <v>#N/A</v>
          </cell>
          <cell r="AM167" t="e">
            <v>#N/A</v>
          </cell>
          <cell r="AN167">
            <v>0</v>
          </cell>
          <cell r="AR167" t="e">
            <v>#N/A</v>
          </cell>
          <cell r="AS167">
            <v>81</v>
          </cell>
          <cell r="AT167" t="e">
            <v>#N/A</v>
          </cell>
          <cell r="AU167">
            <v>67.599999999999994</v>
          </cell>
          <cell r="AV167">
            <v>4</v>
          </cell>
          <cell r="AX167">
            <v>0</v>
          </cell>
          <cell r="AY167" t="e">
            <v>#N/A</v>
          </cell>
          <cell r="BA167">
            <v>0.170000000000016</v>
          </cell>
          <cell r="BB167" t="e">
            <v>#N/A</v>
          </cell>
          <cell r="BC167">
            <v>0</v>
          </cell>
          <cell r="BD167" t="e">
            <v>#N/A</v>
          </cell>
          <cell r="BE167" t="e">
            <v>#N/A</v>
          </cell>
          <cell r="BF167" t="e">
            <v>#N/A</v>
          </cell>
          <cell r="BL167">
            <v>0</v>
          </cell>
          <cell r="BM167" t="e">
            <v>#N/A</v>
          </cell>
          <cell r="BN167" t="e">
            <v>#N/A</v>
          </cell>
          <cell r="BO167" t="e">
            <v>#N/A</v>
          </cell>
          <cell r="BP167" t="e">
            <v>#N/A</v>
          </cell>
          <cell r="BQ167" t="e">
            <v>#N/A</v>
          </cell>
          <cell r="BR167">
            <v>-0.38784232365145227</v>
          </cell>
          <cell r="BT167">
            <v>-0.38784232365145227</v>
          </cell>
          <cell r="BU167" t="e">
            <v>#N/A</v>
          </cell>
          <cell r="BV167" t="e">
            <v>#N/A</v>
          </cell>
          <cell r="BW167" t="e">
            <v>#N/A</v>
          </cell>
          <cell r="BX167" t="e">
            <v>#N/A</v>
          </cell>
          <cell r="BY167" t="e">
            <v>#N/A</v>
          </cell>
          <cell r="BZ167" t="str">
            <v>CDI</v>
          </cell>
          <cell r="CA167" t="str">
            <v/>
          </cell>
          <cell r="CB167" t="str">
            <v/>
          </cell>
          <cell r="CC167" t="str">
            <v>BANQUE</v>
          </cell>
          <cell r="CD167" t="str">
            <v>282-Stewarding</v>
          </cell>
          <cell r="CE167">
            <v>282</v>
          </cell>
        </row>
        <row r="168">
          <cell r="B168" t="str">
            <v>05307</v>
          </cell>
          <cell r="C168" t="str">
            <v>MUKADI TSHINGOMBE GUYLAIN</v>
          </cell>
          <cell r="D168" t="str">
            <v>Stewarding</v>
          </cell>
          <cell r="E168" t="str">
            <v>00018000360001169120040</v>
          </cell>
          <cell r="F168" t="str">
            <v>107537903140C</v>
          </cell>
          <cell r="G168" t="str">
            <v>Steward</v>
          </cell>
          <cell r="H168">
            <v>5.8</v>
          </cell>
          <cell r="I168">
            <v>6.65</v>
          </cell>
          <cell r="J168">
            <v>6.65</v>
          </cell>
          <cell r="K168" t="str">
            <v>TSP0-3.II</v>
          </cell>
          <cell r="L168" t="str">
            <v>TRAVAILLEUR SPECIALISE</v>
          </cell>
          <cell r="M168" t="str">
            <v>CATEGORIE 1 A 5</v>
          </cell>
          <cell r="N168" t="str">
            <v>TRAVAILLEUR SPECIALISE (TS), Echellon 0 , Classe 3</v>
          </cell>
          <cell r="P168">
            <v>41877</v>
          </cell>
          <cell r="Q168" t="e">
            <v>#N/A</v>
          </cell>
          <cell r="R168" t="e">
            <v>#N/A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X168" t="e">
            <v>#N/A</v>
          </cell>
          <cell r="Y168" t="e">
            <v>#N/A</v>
          </cell>
          <cell r="Z168" t="e">
            <v>#N/A</v>
          </cell>
          <cell r="AA168" t="e">
            <v>#N/A</v>
          </cell>
          <cell r="AB168" t="e">
            <v>#N/A</v>
          </cell>
          <cell r="AC168" t="e">
            <v>#N/A</v>
          </cell>
          <cell r="AE168">
            <v>172.9</v>
          </cell>
          <cell r="AF168" t="e">
            <v>#N/A</v>
          </cell>
          <cell r="AG168" t="e">
            <v>#N/A</v>
          </cell>
          <cell r="AH168" t="e">
            <v>#N/A</v>
          </cell>
          <cell r="AI168" t="e">
            <v>#N/A</v>
          </cell>
          <cell r="AJ168" t="e">
            <v>#N/A</v>
          </cell>
          <cell r="AK168" t="e">
            <v>#N/A</v>
          </cell>
          <cell r="AL168" t="e">
            <v>#N/A</v>
          </cell>
          <cell r="AM168" t="e">
            <v>#N/A</v>
          </cell>
          <cell r="AN168">
            <v>0</v>
          </cell>
          <cell r="AR168" t="e">
            <v>#N/A</v>
          </cell>
          <cell r="AS168">
            <v>60</v>
          </cell>
          <cell r="AT168" t="e">
            <v>#N/A</v>
          </cell>
          <cell r="AU168">
            <v>37.200000000000003</v>
          </cell>
          <cell r="AV168">
            <v>2</v>
          </cell>
          <cell r="AX168">
            <v>0</v>
          </cell>
          <cell r="AY168" t="e">
            <v>#N/A</v>
          </cell>
          <cell r="BA168">
            <v>1.1200000000000001</v>
          </cell>
          <cell r="BB168" t="e">
            <v>#N/A</v>
          </cell>
          <cell r="BC168">
            <v>0</v>
          </cell>
          <cell r="BD168" t="e">
            <v>#N/A</v>
          </cell>
          <cell r="BE168" t="e">
            <v>#N/A</v>
          </cell>
          <cell r="BF168" t="e">
            <v>#N/A</v>
          </cell>
          <cell r="BL168">
            <v>0</v>
          </cell>
          <cell r="BM168" t="e">
            <v>#N/A</v>
          </cell>
          <cell r="BN168" t="e">
            <v>#N/A</v>
          </cell>
          <cell r="BO168" t="e">
            <v>#N/A</v>
          </cell>
          <cell r="BP168" t="e">
            <v>#N/A</v>
          </cell>
          <cell r="BQ168" t="e">
            <v>#N/A</v>
          </cell>
          <cell r="BR168">
            <v>-0.38784232365145227</v>
          </cell>
          <cell r="BT168">
            <v>-0.38784232365145227</v>
          </cell>
          <cell r="BU168" t="e">
            <v>#N/A</v>
          </cell>
          <cell r="BV168" t="e">
            <v>#N/A</v>
          </cell>
          <cell r="BW168" t="e">
            <v>#N/A</v>
          </cell>
          <cell r="BX168" t="e">
            <v>#N/A</v>
          </cell>
          <cell r="BY168" t="e">
            <v>#N/A</v>
          </cell>
          <cell r="BZ168" t="str">
            <v>CDI</v>
          </cell>
          <cell r="CA168" t="str">
            <v/>
          </cell>
          <cell r="CB168" t="str">
            <v/>
          </cell>
          <cell r="CC168" t="str">
            <v>BANQUE</v>
          </cell>
          <cell r="CD168" t="str">
            <v>282-Stewarding</v>
          </cell>
          <cell r="CE168">
            <v>282</v>
          </cell>
        </row>
        <row r="169">
          <cell r="B169" t="str">
            <v>05309</v>
          </cell>
          <cell r="C169" t="str">
            <v>MUSAMBO KATOMBE TRESOR</v>
          </cell>
          <cell r="D169" t="str">
            <v>Stewarding</v>
          </cell>
          <cell r="E169" t="str">
            <v>00018000360001181120007</v>
          </cell>
          <cell r="F169" t="str">
            <v>107549407170H</v>
          </cell>
          <cell r="G169" t="str">
            <v>Steward Supervisor</v>
          </cell>
          <cell r="H169">
            <v>6.65</v>
          </cell>
          <cell r="I169">
            <v>7.7</v>
          </cell>
          <cell r="J169">
            <v>7.6999999999999993</v>
          </cell>
          <cell r="K169" t="str">
            <v>TSQ1-4.III</v>
          </cell>
          <cell r="L169" t="str">
            <v>TRAVAILLEUR SEMI QUALIFIE</v>
          </cell>
          <cell r="M169" t="str">
            <v>CATEGORIE 1 A 5</v>
          </cell>
          <cell r="N169" t="str">
            <v>TRAVAILLEUR SEMI QUALIFIE (TSQ), Echellon 1, Classe 4</v>
          </cell>
          <cell r="P169">
            <v>41939</v>
          </cell>
          <cell r="Q169" t="e">
            <v>#N/A</v>
          </cell>
          <cell r="R169" t="e">
            <v>#N/A</v>
          </cell>
          <cell r="S169" t="e">
            <v>#N/A</v>
          </cell>
          <cell r="T169" t="e">
            <v>#N/A</v>
          </cell>
          <cell r="U169" t="e">
            <v>#N/A</v>
          </cell>
          <cell r="V169" t="e">
            <v>#N/A</v>
          </cell>
          <cell r="W169" t="e">
            <v>#N/A</v>
          </cell>
          <cell r="X169" t="e">
            <v>#N/A</v>
          </cell>
          <cell r="Y169" t="e">
            <v>#N/A</v>
          </cell>
          <cell r="Z169" t="e">
            <v>#N/A</v>
          </cell>
          <cell r="AA169" t="e">
            <v>#N/A</v>
          </cell>
          <cell r="AB169" t="e">
            <v>#N/A</v>
          </cell>
          <cell r="AC169" t="e">
            <v>#N/A</v>
          </cell>
          <cell r="AE169">
            <v>200.2</v>
          </cell>
          <cell r="AF169" t="e">
            <v>#N/A</v>
          </cell>
          <cell r="AG169" t="e">
            <v>#N/A</v>
          </cell>
          <cell r="AH169" t="e">
            <v>#N/A</v>
          </cell>
          <cell r="AI169" t="e">
            <v>#N/A</v>
          </cell>
          <cell r="AJ169" t="e">
            <v>#N/A</v>
          </cell>
          <cell r="AK169" t="e">
            <v>#N/A</v>
          </cell>
          <cell r="AL169" t="e">
            <v>#N/A</v>
          </cell>
          <cell r="AM169" t="e">
            <v>#N/A</v>
          </cell>
          <cell r="AN169">
            <v>0</v>
          </cell>
          <cell r="AR169" t="e">
            <v>#N/A</v>
          </cell>
          <cell r="AS169">
            <v>60</v>
          </cell>
          <cell r="AT169" t="e">
            <v>#N/A</v>
          </cell>
          <cell r="AU169">
            <v>29.8</v>
          </cell>
          <cell r="AV169">
            <v>0</v>
          </cell>
          <cell r="AX169">
            <v>0</v>
          </cell>
          <cell r="AY169" t="e">
            <v>#N/A</v>
          </cell>
          <cell r="AZ169">
            <v>50</v>
          </cell>
          <cell r="BA169">
            <v>3.8900000000000099</v>
          </cell>
          <cell r="BB169" t="e">
            <v>#N/A</v>
          </cell>
          <cell r="BC169">
            <v>0</v>
          </cell>
          <cell r="BD169" t="e">
            <v>#N/A</v>
          </cell>
          <cell r="BE169" t="e">
            <v>#N/A</v>
          </cell>
          <cell r="BF169" t="e">
            <v>#N/A</v>
          </cell>
          <cell r="BL169">
            <v>0</v>
          </cell>
          <cell r="BM169" t="e">
            <v>#N/A</v>
          </cell>
          <cell r="BN169" t="e">
            <v>#N/A</v>
          </cell>
          <cell r="BO169" t="e">
            <v>#N/A</v>
          </cell>
          <cell r="BP169" t="e">
            <v>#N/A</v>
          </cell>
          <cell r="BQ169" t="e">
            <v>#N/A</v>
          </cell>
          <cell r="BR169">
            <v>-0.38784232365145227</v>
          </cell>
          <cell r="BT169">
            <v>-0.38784232365145227</v>
          </cell>
          <cell r="BU169" t="e">
            <v>#N/A</v>
          </cell>
          <cell r="BV169" t="e">
            <v>#N/A</v>
          </cell>
          <cell r="BW169" t="e">
            <v>#N/A</v>
          </cell>
          <cell r="BX169" t="e">
            <v>#N/A</v>
          </cell>
          <cell r="BY169" t="e">
            <v>#N/A</v>
          </cell>
          <cell r="BZ169" t="str">
            <v>CDI</v>
          </cell>
          <cell r="CA169" t="str">
            <v/>
          </cell>
          <cell r="CB169" t="str">
            <v/>
          </cell>
          <cell r="CC169" t="str">
            <v>BANQUE</v>
          </cell>
          <cell r="CD169" t="str">
            <v>282-Stewarding</v>
          </cell>
          <cell r="CE169">
            <v>282</v>
          </cell>
        </row>
        <row r="170">
          <cell r="B170" t="str">
            <v>05313</v>
          </cell>
          <cell r="C170" t="str">
            <v>BONGONE BOLONGA RENE</v>
          </cell>
          <cell r="D170" t="str">
            <v>Stewarding</v>
          </cell>
          <cell r="E170" t="str">
            <v>00018000360001072120040</v>
          </cell>
          <cell r="F170" t="str">
            <v>102848102040K</v>
          </cell>
          <cell r="G170" t="str">
            <v>Steward</v>
          </cell>
          <cell r="H170">
            <v>5.8</v>
          </cell>
          <cell r="I170">
            <v>6.65</v>
          </cell>
          <cell r="J170">
            <v>6.65</v>
          </cell>
          <cell r="K170" t="str">
            <v>TSP0-3.II</v>
          </cell>
          <cell r="L170" t="str">
            <v>TRAVAILLEUR SPECIALISE</v>
          </cell>
          <cell r="M170" t="str">
            <v>CATEGORIE 1 A 5</v>
          </cell>
          <cell r="N170" t="str">
            <v>TRAVAILLEUR SPECIALISE (TS), Echellon 0 , Classe 3</v>
          </cell>
          <cell r="P170">
            <v>41962</v>
          </cell>
          <cell r="Q170" t="e">
            <v>#N/A</v>
          </cell>
          <cell r="R170" t="e">
            <v>#N/A</v>
          </cell>
          <cell r="S170" t="e">
            <v>#N/A</v>
          </cell>
          <cell r="T170" t="e">
            <v>#N/A</v>
          </cell>
          <cell r="U170" t="e">
            <v>#N/A</v>
          </cell>
          <cell r="V170" t="e">
            <v>#N/A</v>
          </cell>
          <cell r="W170" t="e">
            <v>#N/A</v>
          </cell>
          <cell r="X170" t="e">
            <v>#N/A</v>
          </cell>
          <cell r="Y170" t="e">
            <v>#N/A</v>
          </cell>
          <cell r="Z170" t="e">
            <v>#N/A</v>
          </cell>
          <cell r="AA170" t="e">
            <v>#N/A</v>
          </cell>
          <cell r="AB170" t="e">
            <v>#N/A</v>
          </cell>
          <cell r="AC170" t="e">
            <v>#N/A</v>
          </cell>
          <cell r="AE170">
            <v>172.9</v>
          </cell>
          <cell r="AF170" t="e">
            <v>#N/A</v>
          </cell>
          <cell r="AG170" t="e">
            <v>#N/A</v>
          </cell>
          <cell r="AH170" t="e">
            <v>#N/A</v>
          </cell>
          <cell r="AI170" t="e">
            <v>#N/A</v>
          </cell>
          <cell r="AJ170" t="e">
            <v>#N/A</v>
          </cell>
          <cell r="AK170" t="e">
            <v>#N/A</v>
          </cell>
          <cell r="AL170" t="e">
            <v>#N/A</v>
          </cell>
          <cell r="AM170" t="e">
            <v>#N/A</v>
          </cell>
          <cell r="AN170">
            <v>0</v>
          </cell>
          <cell r="AR170" t="e">
            <v>#N/A</v>
          </cell>
          <cell r="AS170">
            <v>60</v>
          </cell>
          <cell r="AT170" t="e">
            <v>#N/A</v>
          </cell>
          <cell r="AU170">
            <v>43.5</v>
          </cell>
          <cell r="AV170">
            <v>4</v>
          </cell>
          <cell r="AX170">
            <v>0</v>
          </cell>
          <cell r="AY170" t="e">
            <v>#N/A</v>
          </cell>
          <cell r="BA170">
            <v>0.310000000000002</v>
          </cell>
          <cell r="BB170" t="e">
            <v>#N/A</v>
          </cell>
          <cell r="BC170">
            <v>0</v>
          </cell>
          <cell r="BD170" t="e">
            <v>#N/A</v>
          </cell>
          <cell r="BE170" t="e">
            <v>#N/A</v>
          </cell>
          <cell r="BF170" t="e">
            <v>#N/A</v>
          </cell>
          <cell r="BL170">
            <v>0</v>
          </cell>
          <cell r="BM170" t="e">
            <v>#N/A</v>
          </cell>
          <cell r="BN170" t="e">
            <v>#N/A</v>
          </cell>
          <cell r="BO170" t="e">
            <v>#N/A</v>
          </cell>
          <cell r="BP170" t="e">
            <v>#N/A</v>
          </cell>
          <cell r="BQ170" t="e">
            <v>#N/A</v>
          </cell>
          <cell r="BR170">
            <v>93.082157676348544</v>
          </cell>
          <cell r="BT170">
            <v>93.082157676348544</v>
          </cell>
          <cell r="BU170" t="e">
            <v>#N/A</v>
          </cell>
          <cell r="BV170" t="e">
            <v>#N/A</v>
          </cell>
          <cell r="BW170" t="e">
            <v>#N/A</v>
          </cell>
          <cell r="BX170" t="e">
            <v>#N/A</v>
          </cell>
          <cell r="BY170" t="e">
            <v>#N/A</v>
          </cell>
          <cell r="BZ170" t="str">
            <v>CDI</v>
          </cell>
          <cell r="CA170" t="str">
            <v/>
          </cell>
          <cell r="CB170" t="str">
            <v/>
          </cell>
          <cell r="CC170" t="str">
            <v>BANQUE</v>
          </cell>
          <cell r="CD170" t="str">
            <v>282-Stewarding</v>
          </cell>
          <cell r="CE170">
            <v>282</v>
          </cell>
        </row>
        <row r="171">
          <cell r="B171" t="str">
            <v>05321</v>
          </cell>
          <cell r="C171" t="str">
            <v>AMUNDALA JOSEPH FISTON</v>
          </cell>
          <cell r="D171" t="str">
            <v>Kitchen</v>
          </cell>
          <cell r="E171" t="str">
            <v>00018000360001046120063</v>
          </cell>
          <cell r="F171" t="str">
            <v>103529301060D</v>
          </cell>
          <cell r="G171" t="str">
            <v>Commis Polyvalent</v>
          </cell>
          <cell r="H171">
            <v>5.8</v>
          </cell>
          <cell r="I171">
            <v>6.65</v>
          </cell>
          <cell r="J171">
            <v>6.65</v>
          </cell>
          <cell r="K171" t="str">
            <v>TSP0-3.II</v>
          </cell>
          <cell r="L171" t="str">
            <v>TRAVAILLEUR SPECIALISE</v>
          </cell>
          <cell r="M171" t="str">
            <v>CATEGORIE 1 A 5</v>
          </cell>
          <cell r="N171" t="str">
            <v>TRAVAILLEUR SPECIALISE (TS), Echellon 0 , Classe 3</v>
          </cell>
          <cell r="P171">
            <v>42010</v>
          </cell>
          <cell r="Q171" t="e">
            <v>#N/A</v>
          </cell>
          <cell r="R171" t="e">
            <v>#N/A</v>
          </cell>
          <cell r="S171" t="e">
            <v>#N/A</v>
          </cell>
          <cell r="T171" t="e">
            <v>#N/A</v>
          </cell>
          <cell r="U171" t="e">
            <v>#N/A</v>
          </cell>
          <cell r="V171" t="e">
            <v>#N/A</v>
          </cell>
          <cell r="W171" t="e">
            <v>#N/A</v>
          </cell>
          <cell r="X171" t="e">
            <v>#N/A</v>
          </cell>
          <cell r="Y171" t="e">
            <v>#N/A</v>
          </cell>
          <cell r="Z171" t="e">
            <v>#N/A</v>
          </cell>
          <cell r="AA171" t="e">
            <v>#N/A</v>
          </cell>
          <cell r="AB171" t="e">
            <v>#N/A</v>
          </cell>
          <cell r="AC171" t="e">
            <v>#N/A</v>
          </cell>
          <cell r="AE171">
            <v>172.9</v>
          </cell>
          <cell r="AF171" t="e">
            <v>#N/A</v>
          </cell>
          <cell r="AG171" t="e">
            <v>#N/A</v>
          </cell>
          <cell r="AH171" t="e">
            <v>#N/A</v>
          </cell>
          <cell r="AI171" t="e">
            <v>#N/A</v>
          </cell>
          <cell r="AJ171" t="e">
            <v>#N/A</v>
          </cell>
          <cell r="AK171" t="e">
            <v>#N/A</v>
          </cell>
          <cell r="AL171" t="e">
            <v>#N/A</v>
          </cell>
          <cell r="AM171" t="e">
            <v>#N/A</v>
          </cell>
          <cell r="AN171">
            <v>0</v>
          </cell>
          <cell r="AR171" t="e">
            <v>#N/A</v>
          </cell>
          <cell r="AS171">
            <v>60</v>
          </cell>
          <cell r="AT171" t="e">
            <v>#N/A</v>
          </cell>
          <cell r="AU171">
            <v>43.49</v>
          </cell>
          <cell r="AV171">
            <v>0</v>
          </cell>
          <cell r="AX171">
            <v>0</v>
          </cell>
          <cell r="AY171" t="e">
            <v>#N/A</v>
          </cell>
          <cell r="AZ171">
            <v>33.81</v>
          </cell>
          <cell r="BA171">
            <v>0.22000000000002701</v>
          </cell>
          <cell r="BB171" t="e">
            <v>#N/A</v>
          </cell>
          <cell r="BC171">
            <v>0</v>
          </cell>
          <cell r="BD171" t="e">
            <v>#N/A</v>
          </cell>
          <cell r="BE171" t="e">
            <v>#N/A</v>
          </cell>
          <cell r="BF171" t="e">
            <v>#N/A</v>
          </cell>
          <cell r="BL171">
            <v>0</v>
          </cell>
          <cell r="BM171" t="e">
            <v>#N/A</v>
          </cell>
          <cell r="BN171" t="e">
            <v>#N/A</v>
          </cell>
          <cell r="BO171" t="e">
            <v>#N/A</v>
          </cell>
          <cell r="BP171" t="e">
            <v>#N/A</v>
          </cell>
          <cell r="BQ171" t="e">
            <v>#N/A</v>
          </cell>
          <cell r="BR171">
            <v>-0.38784232365145227</v>
          </cell>
          <cell r="BT171">
            <v>-0.38784232365145227</v>
          </cell>
          <cell r="BU171" t="e">
            <v>#N/A</v>
          </cell>
          <cell r="BV171" t="e">
            <v>#N/A</v>
          </cell>
          <cell r="BW171" t="e">
            <v>#N/A</v>
          </cell>
          <cell r="BX171" t="e">
            <v>#N/A</v>
          </cell>
          <cell r="BY171" t="e">
            <v>#N/A</v>
          </cell>
          <cell r="BZ171" t="str">
            <v>CDI</v>
          </cell>
          <cell r="CA171" t="str">
            <v/>
          </cell>
          <cell r="CB171" t="str">
            <v/>
          </cell>
          <cell r="CC171" t="str">
            <v>BANQUE</v>
          </cell>
          <cell r="CD171" t="str">
            <v>281-Kitchen</v>
          </cell>
          <cell r="CE171">
            <v>281</v>
          </cell>
        </row>
        <row r="172">
          <cell r="B172" t="str">
            <v>05324</v>
          </cell>
          <cell r="C172" t="str">
            <v>MUHUBU KIPOY DANY</v>
          </cell>
          <cell r="D172" t="str">
            <v>Kitchen</v>
          </cell>
          <cell r="E172" t="str">
            <v>00018000360001269120056</v>
          </cell>
          <cell r="F172" t="str">
            <v>109458604060R</v>
          </cell>
          <cell r="G172" t="str">
            <v>Commis</v>
          </cell>
          <cell r="H172">
            <v>5.8</v>
          </cell>
          <cell r="I172">
            <v>6.65</v>
          </cell>
          <cell r="J172">
            <v>6.65</v>
          </cell>
          <cell r="K172" t="str">
            <v>TSP0-3.II</v>
          </cell>
          <cell r="L172" t="str">
            <v>TRAVAILLEUR SPECIALISE</v>
          </cell>
          <cell r="M172" t="str">
            <v>CATEGORIE 1 A 5</v>
          </cell>
          <cell r="N172" t="str">
            <v>TRAVAILLEUR SPECIALISE (TS), Echellon 0 , Classe 3</v>
          </cell>
          <cell r="P172">
            <v>42059</v>
          </cell>
          <cell r="Q172" t="e">
            <v>#N/A</v>
          </cell>
          <cell r="R172" t="e">
            <v>#N/A</v>
          </cell>
          <cell r="S172" t="e">
            <v>#N/A</v>
          </cell>
          <cell r="T172" t="e">
            <v>#N/A</v>
          </cell>
          <cell r="U172" t="e">
            <v>#N/A</v>
          </cell>
          <cell r="V172" t="e">
            <v>#N/A</v>
          </cell>
          <cell r="W172" t="e">
            <v>#N/A</v>
          </cell>
          <cell r="X172" t="e">
            <v>#N/A</v>
          </cell>
          <cell r="Y172" t="e">
            <v>#N/A</v>
          </cell>
          <cell r="Z172" t="e">
            <v>#N/A</v>
          </cell>
          <cell r="AA172" t="e">
            <v>#N/A</v>
          </cell>
          <cell r="AB172" t="e">
            <v>#N/A</v>
          </cell>
          <cell r="AC172" t="e">
            <v>#N/A</v>
          </cell>
          <cell r="AE172">
            <v>172.9</v>
          </cell>
          <cell r="AF172" t="e">
            <v>#N/A</v>
          </cell>
          <cell r="AG172" t="e">
            <v>#N/A</v>
          </cell>
          <cell r="AH172" t="e">
            <v>#N/A</v>
          </cell>
          <cell r="AI172" t="e">
            <v>#N/A</v>
          </cell>
          <cell r="AJ172" t="e">
            <v>#N/A</v>
          </cell>
          <cell r="AK172" t="e">
            <v>#N/A</v>
          </cell>
          <cell r="AL172" t="e">
            <v>#N/A</v>
          </cell>
          <cell r="AM172" t="e">
            <v>#N/A</v>
          </cell>
          <cell r="AN172">
            <v>0</v>
          </cell>
          <cell r="AR172" t="e">
            <v>#N/A</v>
          </cell>
          <cell r="AS172">
            <v>60</v>
          </cell>
          <cell r="AT172" t="e">
            <v>#N/A</v>
          </cell>
          <cell r="AU172">
            <v>43.49</v>
          </cell>
          <cell r="AV172">
            <v>3</v>
          </cell>
          <cell r="AX172">
            <v>0</v>
          </cell>
          <cell r="AY172" t="e">
            <v>#N/A</v>
          </cell>
          <cell r="AZ172">
            <v>33.81</v>
          </cell>
          <cell r="BA172">
            <v>0.55000000000001104</v>
          </cell>
          <cell r="BB172" t="e">
            <v>#N/A</v>
          </cell>
          <cell r="BC172">
            <v>0</v>
          </cell>
          <cell r="BD172" t="e">
            <v>#N/A</v>
          </cell>
          <cell r="BE172" t="e">
            <v>#N/A</v>
          </cell>
          <cell r="BF172" t="e">
            <v>#N/A</v>
          </cell>
          <cell r="BL172">
            <v>0</v>
          </cell>
          <cell r="BM172" t="e">
            <v>#N/A</v>
          </cell>
          <cell r="BN172" t="e">
            <v>#N/A</v>
          </cell>
          <cell r="BO172" t="e">
            <v>#N/A</v>
          </cell>
          <cell r="BP172" t="e">
            <v>#N/A</v>
          </cell>
          <cell r="BQ172" t="e">
            <v>#N/A</v>
          </cell>
          <cell r="BR172">
            <v>-0.38784232365145227</v>
          </cell>
          <cell r="BT172">
            <v>-0.38784232365145227</v>
          </cell>
          <cell r="BU172" t="e">
            <v>#N/A</v>
          </cell>
          <cell r="BV172" t="e">
            <v>#N/A</v>
          </cell>
          <cell r="BW172" t="e">
            <v>#N/A</v>
          </cell>
          <cell r="BX172" t="e">
            <v>#N/A</v>
          </cell>
          <cell r="BY172" t="e">
            <v>#N/A</v>
          </cell>
          <cell r="BZ172" t="str">
            <v>CDI</v>
          </cell>
          <cell r="CA172" t="str">
            <v/>
          </cell>
          <cell r="CB172" t="str">
            <v/>
          </cell>
          <cell r="CC172" t="str">
            <v>BANQUE</v>
          </cell>
          <cell r="CD172" t="str">
            <v>281-Kitchen</v>
          </cell>
          <cell r="CE172">
            <v>281</v>
          </cell>
        </row>
        <row r="173">
          <cell r="B173" t="str">
            <v>04026</v>
          </cell>
          <cell r="C173" t="str">
            <v>LOYA NDONDA BLAISE</v>
          </cell>
          <cell r="D173" t="str">
            <v>Front Office</v>
          </cell>
          <cell r="E173" t="str">
            <v>00018000360166265120083</v>
          </cell>
          <cell r="F173" t="str">
            <v>108538001290I</v>
          </cell>
          <cell r="G173" t="str">
            <v>Supervisor Business Center, Ex.Floor, Operator</v>
          </cell>
          <cell r="H173">
            <v>13.7</v>
          </cell>
          <cell r="I173">
            <v>15.85</v>
          </cell>
          <cell r="J173">
            <v>15.850000000000001</v>
          </cell>
          <cell r="K173" t="str">
            <v>THQ0-9.V</v>
          </cell>
          <cell r="L173" t="str">
            <v>TRAVAILLEUR HAUTEMENT QUALIFIE</v>
          </cell>
          <cell r="M173" t="str">
            <v>CATEGORIE 1 A 5</v>
          </cell>
          <cell r="N173" t="str">
            <v>TRAVAILLEUR HAUTEMENT QUALIFIE (THQ), Echellon 0, Classe 9</v>
          </cell>
          <cell r="P173">
            <v>41153</v>
          </cell>
          <cell r="Q173" t="e">
            <v>#N/A</v>
          </cell>
          <cell r="R173" t="e">
            <v>#N/A</v>
          </cell>
          <cell r="S173" t="e">
            <v>#N/A</v>
          </cell>
          <cell r="T173" t="e">
            <v>#N/A</v>
          </cell>
          <cell r="U173" t="e">
            <v>#N/A</v>
          </cell>
          <cell r="V173" t="e">
            <v>#N/A</v>
          </cell>
          <cell r="W173" t="e">
            <v>#N/A</v>
          </cell>
          <cell r="X173" t="e">
            <v>#N/A</v>
          </cell>
          <cell r="Y173" t="e">
            <v>#N/A</v>
          </cell>
          <cell r="Z173" t="e">
            <v>#N/A</v>
          </cell>
          <cell r="AA173" t="e">
            <v>#N/A</v>
          </cell>
          <cell r="AB173" t="e">
            <v>#N/A</v>
          </cell>
          <cell r="AC173" t="e">
            <v>#N/A</v>
          </cell>
          <cell r="AE173">
            <v>412.1</v>
          </cell>
          <cell r="AF173" t="e">
            <v>#N/A</v>
          </cell>
          <cell r="AG173" t="e">
            <v>#N/A</v>
          </cell>
          <cell r="AH173" t="e">
            <v>#N/A</v>
          </cell>
          <cell r="AI173" t="e">
            <v>#N/A</v>
          </cell>
          <cell r="AJ173" t="e">
            <v>#N/A</v>
          </cell>
          <cell r="AK173" t="e">
            <v>#N/A</v>
          </cell>
          <cell r="AL173" t="e">
            <v>#N/A</v>
          </cell>
          <cell r="AM173" t="e">
            <v>#N/A</v>
          </cell>
          <cell r="AN173">
            <v>0</v>
          </cell>
          <cell r="AO173">
            <v>30</v>
          </cell>
          <cell r="AR173" t="e">
            <v>#N/A</v>
          </cell>
          <cell r="AS173">
            <v>66</v>
          </cell>
          <cell r="AT173" t="e">
            <v>#N/A</v>
          </cell>
          <cell r="AU173">
            <v>52.9</v>
          </cell>
          <cell r="AV173">
            <v>3</v>
          </cell>
          <cell r="AX173">
            <v>0</v>
          </cell>
          <cell r="AY173" t="e">
            <v>#N/A</v>
          </cell>
          <cell r="BA173">
            <v>6.3500000000000201</v>
          </cell>
          <cell r="BB173" t="e">
            <v>#N/A</v>
          </cell>
          <cell r="BC173">
            <v>10</v>
          </cell>
          <cell r="BD173" t="e">
            <v>#N/A</v>
          </cell>
          <cell r="BE173" t="e">
            <v>#N/A</v>
          </cell>
          <cell r="BF173" t="e">
            <v>#N/A</v>
          </cell>
          <cell r="BG173">
            <v>203</v>
          </cell>
          <cell r="BL173">
            <v>203</v>
          </cell>
          <cell r="BM173" t="e">
            <v>#N/A</v>
          </cell>
          <cell r="BN173" t="e">
            <v>#N/A</v>
          </cell>
          <cell r="BO173" t="e">
            <v>#N/A</v>
          </cell>
          <cell r="BP173" t="e">
            <v>#N/A</v>
          </cell>
          <cell r="BQ173" t="e">
            <v>#N/A</v>
          </cell>
          <cell r="BR173">
            <v>-0.38784232365145227</v>
          </cell>
          <cell r="BT173">
            <v>-0.38784232365145227</v>
          </cell>
          <cell r="BU173" t="e">
            <v>#N/A</v>
          </cell>
          <cell r="BV173" t="e">
            <v>#N/A</v>
          </cell>
          <cell r="BW173" t="e">
            <v>#N/A</v>
          </cell>
          <cell r="BX173" t="e">
            <v>#N/A</v>
          </cell>
          <cell r="BY173" t="e">
            <v>#N/A</v>
          </cell>
          <cell r="BZ173" t="str">
            <v>CDI</v>
          </cell>
          <cell r="CA173" t="str">
            <v/>
          </cell>
          <cell r="CB173" t="str">
            <v/>
          </cell>
          <cell r="CC173" t="str">
            <v>BANQUE</v>
          </cell>
          <cell r="CD173" t="str">
            <v>120-Front Office</v>
          </cell>
          <cell r="CE173">
            <v>120</v>
          </cell>
        </row>
        <row r="174">
          <cell r="B174" t="str">
            <v>07171</v>
          </cell>
          <cell r="C174" t="str">
            <v>ILUNGA KABEYA BENOIT</v>
          </cell>
          <cell r="D174" t="str">
            <v>Banquet</v>
          </cell>
          <cell r="E174" t="str">
            <v>00018000360001895120032</v>
          </cell>
          <cell r="F174" t="str">
            <v>107319606170L</v>
          </cell>
          <cell r="G174" t="str">
            <v>Chef de Rang</v>
          </cell>
          <cell r="H174">
            <v>7.7</v>
          </cell>
          <cell r="I174">
            <v>8.9</v>
          </cell>
          <cell r="J174">
            <v>8.9</v>
          </cell>
          <cell r="K174" t="str">
            <v>TSQ2-5.III</v>
          </cell>
          <cell r="L174" t="str">
            <v>TRAVAILLEUR SEMI QUALIFIE</v>
          </cell>
          <cell r="M174" t="str">
            <v>CATEGORIE 1 A 5</v>
          </cell>
          <cell r="N174" t="str">
            <v>TRAVAILLEUR SEMI QUALIFIE (TSQ), Echellon 2, Classe 5</v>
          </cell>
          <cell r="P174">
            <v>43206</v>
          </cell>
          <cell r="Q174" t="e">
            <v>#N/A</v>
          </cell>
          <cell r="R174" t="e">
            <v>#N/A</v>
          </cell>
          <cell r="S174" t="e">
            <v>#N/A</v>
          </cell>
          <cell r="T174" t="e">
            <v>#N/A</v>
          </cell>
          <cell r="U174" t="e">
            <v>#N/A</v>
          </cell>
          <cell r="V174" t="e">
            <v>#N/A</v>
          </cell>
          <cell r="W174" t="e">
            <v>#N/A</v>
          </cell>
          <cell r="X174" t="e">
            <v>#N/A</v>
          </cell>
          <cell r="Y174" t="e">
            <v>#N/A</v>
          </cell>
          <cell r="Z174" t="e">
            <v>#N/A</v>
          </cell>
          <cell r="AA174" t="e">
            <v>#N/A</v>
          </cell>
          <cell r="AB174" t="e">
            <v>#N/A</v>
          </cell>
          <cell r="AC174" t="e">
            <v>#N/A</v>
          </cell>
          <cell r="AE174">
            <v>231.4</v>
          </cell>
          <cell r="AF174" t="e">
            <v>#N/A</v>
          </cell>
          <cell r="AG174" t="e">
            <v>#N/A</v>
          </cell>
          <cell r="AH174" t="e">
            <v>#N/A</v>
          </cell>
          <cell r="AI174" t="e">
            <v>#N/A</v>
          </cell>
          <cell r="AJ174" t="e">
            <v>#N/A</v>
          </cell>
          <cell r="AK174" t="e">
            <v>#N/A</v>
          </cell>
          <cell r="AL174" t="e">
            <v>#N/A</v>
          </cell>
          <cell r="AM174" t="e">
            <v>#N/A</v>
          </cell>
          <cell r="AN174">
            <v>0</v>
          </cell>
          <cell r="AR174" t="e">
            <v>#N/A</v>
          </cell>
          <cell r="AS174">
            <v>72</v>
          </cell>
          <cell r="AT174" t="e">
            <v>#N/A</v>
          </cell>
          <cell r="AU174">
            <v>41.6</v>
          </cell>
          <cell r="AV174">
            <v>0</v>
          </cell>
          <cell r="AX174">
            <v>0</v>
          </cell>
          <cell r="AY174" t="e">
            <v>#N/A</v>
          </cell>
          <cell r="BA174">
            <v>2.54000000000002</v>
          </cell>
          <cell r="BB174" t="e">
            <v>#N/A</v>
          </cell>
          <cell r="BC174">
            <v>0</v>
          </cell>
          <cell r="BD174" t="e">
            <v>#N/A</v>
          </cell>
          <cell r="BE174" t="e">
            <v>#N/A</v>
          </cell>
          <cell r="BF174" t="e">
            <v>#N/A</v>
          </cell>
          <cell r="BL174">
            <v>0</v>
          </cell>
          <cell r="BM174" t="e">
            <v>#N/A</v>
          </cell>
          <cell r="BN174" t="e">
            <v>#N/A</v>
          </cell>
          <cell r="BO174" t="e">
            <v>#N/A</v>
          </cell>
          <cell r="BP174" t="e">
            <v>#N/A</v>
          </cell>
          <cell r="BQ174" t="e">
            <v>#N/A</v>
          </cell>
          <cell r="BR174">
            <v>-0.38784232365145227</v>
          </cell>
          <cell r="BT174">
            <v>-0.38784232365145227</v>
          </cell>
          <cell r="BU174" t="e">
            <v>#N/A</v>
          </cell>
          <cell r="BV174" t="e">
            <v>#N/A</v>
          </cell>
          <cell r="BW174" t="e">
            <v>#N/A</v>
          </cell>
          <cell r="BX174" t="e">
            <v>#N/A</v>
          </cell>
          <cell r="BY174" t="e">
            <v>#N/A</v>
          </cell>
          <cell r="BZ174" t="str">
            <v>CDI</v>
          </cell>
          <cell r="CA174" t="str">
            <v/>
          </cell>
          <cell r="CB174" t="str">
            <v/>
          </cell>
          <cell r="CC174" t="str">
            <v>BANQUE</v>
          </cell>
          <cell r="CD174" t="str">
            <v>251-Banquet</v>
          </cell>
          <cell r="CE174">
            <v>251</v>
          </cell>
        </row>
        <row r="175">
          <cell r="B175" t="str">
            <v>07178</v>
          </cell>
          <cell r="C175" t="str">
            <v>BITENDE NDIEJI TRESOR</v>
          </cell>
          <cell r="D175" t="str">
            <v>Business Centre</v>
          </cell>
          <cell r="E175" t="str">
            <v>00018000360002010120031</v>
          </cell>
          <cell r="F175" t="str">
            <v>109438908200A</v>
          </cell>
          <cell r="G175" t="str">
            <v>Front Office Agent</v>
          </cell>
          <cell r="H175">
            <v>6.65</v>
          </cell>
          <cell r="I175">
            <v>7.7</v>
          </cell>
          <cell r="J175">
            <v>7.6999999999999993</v>
          </cell>
          <cell r="K175" t="str">
            <v>TSQ1-4.III</v>
          </cell>
          <cell r="L175" t="str">
            <v>TRAVAILLEUR SEMI QUALIFIE</v>
          </cell>
          <cell r="M175" t="str">
            <v>CATEGORIE 1 A 5</v>
          </cell>
          <cell r="N175" t="str">
            <v>TRAVAILLEUR SEMI QUALIFIE (TSQ), Echellon 1, Classe 4</v>
          </cell>
          <cell r="P175">
            <v>43252</v>
          </cell>
          <cell r="Q175" t="e">
            <v>#N/A</v>
          </cell>
          <cell r="R175" t="e">
            <v>#N/A</v>
          </cell>
          <cell r="S175" t="e">
            <v>#N/A</v>
          </cell>
          <cell r="T175" t="e">
            <v>#N/A</v>
          </cell>
          <cell r="U175" t="e">
            <v>#N/A</v>
          </cell>
          <cell r="V175" t="e">
            <v>#N/A</v>
          </cell>
          <cell r="W175" t="e">
            <v>#N/A</v>
          </cell>
          <cell r="X175" t="e">
            <v>#N/A</v>
          </cell>
          <cell r="Y175" t="e">
            <v>#N/A</v>
          </cell>
          <cell r="Z175" t="e">
            <v>#N/A</v>
          </cell>
          <cell r="AA175" t="e">
            <v>#N/A</v>
          </cell>
          <cell r="AB175" t="e">
            <v>#N/A</v>
          </cell>
          <cell r="AC175" t="e">
            <v>#N/A</v>
          </cell>
          <cell r="AE175">
            <v>200.2</v>
          </cell>
          <cell r="AF175" t="e">
            <v>#N/A</v>
          </cell>
          <cell r="AG175" t="e">
            <v>#N/A</v>
          </cell>
          <cell r="AH175" t="e">
            <v>#N/A</v>
          </cell>
          <cell r="AI175" t="e">
            <v>#N/A</v>
          </cell>
          <cell r="AJ175" t="e">
            <v>#N/A</v>
          </cell>
          <cell r="AK175" t="e">
            <v>#N/A</v>
          </cell>
          <cell r="AL175" t="e">
            <v>#N/A</v>
          </cell>
          <cell r="AM175" t="e">
            <v>#N/A</v>
          </cell>
          <cell r="AN175">
            <v>0</v>
          </cell>
          <cell r="AO175">
            <v>30</v>
          </cell>
          <cell r="AR175" t="e">
            <v>#N/A</v>
          </cell>
          <cell r="AS175">
            <v>60</v>
          </cell>
          <cell r="AT175" t="e">
            <v>#N/A</v>
          </cell>
          <cell r="AU175">
            <v>29.8</v>
          </cell>
          <cell r="AV175">
            <v>3</v>
          </cell>
          <cell r="AX175">
            <v>0</v>
          </cell>
          <cell r="AY175" t="e">
            <v>#N/A</v>
          </cell>
          <cell r="BA175">
            <v>3.5899999999999701</v>
          </cell>
          <cell r="BB175" t="e">
            <v>#N/A</v>
          </cell>
          <cell r="BC175">
            <v>0</v>
          </cell>
          <cell r="BD175" t="e">
            <v>#N/A</v>
          </cell>
          <cell r="BE175" t="e">
            <v>#N/A</v>
          </cell>
          <cell r="BF175" t="e">
            <v>#N/A</v>
          </cell>
          <cell r="BL175">
            <v>0</v>
          </cell>
          <cell r="BM175" t="e">
            <v>#N/A</v>
          </cell>
          <cell r="BN175" t="e">
            <v>#N/A</v>
          </cell>
          <cell r="BO175" t="e">
            <v>#N/A</v>
          </cell>
          <cell r="BP175" t="e">
            <v>#N/A</v>
          </cell>
          <cell r="BQ175" t="e">
            <v>#N/A</v>
          </cell>
          <cell r="BR175">
            <v>-0.38784232365145227</v>
          </cell>
          <cell r="BT175">
            <v>-0.38784232365145227</v>
          </cell>
          <cell r="BU175" t="e">
            <v>#N/A</v>
          </cell>
          <cell r="BV175" t="e">
            <v>#N/A</v>
          </cell>
          <cell r="BW175" t="e">
            <v>#N/A</v>
          </cell>
          <cell r="BX175" t="e">
            <v>#N/A</v>
          </cell>
          <cell r="BY175" t="e">
            <v>#N/A</v>
          </cell>
          <cell r="BZ175" t="str">
            <v>CDI</v>
          </cell>
          <cell r="CA175" t="str">
            <v/>
          </cell>
          <cell r="CB175" t="str">
            <v/>
          </cell>
          <cell r="CC175" t="str">
            <v>BANQUE</v>
          </cell>
          <cell r="CD175" t="str">
            <v>420-Business Centre</v>
          </cell>
          <cell r="CE175">
            <v>420</v>
          </cell>
        </row>
        <row r="176">
          <cell r="B176" t="str">
            <v>07175</v>
          </cell>
          <cell r="C176" t="str">
            <v>KANKOLONGO KASENDA MARLON</v>
          </cell>
          <cell r="D176" t="str">
            <v>Security</v>
          </cell>
          <cell r="E176" t="str">
            <v>00018000361001977120096</v>
          </cell>
          <cell r="F176" t="str">
            <v>107559104140Q</v>
          </cell>
          <cell r="G176" t="str">
            <v>Security Agent</v>
          </cell>
          <cell r="H176">
            <v>5</v>
          </cell>
          <cell r="I176">
            <v>5.8</v>
          </cell>
          <cell r="J176">
            <v>5.8000000000000007</v>
          </cell>
          <cell r="K176" t="str">
            <v>MAL1-2.I</v>
          </cell>
          <cell r="L176" t="str">
            <v>MANOEUVRE LOURD</v>
          </cell>
          <cell r="M176" t="str">
            <v>CATEGORIE 1 A 5</v>
          </cell>
          <cell r="N176" t="str">
            <v>MANŒUVRE LOURD (ML), Echellon 2, Classe 2</v>
          </cell>
          <cell r="P176">
            <v>43243</v>
          </cell>
          <cell r="Q176" t="e">
            <v>#N/A</v>
          </cell>
          <cell r="R176" t="e">
            <v>#N/A</v>
          </cell>
          <cell r="S176" t="e">
            <v>#N/A</v>
          </cell>
          <cell r="T176" t="e">
            <v>#N/A</v>
          </cell>
          <cell r="U176" t="e">
            <v>#N/A</v>
          </cell>
          <cell r="V176" t="e">
            <v>#N/A</v>
          </cell>
          <cell r="W176" t="e">
            <v>#N/A</v>
          </cell>
          <cell r="X176" t="e">
            <v>#N/A</v>
          </cell>
          <cell r="Y176" t="e">
            <v>#N/A</v>
          </cell>
          <cell r="Z176" t="e">
            <v>#N/A</v>
          </cell>
          <cell r="AA176" t="e">
            <v>#N/A</v>
          </cell>
          <cell r="AB176" t="e">
            <v>#N/A</v>
          </cell>
          <cell r="AC176" t="e">
            <v>#N/A</v>
          </cell>
          <cell r="AE176">
            <v>150.80000000000001</v>
          </cell>
          <cell r="AF176" t="e">
            <v>#N/A</v>
          </cell>
          <cell r="AG176" t="e">
            <v>#N/A</v>
          </cell>
          <cell r="AH176" t="e">
            <v>#N/A</v>
          </cell>
          <cell r="AI176" t="e">
            <v>#N/A</v>
          </cell>
          <cell r="AJ176" t="e">
            <v>#N/A</v>
          </cell>
          <cell r="AK176" t="e">
            <v>#N/A</v>
          </cell>
          <cell r="AL176" t="e">
            <v>#N/A</v>
          </cell>
          <cell r="AM176" t="e">
            <v>#N/A</v>
          </cell>
          <cell r="AN176">
            <v>0</v>
          </cell>
          <cell r="AR176" t="e">
            <v>#N/A</v>
          </cell>
          <cell r="AS176">
            <v>60</v>
          </cell>
          <cell r="AT176" t="e">
            <v>#N/A</v>
          </cell>
          <cell r="AU176">
            <v>39.200000000000003</v>
          </cell>
          <cell r="AV176">
            <v>1</v>
          </cell>
          <cell r="AX176">
            <v>0</v>
          </cell>
          <cell r="AY176" t="e">
            <v>#N/A</v>
          </cell>
          <cell r="BA176">
            <v>0.12000000000000501</v>
          </cell>
          <cell r="BB176" t="e">
            <v>#N/A</v>
          </cell>
          <cell r="BD176" t="e">
            <v>#N/A</v>
          </cell>
          <cell r="BE176" t="e">
            <v>#N/A</v>
          </cell>
          <cell r="BF176" t="e">
            <v>#N/A</v>
          </cell>
          <cell r="BL176">
            <v>0</v>
          </cell>
          <cell r="BM176" t="e">
            <v>#N/A</v>
          </cell>
          <cell r="BN176" t="e">
            <v>#N/A</v>
          </cell>
          <cell r="BO176" t="e">
            <v>#N/A</v>
          </cell>
          <cell r="BP176" t="e">
            <v>#N/A</v>
          </cell>
          <cell r="BQ176" t="e">
            <v>#N/A</v>
          </cell>
          <cell r="BR176">
            <v>-0.38784232365145227</v>
          </cell>
          <cell r="BT176">
            <v>-0.38784232365145227</v>
          </cell>
          <cell r="BU176" t="e">
            <v>#N/A</v>
          </cell>
          <cell r="BV176" t="e">
            <v>#N/A</v>
          </cell>
          <cell r="BW176" t="e">
            <v>#N/A</v>
          </cell>
          <cell r="BX176" t="e">
            <v>#N/A</v>
          </cell>
          <cell r="BY176" t="e">
            <v>#N/A</v>
          </cell>
          <cell r="BZ176" t="str">
            <v>CDI</v>
          </cell>
          <cell r="CA176" t="str">
            <v/>
          </cell>
          <cell r="CB176" t="str">
            <v/>
          </cell>
          <cell r="CC176" t="str">
            <v>BANQUE</v>
          </cell>
          <cell r="CD176" t="str">
            <v>650-Security</v>
          </cell>
          <cell r="CE176">
            <v>650</v>
          </cell>
        </row>
        <row r="177">
          <cell r="B177" t="str">
            <v>07174</v>
          </cell>
          <cell r="C177" t="str">
            <v>TUMBA TSHISASA DAVID</v>
          </cell>
          <cell r="D177" t="str">
            <v>Security</v>
          </cell>
          <cell r="E177" t="str">
            <v>00018000360001976120076</v>
          </cell>
          <cell r="F177" t="str">
            <v>106448103070I</v>
          </cell>
          <cell r="G177" t="str">
            <v>Security Agent</v>
          </cell>
          <cell r="H177">
            <v>5</v>
          </cell>
          <cell r="I177">
            <v>5.8</v>
          </cell>
          <cell r="J177">
            <v>5.8000000000000007</v>
          </cell>
          <cell r="K177" t="str">
            <v>MAL1-2.I</v>
          </cell>
          <cell r="L177" t="str">
            <v>MANOEUVRE LOURD</v>
          </cell>
          <cell r="M177" t="str">
            <v>CATEGORIE 1 A 5</v>
          </cell>
          <cell r="N177" t="str">
            <v>MANŒUVRE LOURD (ML), Echellon 2, Classe 2</v>
          </cell>
          <cell r="P177">
            <v>43243</v>
          </cell>
          <cell r="Q177" t="e">
            <v>#N/A</v>
          </cell>
          <cell r="R177" t="e">
            <v>#N/A</v>
          </cell>
          <cell r="S177" t="e">
            <v>#N/A</v>
          </cell>
          <cell r="T177" t="e">
            <v>#N/A</v>
          </cell>
          <cell r="U177" t="e">
            <v>#N/A</v>
          </cell>
          <cell r="V177" t="e">
            <v>#N/A</v>
          </cell>
          <cell r="W177" t="e">
            <v>#N/A</v>
          </cell>
          <cell r="X177" t="e">
            <v>#N/A</v>
          </cell>
          <cell r="Y177" t="e">
            <v>#N/A</v>
          </cell>
          <cell r="Z177" t="e">
            <v>#N/A</v>
          </cell>
          <cell r="AA177" t="e">
            <v>#N/A</v>
          </cell>
          <cell r="AB177" t="e">
            <v>#N/A</v>
          </cell>
          <cell r="AC177" t="e">
            <v>#N/A</v>
          </cell>
          <cell r="AE177">
            <v>150.80000000000001</v>
          </cell>
          <cell r="AF177" t="e">
            <v>#N/A</v>
          </cell>
          <cell r="AG177" t="e">
            <v>#N/A</v>
          </cell>
          <cell r="AH177" t="e">
            <v>#N/A</v>
          </cell>
          <cell r="AI177" t="e">
            <v>#N/A</v>
          </cell>
          <cell r="AJ177" t="e">
            <v>#N/A</v>
          </cell>
          <cell r="AK177" t="e">
            <v>#N/A</v>
          </cell>
          <cell r="AL177" t="e">
            <v>#N/A</v>
          </cell>
          <cell r="AM177" t="e">
            <v>#N/A</v>
          </cell>
          <cell r="AN177">
            <v>0</v>
          </cell>
          <cell r="AR177" t="e">
            <v>#N/A</v>
          </cell>
          <cell r="AS177">
            <v>60</v>
          </cell>
          <cell r="AT177" t="e">
            <v>#N/A</v>
          </cell>
          <cell r="AU177">
            <v>39.200000000000003</v>
          </cell>
          <cell r="AV177">
            <v>0</v>
          </cell>
          <cell r="AX177">
            <v>0</v>
          </cell>
          <cell r="AY177" t="e">
            <v>#N/A</v>
          </cell>
          <cell r="BA177">
            <v>0.12000000000000501</v>
          </cell>
          <cell r="BB177" t="e">
            <v>#N/A</v>
          </cell>
          <cell r="BC177">
            <v>0</v>
          </cell>
          <cell r="BD177" t="e">
            <v>#N/A</v>
          </cell>
          <cell r="BE177" t="e">
            <v>#N/A</v>
          </cell>
          <cell r="BF177" t="e">
            <v>#N/A</v>
          </cell>
          <cell r="BL177">
            <v>0</v>
          </cell>
          <cell r="BM177" t="e">
            <v>#N/A</v>
          </cell>
          <cell r="BN177" t="e">
            <v>#N/A</v>
          </cell>
          <cell r="BO177" t="e">
            <v>#N/A</v>
          </cell>
          <cell r="BP177" t="e">
            <v>#N/A</v>
          </cell>
          <cell r="BQ177" t="e">
            <v>#N/A</v>
          </cell>
          <cell r="BR177">
            <v>-0.38784232365145227</v>
          </cell>
          <cell r="BT177">
            <v>-0.38784232365145227</v>
          </cell>
          <cell r="BU177" t="e">
            <v>#N/A</v>
          </cell>
          <cell r="BV177" t="e">
            <v>#N/A</v>
          </cell>
          <cell r="BW177" t="e">
            <v>#N/A</v>
          </cell>
          <cell r="BX177" t="e">
            <v>#N/A</v>
          </cell>
          <cell r="BY177" t="e">
            <v>#N/A</v>
          </cell>
          <cell r="BZ177" t="str">
            <v>CDI</v>
          </cell>
          <cell r="CA177" t="str">
            <v/>
          </cell>
          <cell r="CB177" t="str">
            <v/>
          </cell>
          <cell r="CC177" t="str">
            <v>BANQUE</v>
          </cell>
          <cell r="CD177" t="str">
            <v>650-Security</v>
          </cell>
          <cell r="CE177">
            <v>650</v>
          </cell>
        </row>
        <row r="178">
          <cell r="B178" t="str">
            <v>07192</v>
          </cell>
          <cell r="C178" t="str">
            <v>APAMATO WEMBA CERKIS</v>
          </cell>
          <cell r="D178" t="str">
            <v>Security</v>
          </cell>
          <cell r="E178" t="str">
            <v>00018000360002217120068</v>
          </cell>
          <cell r="F178" t="str">
            <v>11984420602H</v>
          </cell>
          <cell r="G178" t="str">
            <v>Security Agent</v>
          </cell>
          <cell r="H178">
            <v>5</v>
          </cell>
          <cell r="I178">
            <v>5.8</v>
          </cell>
          <cell r="J178">
            <v>5.8000000000000007</v>
          </cell>
          <cell r="K178" t="str">
            <v>MAL1-2.I</v>
          </cell>
          <cell r="L178" t="str">
            <v>MANOEUVRE LOURD</v>
          </cell>
          <cell r="M178" t="str">
            <v>CATEGORIE 1 A 5</v>
          </cell>
          <cell r="N178" t="str">
            <v>MANŒUVRE LOURD (ML), Echellon 2, Classe 2</v>
          </cell>
          <cell r="P178">
            <v>43369</v>
          </cell>
          <cell r="Q178" t="e">
            <v>#N/A</v>
          </cell>
          <cell r="R178" t="e">
            <v>#N/A</v>
          </cell>
          <cell r="S178" t="e">
            <v>#N/A</v>
          </cell>
          <cell r="T178" t="e">
            <v>#N/A</v>
          </cell>
          <cell r="U178" t="e">
            <v>#N/A</v>
          </cell>
          <cell r="V178" t="e">
            <v>#N/A</v>
          </cell>
          <cell r="W178" t="e">
            <v>#N/A</v>
          </cell>
          <cell r="X178" t="e">
            <v>#N/A</v>
          </cell>
          <cell r="Y178" t="e">
            <v>#N/A</v>
          </cell>
          <cell r="Z178" t="e">
            <v>#N/A</v>
          </cell>
          <cell r="AA178" t="e">
            <v>#N/A</v>
          </cell>
          <cell r="AB178" t="e">
            <v>#N/A</v>
          </cell>
          <cell r="AC178" t="e">
            <v>#N/A</v>
          </cell>
          <cell r="AE178">
            <v>150.80000000000001</v>
          </cell>
          <cell r="AF178" t="e">
            <v>#N/A</v>
          </cell>
          <cell r="AG178" t="e">
            <v>#N/A</v>
          </cell>
          <cell r="AH178" t="e">
            <v>#N/A</v>
          </cell>
          <cell r="AI178" t="e">
            <v>#N/A</v>
          </cell>
          <cell r="AJ178" t="e">
            <v>#N/A</v>
          </cell>
          <cell r="AK178" t="e">
            <v>#N/A</v>
          </cell>
          <cell r="AL178" t="e">
            <v>#N/A</v>
          </cell>
          <cell r="AM178" t="e">
            <v>#N/A</v>
          </cell>
          <cell r="AN178">
            <v>0</v>
          </cell>
          <cell r="AR178" t="e">
            <v>#N/A</v>
          </cell>
          <cell r="AS178">
            <v>60</v>
          </cell>
          <cell r="AT178" t="e">
            <v>#N/A</v>
          </cell>
          <cell r="AU178">
            <v>39.200000000000003</v>
          </cell>
          <cell r="AV178">
            <v>2</v>
          </cell>
          <cell r="AX178">
            <v>0</v>
          </cell>
          <cell r="AY178" t="e">
            <v>#N/A</v>
          </cell>
          <cell r="BA178">
            <v>9.9999999999994302E-2</v>
          </cell>
          <cell r="BB178" t="e">
            <v>#N/A</v>
          </cell>
          <cell r="BC178">
            <v>0</v>
          </cell>
          <cell r="BD178" t="e">
            <v>#N/A</v>
          </cell>
          <cell r="BE178" t="e">
            <v>#N/A</v>
          </cell>
          <cell r="BF178" t="e">
            <v>#N/A</v>
          </cell>
          <cell r="BL178">
            <v>0</v>
          </cell>
          <cell r="BM178" t="e">
            <v>#N/A</v>
          </cell>
          <cell r="BN178" t="e">
            <v>#N/A</v>
          </cell>
          <cell r="BO178" t="e">
            <v>#N/A</v>
          </cell>
          <cell r="BP178" t="e">
            <v>#N/A</v>
          </cell>
          <cell r="BQ178" t="e">
            <v>#N/A</v>
          </cell>
          <cell r="BR178">
            <v>-0.38784232365145227</v>
          </cell>
          <cell r="BT178">
            <v>-0.38784232365145227</v>
          </cell>
          <cell r="BU178" t="e">
            <v>#N/A</v>
          </cell>
          <cell r="BV178" t="e">
            <v>#N/A</v>
          </cell>
          <cell r="BW178" t="e">
            <v>#N/A</v>
          </cell>
          <cell r="BX178" t="e">
            <v>#N/A</v>
          </cell>
          <cell r="BY178" t="e">
            <v>#N/A</v>
          </cell>
          <cell r="BZ178" t="str">
            <v>CDI</v>
          </cell>
          <cell r="CA178" t="str">
            <v/>
          </cell>
          <cell r="CB178" t="str">
            <v/>
          </cell>
          <cell r="CC178" t="str">
            <v>BANQUE</v>
          </cell>
          <cell r="CD178" t="str">
            <v>650-Security</v>
          </cell>
          <cell r="CE178">
            <v>650</v>
          </cell>
        </row>
        <row r="179">
          <cell r="B179" t="str">
            <v>07193</v>
          </cell>
          <cell r="C179" t="str">
            <v>ALENTUA BOPEKO ALAIN</v>
          </cell>
          <cell r="D179" t="str">
            <v>Security</v>
          </cell>
          <cell r="E179" t="str">
            <v>00018000361121465120043</v>
          </cell>
          <cell r="F179" t="str">
            <v>11986470290E</v>
          </cell>
          <cell r="G179" t="str">
            <v>Security Supervisor</v>
          </cell>
          <cell r="H179">
            <v>10.3</v>
          </cell>
          <cell r="I179">
            <v>11.85</v>
          </cell>
          <cell r="J179">
            <v>11.850000000000001</v>
          </cell>
          <cell r="K179" t="str">
            <v>TRQ1-7.IV</v>
          </cell>
          <cell r="L179" t="str">
            <v>TRAVAILLEUR QUALIFIE</v>
          </cell>
          <cell r="M179" t="str">
            <v>CATEGORIE 1 A 5</v>
          </cell>
          <cell r="N179" t="str">
            <v>TRAVAILLEUR QUALIFIE (TQ), Echellon 1, Classe 7</v>
          </cell>
          <cell r="P179">
            <v>43377</v>
          </cell>
          <cell r="Q179" t="e">
            <v>#N/A</v>
          </cell>
          <cell r="R179" t="e">
            <v>#N/A</v>
          </cell>
          <cell r="S179" t="e">
            <v>#N/A</v>
          </cell>
          <cell r="T179" t="e">
            <v>#N/A</v>
          </cell>
          <cell r="U179" t="e">
            <v>#N/A</v>
          </cell>
          <cell r="V179" t="e">
            <v>#N/A</v>
          </cell>
          <cell r="W179" t="e">
            <v>#N/A</v>
          </cell>
          <cell r="X179" t="e">
            <v>#N/A</v>
          </cell>
          <cell r="Y179" t="e">
            <v>#N/A</v>
          </cell>
          <cell r="Z179" t="e">
            <v>#N/A</v>
          </cell>
          <cell r="AA179" t="e">
            <v>#N/A</v>
          </cell>
          <cell r="AB179" t="e">
            <v>#N/A</v>
          </cell>
          <cell r="AC179" t="e">
            <v>#N/A</v>
          </cell>
          <cell r="AE179">
            <v>308.10000000000002</v>
          </cell>
          <cell r="AF179" t="e">
            <v>#N/A</v>
          </cell>
          <cell r="AG179" t="e">
            <v>#N/A</v>
          </cell>
          <cell r="AH179" t="e">
            <v>#N/A</v>
          </cell>
          <cell r="AI179" t="e">
            <v>#N/A</v>
          </cell>
          <cell r="AJ179" t="e">
            <v>#N/A</v>
          </cell>
          <cell r="AK179" t="e">
            <v>#N/A</v>
          </cell>
          <cell r="AL179" t="e">
            <v>#N/A</v>
          </cell>
          <cell r="AM179" t="e">
            <v>#N/A</v>
          </cell>
          <cell r="AN179">
            <v>0</v>
          </cell>
          <cell r="AR179" t="e">
            <v>#N/A</v>
          </cell>
          <cell r="AS179">
            <v>46.21</v>
          </cell>
          <cell r="AT179" t="e">
            <v>#N/A</v>
          </cell>
          <cell r="AU179">
            <v>60</v>
          </cell>
          <cell r="AV179">
            <v>4</v>
          </cell>
          <cell r="AX179">
            <v>0</v>
          </cell>
          <cell r="AY179" t="e">
            <v>#N/A</v>
          </cell>
          <cell r="BB179" t="e">
            <v>#N/A</v>
          </cell>
          <cell r="BC179">
            <v>0</v>
          </cell>
          <cell r="BD179" t="e">
            <v>#N/A</v>
          </cell>
          <cell r="BE179" t="e">
            <v>#N/A</v>
          </cell>
          <cell r="BF179" t="e">
            <v>#N/A</v>
          </cell>
          <cell r="BL179">
            <v>0</v>
          </cell>
          <cell r="BM179" t="e">
            <v>#N/A</v>
          </cell>
          <cell r="BN179" t="e">
            <v>#N/A</v>
          </cell>
          <cell r="BO179" t="e">
            <v>#N/A</v>
          </cell>
          <cell r="BP179" t="e">
            <v>#N/A</v>
          </cell>
          <cell r="BQ179" t="e">
            <v>#N/A</v>
          </cell>
          <cell r="BR179">
            <v>-0.38784232365145227</v>
          </cell>
          <cell r="BT179">
            <v>-0.38784232365145227</v>
          </cell>
          <cell r="BU179" t="e">
            <v>#N/A</v>
          </cell>
          <cell r="BV179" t="e">
            <v>#N/A</v>
          </cell>
          <cell r="BW179" t="e">
            <v>#N/A</v>
          </cell>
          <cell r="BX179" t="e">
            <v>#N/A</v>
          </cell>
          <cell r="BY179" t="e">
            <v>#N/A</v>
          </cell>
          <cell r="BZ179" t="str">
            <v>CDI</v>
          </cell>
          <cell r="CA179" t="str">
            <v/>
          </cell>
          <cell r="CB179" t="str">
            <v/>
          </cell>
          <cell r="CC179" t="str">
            <v>BANQUE</v>
          </cell>
          <cell r="CD179" t="str">
            <v>650-Security</v>
          </cell>
          <cell r="CE179">
            <v>650</v>
          </cell>
        </row>
        <row r="180">
          <cell r="B180" t="str">
            <v>07196</v>
          </cell>
          <cell r="C180" t="str">
            <v>TSHIBAMBA MABI HENRY</v>
          </cell>
          <cell r="D180" t="str">
            <v>Hevea</v>
          </cell>
          <cell r="E180" t="str">
            <v>00018000050306365120072</v>
          </cell>
          <cell r="F180" t="str">
            <v>11996470507F</v>
          </cell>
          <cell r="G180" t="str">
            <v>Demi-Chef de Rang</v>
          </cell>
          <cell r="H180">
            <v>7.7</v>
          </cell>
          <cell r="I180">
            <v>8.9</v>
          </cell>
          <cell r="J180">
            <v>8.9</v>
          </cell>
          <cell r="K180" t="str">
            <v>TSQ2-5.III</v>
          </cell>
          <cell r="L180" t="str">
            <v>TRAVAILLEUR SEMI QUALIFIE</v>
          </cell>
          <cell r="M180" t="str">
            <v>CATEGORIE 1 A 5</v>
          </cell>
          <cell r="N180" t="str">
            <v>TRAVAILLEUR SEMI QUALIFIE (TSQ), Echellon 2, Classe 5</v>
          </cell>
          <cell r="P180">
            <v>43521</v>
          </cell>
          <cell r="Q180" t="e">
            <v>#N/A</v>
          </cell>
          <cell r="R180" t="e">
            <v>#N/A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X180" t="e">
            <v>#N/A</v>
          </cell>
          <cell r="Y180" t="e">
            <v>#N/A</v>
          </cell>
          <cell r="Z180" t="e">
            <v>#N/A</v>
          </cell>
          <cell r="AA180" t="e">
            <v>#N/A</v>
          </cell>
          <cell r="AB180" t="e">
            <v>#N/A</v>
          </cell>
          <cell r="AC180" t="e">
            <v>#N/A</v>
          </cell>
          <cell r="AE180">
            <v>231.4</v>
          </cell>
          <cell r="AF180" t="e">
            <v>#N/A</v>
          </cell>
          <cell r="AG180" t="e">
            <v>#N/A</v>
          </cell>
          <cell r="AH180" t="e">
            <v>#N/A</v>
          </cell>
          <cell r="AI180" t="e">
            <v>#N/A</v>
          </cell>
          <cell r="AJ180" t="e">
            <v>#N/A</v>
          </cell>
          <cell r="AK180" t="e">
            <v>#N/A</v>
          </cell>
          <cell r="AL180" t="e">
            <v>#N/A</v>
          </cell>
          <cell r="AM180" t="e">
            <v>#N/A</v>
          </cell>
          <cell r="AN180">
            <v>0</v>
          </cell>
          <cell r="AO180">
            <v>30</v>
          </cell>
          <cell r="AR180" t="e">
            <v>#N/A</v>
          </cell>
          <cell r="AS180">
            <v>50</v>
          </cell>
          <cell r="AT180" t="e">
            <v>#N/A</v>
          </cell>
          <cell r="AU180">
            <v>57.85</v>
          </cell>
          <cell r="AV180">
            <v>0</v>
          </cell>
          <cell r="AX180">
            <v>0</v>
          </cell>
          <cell r="AY180" t="e">
            <v>#N/A</v>
          </cell>
          <cell r="BA180">
            <v>2.02000000000004</v>
          </cell>
          <cell r="BB180" t="e">
            <v>#N/A</v>
          </cell>
          <cell r="BC180">
            <v>0</v>
          </cell>
          <cell r="BD180" t="e">
            <v>#N/A</v>
          </cell>
          <cell r="BE180" t="e">
            <v>#N/A</v>
          </cell>
          <cell r="BF180" t="e">
            <v>#N/A</v>
          </cell>
          <cell r="BL180">
            <v>0</v>
          </cell>
          <cell r="BM180" t="e">
            <v>#N/A</v>
          </cell>
          <cell r="BN180" t="e">
            <v>#N/A</v>
          </cell>
          <cell r="BO180" t="e">
            <v>#N/A</v>
          </cell>
          <cell r="BP180" t="e">
            <v>#N/A</v>
          </cell>
          <cell r="BQ180" t="e">
            <v>#N/A</v>
          </cell>
          <cell r="BR180">
            <v>-0.38784232365145227</v>
          </cell>
          <cell r="BT180">
            <v>-0.38784232365145227</v>
          </cell>
          <cell r="BU180" t="e">
            <v>#N/A</v>
          </cell>
          <cell r="BV180" t="e">
            <v>#N/A</v>
          </cell>
          <cell r="BW180" t="e">
            <v>#N/A</v>
          </cell>
          <cell r="BX180" t="e">
            <v>#N/A</v>
          </cell>
          <cell r="BY180" t="e">
            <v>#N/A</v>
          </cell>
          <cell r="BZ180" t="str">
            <v>CDI</v>
          </cell>
          <cell r="CA180" t="str">
            <v/>
          </cell>
          <cell r="CB180" t="str">
            <v/>
          </cell>
          <cell r="CC180" t="str">
            <v>BANQUE</v>
          </cell>
          <cell r="CD180" t="str">
            <v>216-Hevea</v>
          </cell>
          <cell r="CE180">
            <v>216</v>
          </cell>
        </row>
        <row r="181">
          <cell r="B181" t="str">
            <v>07198</v>
          </cell>
          <cell r="C181" t="str">
            <v>BIKOKI FUEFU YASMINE</v>
          </cell>
          <cell r="D181" t="str">
            <v>Hevea</v>
          </cell>
          <cell r="E181" t="str">
            <v>00018000070130351123009</v>
          </cell>
          <cell r="F181" t="str">
            <v>21990387780M</v>
          </cell>
          <cell r="G181" t="str">
            <v>Waiter</v>
          </cell>
          <cell r="H181">
            <v>5.8</v>
          </cell>
          <cell r="I181">
            <v>6.65</v>
          </cell>
          <cell r="J181">
            <v>6.65</v>
          </cell>
          <cell r="K181" t="str">
            <v>TSP0-3.II</v>
          </cell>
          <cell r="L181" t="str">
            <v>TRAVAILLEUR SPECIALISE</v>
          </cell>
          <cell r="M181" t="str">
            <v>CATEGORIE 1 A 5</v>
          </cell>
          <cell r="N181" t="str">
            <v>TRAVAILLEUR SPECIALISE (TS), Echellon 0 , Classe 3</v>
          </cell>
          <cell r="P181">
            <v>43521</v>
          </cell>
          <cell r="Q181" t="e">
            <v>#N/A</v>
          </cell>
          <cell r="R181" t="e">
            <v>#N/A</v>
          </cell>
          <cell r="S181" t="e">
            <v>#N/A</v>
          </cell>
          <cell r="T181" t="e">
            <v>#N/A</v>
          </cell>
          <cell r="U181" t="e">
            <v>#N/A</v>
          </cell>
          <cell r="V181" t="e">
            <v>#N/A</v>
          </cell>
          <cell r="W181" t="e">
            <v>#N/A</v>
          </cell>
          <cell r="X181" t="e">
            <v>#N/A</v>
          </cell>
          <cell r="Y181" t="e">
            <v>#N/A</v>
          </cell>
          <cell r="Z181" t="e">
            <v>#N/A</v>
          </cell>
          <cell r="AA181" t="e">
            <v>#N/A</v>
          </cell>
          <cell r="AB181" t="e">
            <v>#N/A</v>
          </cell>
          <cell r="AC181" t="e">
            <v>#N/A</v>
          </cell>
          <cell r="AE181">
            <v>172.9</v>
          </cell>
          <cell r="AF181" t="e">
            <v>#N/A</v>
          </cell>
          <cell r="AG181" t="e">
            <v>#N/A</v>
          </cell>
          <cell r="AH181" t="e">
            <v>#N/A</v>
          </cell>
          <cell r="AI181" t="e">
            <v>#N/A</v>
          </cell>
          <cell r="AJ181" t="e">
            <v>#N/A</v>
          </cell>
          <cell r="AK181" t="e">
            <v>#N/A</v>
          </cell>
          <cell r="AL181" t="e">
            <v>#N/A</v>
          </cell>
          <cell r="AM181" t="e">
            <v>#N/A</v>
          </cell>
          <cell r="AN181">
            <v>0</v>
          </cell>
          <cell r="AR181" t="e">
            <v>#N/A</v>
          </cell>
          <cell r="AS181">
            <v>60</v>
          </cell>
          <cell r="AT181" t="e">
            <v>#N/A</v>
          </cell>
          <cell r="AU181">
            <v>27.1</v>
          </cell>
          <cell r="AV181">
            <v>1</v>
          </cell>
          <cell r="AX181">
            <v>0</v>
          </cell>
          <cell r="AY181" t="e">
            <v>#N/A</v>
          </cell>
          <cell r="BA181">
            <v>2.4500000000000202</v>
          </cell>
          <cell r="BB181" t="e">
            <v>#N/A</v>
          </cell>
          <cell r="BC181">
            <v>0</v>
          </cell>
          <cell r="BD181" t="e">
            <v>#N/A</v>
          </cell>
          <cell r="BE181" t="e">
            <v>#N/A</v>
          </cell>
          <cell r="BF181" t="e">
            <v>#N/A</v>
          </cell>
          <cell r="BL181">
            <v>0</v>
          </cell>
          <cell r="BM181" t="e">
            <v>#N/A</v>
          </cell>
          <cell r="BN181" t="e">
            <v>#N/A</v>
          </cell>
          <cell r="BO181" t="e">
            <v>#N/A</v>
          </cell>
          <cell r="BP181" t="e">
            <v>#N/A</v>
          </cell>
          <cell r="BQ181" t="e">
            <v>#N/A</v>
          </cell>
          <cell r="BR181">
            <v>-0.38784232365145227</v>
          </cell>
          <cell r="BT181">
            <v>-0.38784232365145227</v>
          </cell>
          <cell r="BU181" t="e">
            <v>#N/A</v>
          </cell>
          <cell r="BV181" t="e">
            <v>#N/A</v>
          </cell>
          <cell r="BW181" t="e">
            <v>#N/A</v>
          </cell>
          <cell r="BX181" t="e">
            <v>#N/A</v>
          </cell>
          <cell r="BY181" t="e">
            <v>#N/A</v>
          </cell>
          <cell r="BZ181" t="str">
            <v>CDI</v>
          </cell>
          <cell r="CA181" t="str">
            <v/>
          </cell>
          <cell r="CB181" t="str">
            <v/>
          </cell>
          <cell r="CC181" t="str">
            <v>BANQUE</v>
          </cell>
          <cell r="CD181" t="str">
            <v>216-Hevea</v>
          </cell>
          <cell r="CE181">
            <v>216</v>
          </cell>
        </row>
        <row r="182">
          <cell r="B182" t="str">
            <v>07200</v>
          </cell>
          <cell r="C182" t="str">
            <v>MAKANUA NLANDU FERGANI</v>
          </cell>
          <cell r="D182" t="str">
            <v>Banquet</v>
          </cell>
          <cell r="E182" t="str">
            <v>00018000360002433120056</v>
          </cell>
          <cell r="F182" t="str">
            <v>11983471837P</v>
          </cell>
          <cell r="G182" t="str">
            <v>Waiter</v>
          </cell>
          <cell r="H182">
            <v>5.8</v>
          </cell>
          <cell r="I182">
            <v>6.65</v>
          </cell>
          <cell r="J182">
            <v>6.65</v>
          </cell>
          <cell r="K182" t="str">
            <v>TSP0-3.II</v>
          </cell>
          <cell r="L182" t="str">
            <v>TRAVAILLEUR SPECIALISE</v>
          </cell>
          <cell r="M182" t="str">
            <v>CATEGORIE 1 A 5</v>
          </cell>
          <cell r="N182" t="str">
            <v>TRAVAILLEUR SPECIALISE (TS), Echellon 0 , Classe 3</v>
          </cell>
          <cell r="P182">
            <v>43538</v>
          </cell>
          <cell r="Q182" t="e">
            <v>#N/A</v>
          </cell>
          <cell r="R182" t="e">
            <v>#N/A</v>
          </cell>
          <cell r="S182" t="e">
            <v>#N/A</v>
          </cell>
          <cell r="T182" t="e">
            <v>#N/A</v>
          </cell>
          <cell r="U182" t="e">
            <v>#N/A</v>
          </cell>
          <cell r="V182" t="e">
            <v>#N/A</v>
          </cell>
          <cell r="W182" t="e">
            <v>#N/A</v>
          </cell>
          <cell r="X182" t="e">
            <v>#N/A</v>
          </cell>
          <cell r="Y182" t="e">
            <v>#N/A</v>
          </cell>
          <cell r="Z182" t="e">
            <v>#N/A</v>
          </cell>
          <cell r="AA182" t="e">
            <v>#N/A</v>
          </cell>
          <cell r="AB182" t="e">
            <v>#N/A</v>
          </cell>
          <cell r="AC182" t="e">
            <v>#N/A</v>
          </cell>
          <cell r="AE182">
            <v>172.9</v>
          </cell>
          <cell r="AF182" t="e">
            <v>#N/A</v>
          </cell>
          <cell r="AG182" t="e">
            <v>#N/A</v>
          </cell>
          <cell r="AH182" t="e">
            <v>#N/A</v>
          </cell>
          <cell r="AI182" t="e">
            <v>#N/A</v>
          </cell>
          <cell r="AJ182" t="e">
            <v>#N/A</v>
          </cell>
          <cell r="AK182" t="e">
            <v>#N/A</v>
          </cell>
          <cell r="AL182" t="e">
            <v>#N/A</v>
          </cell>
          <cell r="AM182" t="e">
            <v>#N/A</v>
          </cell>
          <cell r="AN182">
            <v>0</v>
          </cell>
          <cell r="AR182" t="e">
            <v>#N/A</v>
          </cell>
          <cell r="AS182">
            <v>60</v>
          </cell>
          <cell r="AT182" t="e">
            <v>#N/A</v>
          </cell>
          <cell r="AU182">
            <v>27.1</v>
          </cell>
          <cell r="AV182">
            <v>1</v>
          </cell>
          <cell r="AX182">
            <v>0</v>
          </cell>
          <cell r="AY182" t="e">
            <v>#N/A</v>
          </cell>
          <cell r="BA182">
            <v>1.94</v>
          </cell>
          <cell r="BB182" t="e">
            <v>#N/A</v>
          </cell>
          <cell r="BC182">
            <v>0</v>
          </cell>
          <cell r="BD182" t="e">
            <v>#N/A</v>
          </cell>
          <cell r="BE182" t="e">
            <v>#N/A</v>
          </cell>
          <cell r="BF182" t="e">
            <v>#N/A</v>
          </cell>
          <cell r="BL182">
            <v>0</v>
          </cell>
          <cell r="BM182" t="e">
            <v>#N/A</v>
          </cell>
          <cell r="BN182" t="e">
            <v>#N/A</v>
          </cell>
          <cell r="BO182" t="e">
            <v>#N/A</v>
          </cell>
          <cell r="BP182" t="e">
            <v>#N/A</v>
          </cell>
          <cell r="BQ182" t="e">
            <v>#N/A</v>
          </cell>
          <cell r="BR182">
            <v>-0.38784232365145227</v>
          </cell>
          <cell r="BT182">
            <v>-0.38784232365145227</v>
          </cell>
          <cell r="BU182" t="e">
            <v>#N/A</v>
          </cell>
          <cell r="BV182" t="e">
            <v>#N/A</v>
          </cell>
          <cell r="BW182" t="e">
            <v>#N/A</v>
          </cell>
          <cell r="BX182" t="e">
            <v>#N/A</v>
          </cell>
          <cell r="BY182" t="e">
            <v>#N/A</v>
          </cell>
          <cell r="BZ182" t="str">
            <v>CDI</v>
          </cell>
          <cell r="CA182" t="str">
            <v/>
          </cell>
          <cell r="CB182" t="str">
            <v/>
          </cell>
          <cell r="CC182" t="str">
            <v>BANQUE</v>
          </cell>
          <cell r="CD182" t="str">
            <v>251-Banquet</v>
          </cell>
          <cell r="CE182">
            <v>251</v>
          </cell>
        </row>
        <row r="183">
          <cell r="B183" t="str">
            <v>07202</v>
          </cell>
          <cell r="C183" t="str">
            <v>KALAMBAYI TSHILUMBA DANNY</v>
          </cell>
          <cell r="D183" t="str">
            <v>Banquet</v>
          </cell>
          <cell r="E183" t="str">
            <v>00018000360002463120022</v>
          </cell>
          <cell r="F183" t="str">
            <v>11998471390D</v>
          </cell>
          <cell r="G183" t="str">
            <v>Bartender</v>
          </cell>
          <cell r="H183">
            <v>5.8</v>
          </cell>
          <cell r="I183">
            <v>6.65</v>
          </cell>
          <cell r="J183">
            <v>6.65</v>
          </cell>
          <cell r="K183" t="str">
            <v>TSP0-3.II</v>
          </cell>
          <cell r="L183" t="str">
            <v>TRAVAILLEUR SPECIALISE</v>
          </cell>
          <cell r="M183" t="str">
            <v>CATEGORIE 1 A 5</v>
          </cell>
          <cell r="N183" t="str">
            <v>TRAVAILLEUR SPECIALISE (TS), Echellon 0 , Classe 3</v>
          </cell>
          <cell r="P183">
            <v>43542</v>
          </cell>
          <cell r="Q183" t="e">
            <v>#N/A</v>
          </cell>
          <cell r="R183" t="e">
            <v>#N/A</v>
          </cell>
          <cell r="S183" t="e">
            <v>#N/A</v>
          </cell>
          <cell r="T183" t="e">
            <v>#N/A</v>
          </cell>
          <cell r="U183" t="e">
            <v>#N/A</v>
          </cell>
          <cell r="V183" t="e">
            <v>#N/A</v>
          </cell>
          <cell r="W183" t="e">
            <v>#N/A</v>
          </cell>
          <cell r="X183" t="e">
            <v>#N/A</v>
          </cell>
          <cell r="Y183" t="e">
            <v>#N/A</v>
          </cell>
          <cell r="Z183" t="e">
            <v>#N/A</v>
          </cell>
          <cell r="AA183" t="e">
            <v>#N/A</v>
          </cell>
          <cell r="AB183" t="e">
            <v>#N/A</v>
          </cell>
          <cell r="AC183" t="e">
            <v>#N/A</v>
          </cell>
          <cell r="AE183">
            <v>172.9</v>
          </cell>
          <cell r="AF183" t="e">
            <v>#N/A</v>
          </cell>
          <cell r="AG183" t="e">
            <v>#N/A</v>
          </cell>
          <cell r="AH183" t="e">
            <v>#N/A</v>
          </cell>
          <cell r="AI183" t="e">
            <v>#N/A</v>
          </cell>
          <cell r="AJ183" t="e">
            <v>#N/A</v>
          </cell>
          <cell r="AK183" t="e">
            <v>#N/A</v>
          </cell>
          <cell r="AL183" t="e">
            <v>#N/A</v>
          </cell>
          <cell r="AM183" t="e">
            <v>#N/A</v>
          </cell>
          <cell r="AN183">
            <v>0</v>
          </cell>
          <cell r="AR183" t="e">
            <v>#N/A</v>
          </cell>
          <cell r="AS183">
            <v>60</v>
          </cell>
          <cell r="AT183" t="e">
            <v>#N/A</v>
          </cell>
          <cell r="AU183">
            <v>27.1</v>
          </cell>
          <cell r="AV183">
            <v>0</v>
          </cell>
          <cell r="AX183">
            <v>0</v>
          </cell>
          <cell r="AY183" t="e">
            <v>#N/A</v>
          </cell>
          <cell r="BA183">
            <v>2.48000000000002</v>
          </cell>
          <cell r="BB183" t="e">
            <v>#N/A</v>
          </cell>
          <cell r="BC183">
            <v>0</v>
          </cell>
          <cell r="BD183" t="e">
            <v>#N/A</v>
          </cell>
          <cell r="BE183" t="e">
            <v>#N/A</v>
          </cell>
          <cell r="BF183" t="e">
            <v>#N/A</v>
          </cell>
          <cell r="BL183">
            <v>0</v>
          </cell>
          <cell r="BM183" t="e">
            <v>#N/A</v>
          </cell>
          <cell r="BN183" t="e">
            <v>#N/A</v>
          </cell>
          <cell r="BO183" t="e">
            <v>#N/A</v>
          </cell>
          <cell r="BP183" t="e">
            <v>#N/A</v>
          </cell>
          <cell r="BQ183" t="e">
            <v>#N/A</v>
          </cell>
          <cell r="BR183">
            <v>-0.38784232365145227</v>
          </cell>
          <cell r="BT183">
            <v>-0.38784232365145227</v>
          </cell>
          <cell r="BU183" t="e">
            <v>#N/A</v>
          </cell>
          <cell r="BV183" t="e">
            <v>#N/A</v>
          </cell>
          <cell r="BW183" t="e">
            <v>#N/A</v>
          </cell>
          <cell r="BX183" t="e">
            <v>#N/A</v>
          </cell>
          <cell r="BY183" t="e">
            <v>#N/A</v>
          </cell>
          <cell r="BZ183" t="str">
            <v>CDI</v>
          </cell>
          <cell r="CA183" t="str">
            <v/>
          </cell>
          <cell r="CB183" t="str">
            <v/>
          </cell>
          <cell r="CC183" t="str">
            <v>BANQUE</v>
          </cell>
          <cell r="CD183" t="str">
            <v>251-Banquet</v>
          </cell>
          <cell r="CE183">
            <v>251</v>
          </cell>
        </row>
        <row r="184">
          <cell r="B184" t="str">
            <v>07205</v>
          </cell>
          <cell r="C184" t="str">
            <v>KABASELE NKONGOLO HERITIER</v>
          </cell>
          <cell r="D184" t="str">
            <v>Lobby Bar</v>
          </cell>
          <cell r="E184" t="str">
            <v>00018000388200062347197</v>
          </cell>
          <cell r="F184" t="str">
            <v>11989349024M</v>
          </cell>
          <cell r="G184" t="str">
            <v>Income auditor clerck-F&amp;B</v>
          </cell>
          <cell r="H184">
            <v>6.65</v>
          </cell>
          <cell r="I184">
            <v>7.7</v>
          </cell>
          <cell r="J184">
            <v>7.6999999999999993</v>
          </cell>
          <cell r="K184" t="str">
            <v>TSQ1-4.III</v>
          </cell>
          <cell r="L184" t="str">
            <v>TRAVAILLEUR SEMI QUALIFIE</v>
          </cell>
          <cell r="M184" t="str">
            <v>CATEGORIE 1 A 5</v>
          </cell>
          <cell r="N184" t="str">
            <v>TRAVAILLEUR SEMI QUALIFIE (TSQ), Echellon 1, Classe 4</v>
          </cell>
          <cell r="P184">
            <v>43559</v>
          </cell>
          <cell r="Q184" t="e">
            <v>#N/A</v>
          </cell>
          <cell r="R184" t="e">
            <v>#N/A</v>
          </cell>
          <cell r="S184" t="e">
            <v>#N/A</v>
          </cell>
          <cell r="T184" t="e">
            <v>#N/A</v>
          </cell>
          <cell r="U184" t="e">
            <v>#N/A</v>
          </cell>
          <cell r="V184" t="e">
            <v>#N/A</v>
          </cell>
          <cell r="W184" t="e">
            <v>#N/A</v>
          </cell>
          <cell r="X184" t="e">
            <v>#N/A</v>
          </cell>
          <cell r="Y184" t="e">
            <v>#N/A</v>
          </cell>
          <cell r="Z184" t="e">
            <v>#N/A</v>
          </cell>
          <cell r="AA184" t="e">
            <v>#N/A</v>
          </cell>
          <cell r="AB184" t="e">
            <v>#N/A</v>
          </cell>
          <cell r="AC184" t="e">
            <v>#N/A</v>
          </cell>
          <cell r="AE184">
            <v>200.2</v>
          </cell>
          <cell r="AF184" t="e">
            <v>#N/A</v>
          </cell>
          <cell r="AG184" t="e">
            <v>#N/A</v>
          </cell>
          <cell r="AH184" t="e">
            <v>#N/A</v>
          </cell>
          <cell r="AI184" t="e">
            <v>#N/A</v>
          </cell>
          <cell r="AJ184" t="e">
            <v>#N/A</v>
          </cell>
          <cell r="AK184" t="e">
            <v>#N/A</v>
          </cell>
          <cell r="AL184" t="e">
            <v>#N/A</v>
          </cell>
          <cell r="AM184" t="e">
            <v>#N/A</v>
          </cell>
          <cell r="AN184">
            <v>0</v>
          </cell>
          <cell r="AO184">
            <v>30</v>
          </cell>
          <cell r="AR184" t="e">
            <v>#N/A</v>
          </cell>
          <cell r="AS184">
            <v>60</v>
          </cell>
          <cell r="AT184" t="e">
            <v>#N/A</v>
          </cell>
          <cell r="AU184">
            <v>33.799999999999997</v>
          </cell>
          <cell r="AV184">
            <v>2</v>
          </cell>
          <cell r="AX184">
            <v>0</v>
          </cell>
          <cell r="AY184" t="e">
            <v>#N/A</v>
          </cell>
          <cell r="AZ184">
            <v>100</v>
          </cell>
          <cell r="BA184">
            <v>3.1600000000000201</v>
          </cell>
          <cell r="BB184" t="e">
            <v>#N/A</v>
          </cell>
          <cell r="BC184">
            <v>0</v>
          </cell>
          <cell r="BD184" t="e">
            <v>#N/A</v>
          </cell>
          <cell r="BE184" t="e">
            <v>#N/A</v>
          </cell>
          <cell r="BF184" t="e">
            <v>#N/A</v>
          </cell>
          <cell r="BL184">
            <v>0</v>
          </cell>
          <cell r="BM184" t="e">
            <v>#N/A</v>
          </cell>
          <cell r="BN184" t="e">
            <v>#N/A</v>
          </cell>
          <cell r="BO184" t="e">
            <v>#N/A</v>
          </cell>
          <cell r="BP184" t="e">
            <v>#N/A</v>
          </cell>
          <cell r="BQ184" t="e">
            <v>#N/A</v>
          </cell>
          <cell r="BR184">
            <v>-0.38784232365145227</v>
          </cell>
          <cell r="BT184">
            <v>-0.38784232365145227</v>
          </cell>
          <cell r="BU184" t="e">
            <v>#N/A</v>
          </cell>
          <cell r="BV184" t="e">
            <v>#N/A</v>
          </cell>
          <cell r="BW184" t="e">
            <v>#N/A</v>
          </cell>
          <cell r="BX184" t="e">
            <v>#N/A</v>
          </cell>
          <cell r="BY184" t="e">
            <v>#N/A</v>
          </cell>
          <cell r="BZ184" t="str">
            <v>CDI</v>
          </cell>
          <cell r="CA184" t="str">
            <v/>
          </cell>
          <cell r="CB184" t="str">
            <v/>
          </cell>
          <cell r="CC184" t="str">
            <v>BANQUE</v>
          </cell>
          <cell r="CD184" t="str">
            <v>215-Lobby Bar</v>
          </cell>
          <cell r="CE184">
            <v>215</v>
          </cell>
        </row>
        <row r="185">
          <cell r="B185" t="str">
            <v>07209</v>
          </cell>
          <cell r="C185" t="str">
            <v>ILEKO GLOIRE</v>
          </cell>
          <cell r="D185" t="str">
            <v>Housekeeping</v>
          </cell>
          <cell r="E185" t="str">
            <v>00018000490000044120053</v>
          </cell>
          <cell r="F185" t="str">
            <v>11993470046J</v>
          </cell>
          <cell r="G185" t="str">
            <v>Floor Supervisor</v>
          </cell>
          <cell r="H185">
            <v>10.3</v>
          </cell>
          <cell r="I185">
            <v>11.85</v>
          </cell>
          <cell r="J185">
            <v>11.850000000000001</v>
          </cell>
          <cell r="K185" t="str">
            <v>TRQ1-7.IV</v>
          </cell>
          <cell r="L185" t="str">
            <v>TRAVAILLEUR QUALIFIE</v>
          </cell>
          <cell r="M185" t="str">
            <v>CATEGORIE 1 A 5</v>
          </cell>
          <cell r="N185" t="str">
            <v>TRAVAILLEUR QUALIFIE (TQ), Echellon 1, Classe 7</v>
          </cell>
          <cell r="P185">
            <v>43558</v>
          </cell>
          <cell r="Q185" t="e">
            <v>#N/A</v>
          </cell>
          <cell r="R185" t="e">
            <v>#N/A</v>
          </cell>
          <cell r="S185" t="e">
            <v>#N/A</v>
          </cell>
          <cell r="T185" t="e">
            <v>#N/A</v>
          </cell>
          <cell r="U185" t="e">
            <v>#N/A</v>
          </cell>
          <cell r="V185" t="e">
            <v>#N/A</v>
          </cell>
          <cell r="W185" t="e">
            <v>#N/A</v>
          </cell>
          <cell r="X185" t="e">
            <v>#N/A</v>
          </cell>
          <cell r="Y185" t="e">
            <v>#N/A</v>
          </cell>
          <cell r="Z185" t="e">
            <v>#N/A</v>
          </cell>
          <cell r="AA185" t="e">
            <v>#N/A</v>
          </cell>
          <cell r="AB185" t="e">
            <v>#N/A</v>
          </cell>
          <cell r="AC185" t="e">
            <v>#N/A</v>
          </cell>
          <cell r="AE185">
            <v>308.10000000000002</v>
          </cell>
          <cell r="AF185" t="e">
            <v>#N/A</v>
          </cell>
          <cell r="AG185" t="e">
            <v>#N/A</v>
          </cell>
          <cell r="AH185" t="e">
            <v>#N/A</v>
          </cell>
          <cell r="AI185" t="e">
            <v>#N/A</v>
          </cell>
          <cell r="AJ185" t="e">
            <v>#N/A</v>
          </cell>
          <cell r="AK185" t="e">
            <v>#N/A</v>
          </cell>
          <cell r="AL185" t="e">
            <v>#N/A</v>
          </cell>
          <cell r="AM185" t="e">
            <v>#N/A</v>
          </cell>
          <cell r="AN185">
            <v>0</v>
          </cell>
          <cell r="AR185" t="e">
            <v>#N/A</v>
          </cell>
          <cell r="AS185">
            <v>55</v>
          </cell>
          <cell r="AT185" t="e">
            <v>#N/A</v>
          </cell>
          <cell r="AU185">
            <v>46.21</v>
          </cell>
          <cell r="AV185">
            <v>0</v>
          </cell>
          <cell r="AX185">
            <v>0</v>
          </cell>
          <cell r="AY185" t="e">
            <v>#N/A</v>
          </cell>
          <cell r="BB185" t="e">
            <v>#N/A</v>
          </cell>
          <cell r="BC185">
            <v>0</v>
          </cell>
          <cell r="BD185" t="e">
            <v>#N/A</v>
          </cell>
          <cell r="BE185" t="e">
            <v>#N/A</v>
          </cell>
          <cell r="BF185" t="e">
            <v>#N/A</v>
          </cell>
          <cell r="BL185">
            <v>0</v>
          </cell>
          <cell r="BM185" t="e">
            <v>#N/A</v>
          </cell>
          <cell r="BN185" t="e">
            <v>#N/A</v>
          </cell>
          <cell r="BO185" t="e">
            <v>#N/A</v>
          </cell>
          <cell r="BP185" t="e">
            <v>#N/A</v>
          </cell>
          <cell r="BQ185" t="e">
            <v>#N/A</v>
          </cell>
          <cell r="BR185">
            <v>-0.38784232365145227</v>
          </cell>
          <cell r="BT185">
            <v>-0.38784232365145227</v>
          </cell>
          <cell r="BU185" t="e">
            <v>#N/A</v>
          </cell>
          <cell r="BV185" t="e">
            <v>#N/A</v>
          </cell>
          <cell r="BW185" t="e">
            <v>#N/A</v>
          </cell>
          <cell r="BX185" t="e">
            <v>#N/A</v>
          </cell>
          <cell r="BY185" t="e">
            <v>#N/A</v>
          </cell>
          <cell r="BZ185" t="str">
            <v>CDI</v>
          </cell>
          <cell r="CA185" t="str">
            <v/>
          </cell>
          <cell r="CB185" t="str">
            <v/>
          </cell>
          <cell r="CC185" t="str">
            <v>BANQUE</v>
          </cell>
          <cell r="CD185" t="str">
            <v>160-Housekeeping</v>
          </cell>
          <cell r="CE185">
            <v>160</v>
          </cell>
        </row>
        <row r="186">
          <cell r="B186" t="str">
            <v>07210</v>
          </cell>
          <cell r="C186" t="str">
            <v>MUTOMBO KAMANGA JOSAPHAT</v>
          </cell>
          <cell r="D186" t="str">
            <v>Housekeeping</v>
          </cell>
          <cell r="E186" t="str">
            <v>00018000490000045120026</v>
          </cell>
          <cell r="F186" t="str">
            <v>11980349016T</v>
          </cell>
          <cell r="G186" t="str">
            <v>Floor Supervisor</v>
          </cell>
          <cell r="H186">
            <v>10.3</v>
          </cell>
          <cell r="I186">
            <v>11.85</v>
          </cell>
          <cell r="J186">
            <v>11.850000000000001</v>
          </cell>
          <cell r="K186" t="str">
            <v>TRQ1-7.IV</v>
          </cell>
          <cell r="L186" t="str">
            <v>TRAVAILLEUR QUALIFIE</v>
          </cell>
          <cell r="M186" t="str">
            <v>CATEGORIE 1 A 5</v>
          </cell>
          <cell r="N186" t="str">
            <v>TRAVAILLEUR QUALIFIE (TQ), Echellon 1, Classe 7</v>
          </cell>
          <cell r="P186">
            <v>43558</v>
          </cell>
          <cell r="Q186" t="e">
            <v>#N/A</v>
          </cell>
          <cell r="R186" t="e">
            <v>#N/A</v>
          </cell>
          <cell r="S186" t="e">
            <v>#N/A</v>
          </cell>
          <cell r="T186" t="e">
            <v>#N/A</v>
          </cell>
          <cell r="U186" t="e">
            <v>#N/A</v>
          </cell>
          <cell r="V186" t="e">
            <v>#N/A</v>
          </cell>
          <cell r="W186" t="e">
            <v>#N/A</v>
          </cell>
          <cell r="X186" t="e">
            <v>#N/A</v>
          </cell>
          <cell r="Y186" t="e">
            <v>#N/A</v>
          </cell>
          <cell r="Z186" t="e">
            <v>#N/A</v>
          </cell>
          <cell r="AA186" t="e">
            <v>#N/A</v>
          </cell>
          <cell r="AB186" t="e">
            <v>#N/A</v>
          </cell>
          <cell r="AC186" t="e">
            <v>#N/A</v>
          </cell>
          <cell r="AE186">
            <v>308.10000000000002</v>
          </cell>
          <cell r="AF186" t="e">
            <v>#N/A</v>
          </cell>
          <cell r="AG186" t="e">
            <v>#N/A</v>
          </cell>
          <cell r="AH186" t="e">
            <v>#N/A</v>
          </cell>
          <cell r="AI186" t="e">
            <v>#N/A</v>
          </cell>
          <cell r="AJ186" t="e">
            <v>#N/A</v>
          </cell>
          <cell r="AK186" t="e">
            <v>#N/A</v>
          </cell>
          <cell r="AL186" t="e">
            <v>#N/A</v>
          </cell>
          <cell r="AM186" t="e">
            <v>#N/A</v>
          </cell>
          <cell r="AN186">
            <v>0</v>
          </cell>
          <cell r="AR186" t="e">
            <v>#N/A</v>
          </cell>
          <cell r="AS186">
            <v>65</v>
          </cell>
          <cell r="AT186" t="e">
            <v>#N/A</v>
          </cell>
          <cell r="AU186">
            <v>61.9</v>
          </cell>
          <cell r="AV186">
            <v>0</v>
          </cell>
          <cell r="AX186">
            <v>0</v>
          </cell>
          <cell r="AY186" t="e">
            <v>#N/A</v>
          </cell>
          <cell r="BA186">
            <v>3.49000000000001</v>
          </cell>
          <cell r="BB186" t="e">
            <v>#N/A</v>
          </cell>
          <cell r="BD186" t="e">
            <v>#N/A</v>
          </cell>
          <cell r="BE186" t="e">
            <v>#N/A</v>
          </cell>
          <cell r="BF186" t="e">
            <v>#N/A</v>
          </cell>
          <cell r="BL186">
            <v>0</v>
          </cell>
          <cell r="BM186" t="e">
            <v>#N/A</v>
          </cell>
          <cell r="BN186" t="e">
            <v>#N/A</v>
          </cell>
          <cell r="BO186" t="e">
            <v>#N/A</v>
          </cell>
          <cell r="BP186" t="e">
            <v>#N/A</v>
          </cell>
          <cell r="BQ186" t="e">
            <v>#N/A</v>
          </cell>
          <cell r="BR186">
            <v>-0.38784232365145227</v>
          </cell>
          <cell r="BT186">
            <v>-0.38784232365145227</v>
          </cell>
          <cell r="BU186" t="e">
            <v>#N/A</v>
          </cell>
          <cell r="BV186" t="e">
            <v>#N/A</v>
          </cell>
          <cell r="BW186" t="e">
            <v>#N/A</v>
          </cell>
          <cell r="BX186" t="e">
            <v>#N/A</v>
          </cell>
          <cell r="BY186" t="e">
            <v>#N/A</v>
          </cell>
          <cell r="BZ186" t="str">
            <v>CDI</v>
          </cell>
          <cell r="CA186" t="str">
            <v/>
          </cell>
          <cell r="CB186" t="str">
            <v/>
          </cell>
          <cell r="CC186" t="str">
            <v>BANQUE</v>
          </cell>
          <cell r="CD186" t="str">
            <v>160-Housekeeping</v>
          </cell>
          <cell r="CE186">
            <v>160</v>
          </cell>
        </row>
        <row r="187">
          <cell r="B187" t="str">
            <v>07214</v>
          </cell>
          <cell r="C187" t="str">
            <v>SEFU BIN TWAYIBU SERGE</v>
          </cell>
          <cell r="D187" t="str">
            <v>Front Office</v>
          </cell>
          <cell r="E187" t="str">
            <v>00018000361002525120044</v>
          </cell>
          <cell r="F187" t="str">
            <v>11989349039E</v>
          </cell>
          <cell r="G187" t="str">
            <v>Doorman</v>
          </cell>
          <cell r="H187">
            <v>5</v>
          </cell>
          <cell r="I187">
            <v>5.8</v>
          </cell>
          <cell r="J187">
            <v>5.8000000000000007</v>
          </cell>
          <cell r="K187" t="str">
            <v>MAL1-2.I</v>
          </cell>
          <cell r="L187" t="str">
            <v>MANOEUVRE LOURD</v>
          </cell>
          <cell r="M187" t="str">
            <v>CATEGORIE 1 A 5</v>
          </cell>
          <cell r="N187" t="str">
            <v>MANŒUVRE LOURD (ML), Echellon 2, Classe 2</v>
          </cell>
          <cell r="P187">
            <v>43588</v>
          </cell>
          <cell r="Q187" t="e">
            <v>#N/A</v>
          </cell>
          <cell r="R187" t="e">
            <v>#N/A</v>
          </cell>
          <cell r="S187" t="e">
            <v>#N/A</v>
          </cell>
          <cell r="T187" t="e">
            <v>#N/A</v>
          </cell>
          <cell r="U187" t="e">
            <v>#N/A</v>
          </cell>
          <cell r="V187" t="e">
            <v>#N/A</v>
          </cell>
          <cell r="W187" t="e">
            <v>#N/A</v>
          </cell>
          <cell r="X187" t="e">
            <v>#N/A</v>
          </cell>
          <cell r="Y187" t="e">
            <v>#N/A</v>
          </cell>
          <cell r="Z187" t="e">
            <v>#N/A</v>
          </cell>
          <cell r="AA187" t="e">
            <v>#N/A</v>
          </cell>
          <cell r="AB187" t="e">
            <v>#N/A</v>
          </cell>
          <cell r="AC187" t="e">
            <v>#N/A</v>
          </cell>
          <cell r="AE187">
            <v>150.80000000000001</v>
          </cell>
          <cell r="AF187" t="e">
            <v>#N/A</v>
          </cell>
          <cell r="AG187" t="e">
            <v>#N/A</v>
          </cell>
          <cell r="AH187" t="e">
            <v>#N/A</v>
          </cell>
          <cell r="AI187" t="e">
            <v>#N/A</v>
          </cell>
          <cell r="AJ187" t="e">
            <v>#N/A</v>
          </cell>
          <cell r="AK187" t="e">
            <v>#N/A</v>
          </cell>
          <cell r="AL187" t="e">
            <v>#N/A</v>
          </cell>
          <cell r="AM187" t="e">
            <v>#N/A</v>
          </cell>
          <cell r="AN187">
            <v>0</v>
          </cell>
          <cell r="AR187" t="e">
            <v>#N/A</v>
          </cell>
          <cell r="AS187">
            <v>60</v>
          </cell>
          <cell r="AT187" t="e">
            <v>#N/A</v>
          </cell>
          <cell r="AU187">
            <v>39.200000000000003</v>
          </cell>
          <cell r="AV187">
            <v>0</v>
          </cell>
          <cell r="AX187">
            <v>0</v>
          </cell>
          <cell r="AY187" t="e">
            <v>#N/A</v>
          </cell>
          <cell r="BA187">
            <v>0.12999999999999501</v>
          </cell>
          <cell r="BB187" t="e">
            <v>#N/A</v>
          </cell>
          <cell r="BC187">
            <v>0</v>
          </cell>
          <cell r="BD187" t="e">
            <v>#N/A</v>
          </cell>
          <cell r="BE187" t="e">
            <v>#N/A</v>
          </cell>
          <cell r="BF187" t="e">
            <v>#N/A</v>
          </cell>
          <cell r="BL187">
            <v>0</v>
          </cell>
          <cell r="BM187" t="e">
            <v>#N/A</v>
          </cell>
          <cell r="BN187" t="e">
            <v>#N/A</v>
          </cell>
          <cell r="BO187" t="e">
            <v>#N/A</v>
          </cell>
          <cell r="BP187" t="e">
            <v>#N/A</v>
          </cell>
          <cell r="BQ187" t="e">
            <v>#N/A</v>
          </cell>
          <cell r="BR187">
            <v>-0.38784232365145227</v>
          </cell>
          <cell r="BT187">
            <v>-0.38784232365145227</v>
          </cell>
          <cell r="BU187" t="e">
            <v>#N/A</v>
          </cell>
          <cell r="BV187" t="e">
            <v>#N/A</v>
          </cell>
          <cell r="BW187" t="e">
            <v>#N/A</v>
          </cell>
          <cell r="BX187" t="e">
            <v>#N/A</v>
          </cell>
          <cell r="BY187" t="e">
            <v>#N/A</v>
          </cell>
          <cell r="BZ187" t="str">
            <v>CDI</v>
          </cell>
          <cell r="CA187" t="str">
            <v/>
          </cell>
          <cell r="CB187" t="str">
            <v/>
          </cell>
          <cell r="CC187" t="str">
            <v>BANQUE</v>
          </cell>
          <cell r="CD187" t="str">
            <v>120-Front Office</v>
          </cell>
          <cell r="CE187">
            <v>120</v>
          </cell>
        </row>
        <row r="188">
          <cell r="B188" t="str">
            <v>07221</v>
          </cell>
          <cell r="C188" t="str">
            <v>MWANZA BEYA BIENVENU</v>
          </cell>
          <cell r="D188" t="str">
            <v>House Laundry</v>
          </cell>
          <cell r="E188" t="str">
            <v>00011050388200063254535</v>
          </cell>
          <cell r="F188" t="str">
            <v>11988419757O</v>
          </cell>
          <cell r="G188" t="str">
            <v>Laundry Attendant</v>
          </cell>
          <cell r="H188">
            <v>0</v>
          </cell>
          <cell r="I188">
            <v>5</v>
          </cell>
          <cell r="J188">
            <v>5</v>
          </cell>
          <cell r="K188" t="str">
            <v>MAO1-1.I</v>
          </cell>
          <cell r="L188" t="str">
            <v>MANŒUVRE ORDINAIRE</v>
          </cell>
          <cell r="M188" t="str">
            <v>CATEGORIE 1 A 5</v>
          </cell>
          <cell r="N188" t="str">
            <v>MANŒUVRE ORDINAIRE (MO), Echellon 1, Classe 1</v>
          </cell>
          <cell r="P188">
            <v>43636</v>
          </cell>
          <cell r="Q188" t="e">
            <v>#N/A</v>
          </cell>
          <cell r="R188" t="e">
            <v>#N/A</v>
          </cell>
          <cell r="S188" t="e">
            <v>#N/A</v>
          </cell>
          <cell r="T188" t="e">
            <v>#N/A</v>
          </cell>
          <cell r="U188" t="e">
            <v>#N/A</v>
          </cell>
          <cell r="V188" t="e">
            <v>#N/A</v>
          </cell>
          <cell r="W188" t="e">
            <v>#N/A</v>
          </cell>
          <cell r="X188" t="e">
            <v>#N/A</v>
          </cell>
          <cell r="Y188" t="e">
            <v>#N/A</v>
          </cell>
          <cell r="Z188" t="e">
            <v>#N/A</v>
          </cell>
          <cell r="AA188" t="e">
            <v>#N/A</v>
          </cell>
          <cell r="AB188" t="e">
            <v>#N/A</v>
          </cell>
          <cell r="AC188" t="e">
            <v>#N/A</v>
          </cell>
          <cell r="AE188">
            <v>130</v>
          </cell>
          <cell r="AF188" t="e">
            <v>#N/A</v>
          </cell>
          <cell r="AG188" t="e">
            <v>#N/A</v>
          </cell>
          <cell r="AH188" t="e">
            <v>#N/A</v>
          </cell>
          <cell r="AI188" t="e">
            <v>#N/A</v>
          </cell>
          <cell r="AJ188" t="e">
            <v>#N/A</v>
          </cell>
          <cell r="AK188" t="e">
            <v>#N/A</v>
          </cell>
          <cell r="AL188" t="e">
            <v>#N/A</v>
          </cell>
          <cell r="AM188" t="e">
            <v>#N/A</v>
          </cell>
          <cell r="AN188">
            <v>0</v>
          </cell>
          <cell r="AR188" t="e">
            <v>#N/A</v>
          </cell>
          <cell r="AS188">
            <v>55</v>
          </cell>
          <cell r="AT188" t="e">
            <v>#N/A</v>
          </cell>
          <cell r="AU188">
            <v>30</v>
          </cell>
          <cell r="AV188">
            <v>0</v>
          </cell>
          <cell r="AX188">
            <v>20</v>
          </cell>
          <cell r="AY188" t="e">
            <v>#N/A</v>
          </cell>
          <cell r="BA188">
            <v>0</v>
          </cell>
          <cell r="BB188" t="e">
            <v>#N/A</v>
          </cell>
          <cell r="BC188">
            <v>0</v>
          </cell>
          <cell r="BD188" t="e">
            <v>#N/A</v>
          </cell>
          <cell r="BE188" t="e">
            <v>#N/A</v>
          </cell>
          <cell r="BF188" t="e">
            <v>#N/A</v>
          </cell>
          <cell r="BL188">
            <v>0</v>
          </cell>
          <cell r="BM188" t="e">
            <v>#N/A</v>
          </cell>
          <cell r="BN188" t="e">
            <v>#N/A</v>
          </cell>
          <cell r="BO188" t="e">
            <v>#N/A</v>
          </cell>
          <cell r="BP188" t="e">
            <v>#N/A</v>
          </cell>
          <cell r="BQ188" t="e">
            <v>#N/A</v>
          </cell>
          <cell r="BR188">
            <v>-0.38784232365145227</v>
          </cell>
          <cell r="BT188">
            <v>-0.38784232365145227</v>
          </cell>
          <cell r="BU188" t="e">
            <v>#N/A</v>
          </cell>
          <cell r="BV188" t="e">
            <v>#N/A</v>
          </cell>
          <cell r="BW188" t="e">
            <v>#N/A</v>
          </cell>
          <cell r="BX188" t="e">
            <v>#N/A</v>
          </cell>
          <cell r="BY188" t="e">
            <v>#N/A</v>
          </cell>
          <cell r="BZ188" t="str">
            <v>CDI</v>
          </cell>
          <cell r="CA188" t="str">
            <v/>
          </cell>
          <cell r="CB188" t="str">
            <v/>
          </cell>
          <cell r="CC188" t="str">
            <v>BANQUE</v>
          </cell>
          <cell r="CD188" t="str">
            <v>972-House Laundry</v>
          </cell>
          <cell r="CE188">
            <v>972</v>
          </cell>
        </row>
        <row r="189">
          <cell r="B189" t="str">
            <v>07222</v>
          </cell>
          <cell r="C189" t="str">
            <v>MPANGAZA LWABOSHI ESAIE</v>
          </cell>
          <cell r="D189" t="str">
            <v>Front Office</v>
          </cell>
          <cell r="E189" t="str">
            <v>00018000490000072120073</v>
          </cell>
          <cell r="F189" t="str">
            <v>11991488893P</v>
          </cell>
          <cell r="G189" t="str">
            <v>Doorman</v>
          </cell>
          <cell r="H189">
            <v>5</v>
          </cell>
          <cell r="I189">
            <v>5.8</v>
          </cell>
          <cell r="J189">
            <v>5.8000000000000007</v>
          </cell>
          <cell r="K189" t="str">
            <v>MAL1-2.I</v>
          </cell>
          <cell r="L189" t="str">
            <v>MANOEUVRE LOURD</v>
          </cell>
          <cell r="M189" t="str">
            <v>CATEGORIE 1 A 5</v>
          </cell>
          <cell r="N189" t="str">
            <v>MANŒUVRE LOURD (ML), Echellon 2, Classe 2</v>
          </cell>
          <cell r="P189">
            <v>43639</v>
          </cell>
          <cell r="Q189" t="e">
            <v>#N/A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 t="e">
            <v>#N/A</v>
          </cell>
          <cell r="Y189" t="e">
            <v>#N/A</v>
          </cell>
          <cell r="Z189" t="e">
            <v>#N/A</v>
          </cell>
          <cell r="AA189" t="e">
            <v>#N/A</v>
          </cell>
          <cell r="AB189" t="e">
            <v>#N/A</v>
          </cell>
          <cell r="AC189" t="e">
            <v>#N/A</v>
          </cell>
          <cell r="AE189">
            <v>150.80000000000001</v>
          </cell>
          <cell r="AF189" t="e">
            <v>#N/A</v>
          </cell>
          <cell r="AG189" t="e">
            <v>#N/A</v>
          </cell>
          <cell r="AH189" t="e">
            <v>#N/A</v>
          </cell>
          <cell r="AI189" t="e">
            <v>#N/A</v>
          </cell>
          <cell r="AJ189" t="e">
            <v>#N/A</v>
          </cell>
          <cell r="AK189" t="e">
            <v>#N/A</v>
          </cell>
          <cell r="AL189" t="e">
            <v>#N/A</v>
          </cell>
          <cell r="AM189" t="e">
            <v>#N/A</v>
          </cell>
          <cell r="AN189">
            <v>0</v>
          </cell>
          <cell r="AR189" t="e">
            <v>#N/A</v>
          </cell>
          <cell r="AS189">
            <v>60</v>
          </cell>
          <cell r="AT189" t="e">
            <v>#N/A</v>
          </cell>
          <cell r="AU189">
            <v>39.200000000000003</v>
          </cell>
          <cell r="AV189">
            <v>0</v>
          </cell>
          <cell r="AX189">
            <v>0</v>
          </cell>
          <cell r="AY189" t="e">
            <v>#N/A</v>
          </cell>
          <cell r="BA189">
            <v>0.110000000000014</v>
          </cell>
          <cell r="BB189" t="e">
            <v>#N/A</v>
          </cell>
          <cell r="BC189">
            <v>0</v>
          </cell>
          <cell r="BD189" t="e">
            <v>#N/A</v>
          </cell>
          <cell r="BE189" t="e">
            <v>#N/A</v>
          </cell>
          <cell r="BF189" t="e">
            <v>#N/A</v>
          </cell>
          <cell r="BL189">
            <v>0</v>
          </cell>
          <cell r="BM189" t="e">
            <v>#N/A</v>
          </cell>
          <cell r="BN189" t="e">
            <v>#N/A</v>
          </cell>
          <cell r="BO189" t="e">
            <v>#N/A</v>
          </cell>
          <cell r="BP189" t="e">
            <v>#N/A</v>
          </cell>
          <cell r="BQ189" t="e">
            <v>#N/A</v>
          </cell>
          <cell r="BR189">
            <v>-0.38784232365145227</v>
          </cell>
          <cell r="BT189">
            <v>-0.38784232365145227</v>
          </cell>
          <cell r="BU189" t="e">
            <v>#N/A</v>
          </cell>
          <cell r="BV189" t="e">
            <v>#N/A</v>
          </cell>
          <cell r="BW189" t="e">
            <v>#N/A</v>
          </cell>
          <cell r="BX189" t="e">
            <v>#N/A</v>
          </cell>
          <cell r="BY189" t="e">
            <v>#N/A</v>
          </cell>
          <cell r="BZ189" t="str">
            <v>CDI</v>
          </cell>
          <cell r="CA189" t="str">
            <v/>
          </cell>
          <cell r="CB189" t="str">
            <v/>
          </cell>
          <cell r="CC189" t="str">
            <v>BANQUE</v>
          </cell>
          <cell r="CD189" t="str">
            <v>120-Front Office</v>
          </cell>
          <cell r="CE189">
            <v>120</v>
          </cell>
        </row>
        <row r="190">
          <cell r="B190" t="str">
            <v>07225</v>
          </cell>
          <cell r="C190" t="str">
            <v>MAMENGI EKIMA EDDY</v>
          </cell>
          <cell r="D190" t="str">
            <v>Guest Transportation</v>
          </cell>
          <cell r="E190" t="str">
            <v>00018000360002663120054</v>
          </cell>
          <cell r="F190" t="str">
            <v>11979470388O</v>
          </cell>
          <cell r="G190" t="str">
            <v>DRIVER</v>
          </cell>
          <cell r="H190">
            <v>5.8</v>
          </cell>
          <cell r="I190">
            <v>6.65</v>
          </cell>
          <cell r="J190">
            <v>6.65</v>
          </cell>
          <cell r="K190" t="str">
            <v>TSP0-3.II</v>
          </cell>
          <cell r="L190" t="str">
            <v>TRAVAILLEUR SPECIALISE</v>
          </cell>
          <cell r="M190" t="str">
            <v>CATEGORIE 1 A 5</v>
          </cell>
          <cell r="N190" t="str">
            <v>TRAVAILLEUR SPECIALISE (TS), Echellon 0 , Classe 3</v>
          </cell>
          <cell r="P190">
            <v>43656</v>
          </cell>
          <cell r="Q190" t="e">
            <v>#N/A</v>
          </cell>
          <cell r="R190" t="e">
            <v>#N/A</v>
          </cell>
          <cell r="S190" t="e">
            <v>#N/A</v>
          </cell>
          <cell r="T190" t="e">
            <v>#N/A</v>
          </cell>
          <cell r="U190" t="e">
            <v>#N/A</v>
          </cell>
          <cell r="V190" t="e">
            <v>#N/A</v>
          </cell>
          <cell r="W190" t="e">
            <v>#N/A</v>
          </cell>
          <cell r="X190" t="e">
            <v>#N/A</v>
          </cell>
          <cell r="Y190" t="e">
            <v>#N/A</v>
          </cell>
          <cell r="Z190" t="e">
            <v>#N/A</v>
          </cell>
          <cell r="AA190" t="e">
            <v>#N/A</v>
          </cell>
          <cell r="AB190" t="e">
            <v>#N/A</v>
          </cell>
          <cell r="AC190" t="e">
            <v>#N/A</v>
          </cell>
          <cell r="AE190">
            <v>172.9</v>
          </cell>
          <cell r="AF190" t="e">
            <v>#N/A</v>
          </cell>
          <cell r="AG190" t="e">
            <v>#N/A</v>
          </cell>
          <cell r="AH190" t="e">
            <v>#N/A</v>
          </cell>
          <cell r="AI190" t="e">
            <v>#N/A</v>
          </cell>
          <cell r="AJ190" t="e">
            <v>#N/A</v>
          </cell>
          <cell r="AK190" t="e">
            <v>#N/A</v>
          </cell>
          <cell r="AL190" t="e">
            <v>#N/A</v>
          </cell>
          <cell r="AM190" t="e">
            <v>#N/A</v>
          </cell>
          <cell r="AN190">
            <v>0</v>
          </cell>
          <cell r="AR190" t="e">
            <v>#N/A</v>
          </cell>
          <cell r="AS190">
            <v>60</v>
          </cell>
          <cell r="AT190" t="e">
            <v>#N/A</v>
          </cell>
          <cell r="AU190">
            <v>44.2</v>
          </cell>
          <cell r="AV190">
            <v>1</v>
          </cell>
          <cell r="AX190">
            <v>0</v>
          </cell>
          <cell r="AY190" t="e">
            <v>#N/A</v>
          </cell>
          <cell r="BA190">
            <v>0.110000000000014</v>
          </cell>
          <cell r="BB190" t="e">
            <v>#N/A</v>
          </cell>
          <cell r="BC190">
            <v>10</v>
          </cell>
          <cell r="BD190" t="e">
            <v>#N/A</v>
          </cell>
          <cell r="BE190" t="e">
            <v>#N/A</v>
          </cell>
          <cell r="BF190" t="e">
            <v>#N/A</v>
          </cell>
          <cell r="BL190">
            <v>0</v>
          </cell>
          <cell r="BM190" t="e">
            <v>#N/A</v>
          </cell>
          <cell r="BN190" t="e">
            <v>#N/A</v>
          </cell>
          <cell r="BO190" t="e">
            <v>#N/A</v>
          </cell>
          <cell r="BP190" t="e">
            <v>#N/A</v>
          </cell>
          <cell r="BQ190" t="e">
            <v>#N/A</v>
          </cell>
          <cell r="BR190">
            <v>-0.38784232365145227</v>
          </cell>
          <cell r="BT190">
            <v>-0.38784232365145227</v>
          </cell>
          <cell r="BU190" t="e">
            <v>#N/A</v>
          </cell>
          <cell r="BV190" t="e">
            <v>#N/A</v>
          </cell>
          <cell r="BW190" t="e">
            <v>#N/A</v>
          </cell>
          <cell r="BX190" t="e">
            <v>#N/A</v>
          </cell>
          <cell r="BY190" t="e">
            <v>#N/A</v>
          </cell>
          <cell r="BZ190" t="str">
            <v>CDI</v>
          </cell>
          <cell r="CA190" t="str">
            <v/>
          </cell>
          <cell r="CB190" t="str">
            <v/>
          </cell>
          <cell r="CC190" t="str">
            <v>BANQUE</v>
          </cell>
          <cell r="CD190" t="str">
            <v>481-Guest Transportation</v>
          </cell>
          <cell r="CE190">
            <v>481</v>
          </cell>
        </row>
        <row r="191">
          <cell r="B191" t="str">
            <v>07226</v>
          </cell>
          <cell r="C191" t="str">
            <v>IZUA KUSU REX</v>
          </cell>
          <cell r="D191" t="str">
            <v>Security</v>
          </cell>
          <cell r="E191" t="str">
            <v>00018000360135973120063</v>
          </cell>
          <cell r="F191" t="str">
            <v>11986471399J</v>
          </cell>
          <cell r="G191" t="str">
            <v>Agent de Securite</v>
          </cell>
          <cell r="H191">
            <v>5</v>
          </cell>
          <cell r="I191">
            <v>5.8</v>
          </cell>
          <cell r="J191">
            <v>5.8000000000000007</v>
          </cell>
          <cell r="K191" t="str">
            <v>MAL1-2.I</v>
          </cell>
          <cell r="L191" t="str">
            <v>MANOEUVRE LOURD</v>
          </cell>
          <cell r="M191" t="str">
            <v>CATEGORIE 1 A 5</v>
          </cell>
          <cell r="N191" t="str">
            <v>MANŒUVRE LOURD (ML), Echellon 2, Classe 2</v>
          </cell>
          <cell r="P191">
            <v>43643</v>
          </cell>
          <cell r="Q191" t="e">
            <v>#N/A</v>
          </cell>
          <cell r="R191" t="e">
            <v>#N/A</v>
          </cell>
          <cell r="S191" t="e">
            <v>#N/A</v>
          </cell>
          <cell r="T191" t="e">
            <v>#N/A</v>
          </cell>
          <cell r="U191" t="e">
            <v>#N/A</v>
          </cell>
          <cell r="V191" t="e">
            <v>#N/A</v>
          </cell>
          <cell r="W191" t="e">
            <v>#N/A</v>
          </cell>
          <cell r="X191" t="e">
            <v>#N/A</v>
          </cell>
          <cell r="Y191" t="e">
            <v>#N/A</v>
          </cell>
          <cell r="Z191" t="e">
            <v>#N/A</v>
          </cell>
          <cell r="AA191" t="e">
            <v>#N/A</v>
          </cell>
          <cell r="AB191" t="e">
            <v>#N/A</v>
          </cell>
          <cell r="AC191" t="e">
            <v>#N/A</v>
          </cell>
          <cell r="AE191">
            <v>150.80000000000001</v>
          </cell>
          <cell r="AF191" t="e">
            <v>#N/A</v>
          </cell>
          <cell r="AG191" t="e">
            <v>#N/A</v>
          </cell>
          <cell r="AH191" t="e">
            <v>#N/A</v>
          </cell>
          <cell r="AI191" t="e">
            <v>#N/A</v>
          </cell>
          <cell r="AJ191" t="e">
            <v>#N/A</v>
          </cell>
          <cell r="AK191" t="e">
            <v>#N/A</v>
          </cell>
          <cell r="AL191" t="e">
            <v>#N/A</v>
          </cell>
          <cell r="AM191" t="e">
            <v>#N/A</v>
          </cell>
          <cell r="AN191">
            <v>0</v>
          </cell>
          <cell r="AR191" t="e">
            <v>#N/A</v>
          </cell>
          <cell r="AS191">
            <v>60</v>
          </cell>
          <cell r="AT191" t="e">
            <v>#N/A</v>
          </cell>
          <cell r="AU191">
            <v>39.200000000000003</v>
          </cell>
          <cell r="AV191">
            <v>0</v>
          </cell>
          <cell r="AX191">
            <v>0</v>
          </cell>
          <cell r="AY191" t="e">
            <v>#N/A</v>
          </cell>
          <cell r="BA191">
            <v>7.00000000000216E-2</v>
          </cell>
          <cell r="BB191" t="e">
            <v>#N/A</v>
          </cell>
          <cell r="BC191">
            <v>0</v>
          </cell>
          <cell r="BD191" t="e">
            <v>#N/A</v>
          </cell>
          <cell r="BE191" t="e">
            <v>#N/A</v>
          </cell>
          <cell r="BF191" t="e">
            <v>#N/A</v>
          </cell>
          <cell r="BL191">
            <v>0</v>
          </cell>
          <cell r="BM191" t="e">
            <v>#N/A</v>
          </cell>
          <cell r="BN191" t="e">
            <v>#N/A</v>
          </cell>
          <cell r="BO191" t="e">
            <v>#N/A</v>
          </cell>
          <cell r="BP191" t="e">
            <v>#N/A</v>
          </cell>
          <cell r="BQ191" t="e">
            <v>#N/A</v>
          </cell>
          <cell r="BR191">
            <v>-0.38784232365145227</v>
          </cell>
          <cell r="BT191">
            <v>-0.38784232365145227</v>
          </cell>
          <cell r="BU191" t="e">
            <v>#N/A</v>
          </cell>
          <cell r="BV191" t="e">
            <v>#N/A</v>
          </cell>
          <cell r="BW191" t="e">
            <v>#N/A</v>
          </cell>
          <cell r="BX191" t="e">
            <v>#N/A</v>
          </cell>
          <cell r="BY191" t="e">
            <v>#N/A</v>
          </cell>
          <cell r="BZ191" t="str">
            <v>CDI</v>
          </cell>
          <cell r="CA191" t="str">
            <v/>
          </cell>
          <cell r="CB191" t="str">
            <v/>
          </cell>
          <cell r="CC191" t="str">
            <v>BANQUE</v>
          </cell>
          <cell r="CD191" t="str">
            <v>650-Security</v>
          </cell>
          <cell r="CE191">
            <v>650</v>
          </cell>
        </row>
        <row r="192">
          <cell r="B192" t="str">
            <v>07227</v>
          </cell>
          <cell r="C192" t="str">
            <v>WAY WAY GLODY</v>
          </cell>
          <cell r="D192" t="str">
            <v>Stewarding</v>
          </cell>
          <cell r="E192" t="str">
            <v>00018000360002173120092</v>
          </cell>
          <cell r="F192" t="str">
            <v>11997470462M</v>
          </cell>
          <cell r="G192" t="str">
            <v>Steward</v>
          </cell>
          <cell r="H192">
            <v>0</v>
          </cell>
          <cell r="I192">
            <v>5</v>
          </cell>
          <cell r="J192">
            <v>5</v>
          </cell>
          <cell r="K192" t="str">
            <v>MAO1-1.I</v>
          </cell>
          <cell r="L192" t="str">
            <v>MANŒUVRE ORDINAIRE</v>
          </cell>
          <cell r="M192" t="str">
            <v>CATEGORIE 1 A 5</v>
          </cell>
          <cell r="N192" t="str">
            <v>MANŒUVRE ORDINAIRE (MO), Echellon 1, Classe 1</v>
          </cell>
          <cell r="P192">
            <v>43654</v>
          </cell>
          <cell r="Q192" t="e">
            <v>#N/A</v>
          </cell>
          <cell r="R192" t="e">
            <v>#N/A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 t="e">
            <v>#N/A</v>
          </cell>
          <cell r="X192" t="e">
            <v>#N/A</v>
          </cell>
          <cell r="Y192" t="e">
            <v>#N/A</v>
          </cell>
          <cell r="Z192" t="e">
            <v>#N/A</v>
          </cell>
          <cell r="AA192" t="e">
            <v>#N/A</v>
          </cell>
          <cell r="AB192" t="e">
            <v>#N/A</v>
          </cell>
          <cell r="AC192" t="e">
            <v>#N/A</v>
          </cell>
          <cell r="AE192">
            <v>130</v>
          </cell>
          <cell r="AF192" t="e">
            <v>#N/A</v>
          </cell>
          <cell r="AG192" t="e">
            <v>#N/A</v>
          </cell>
          <cell r="AH192" t="e">
            <v>#N/A</v>
          </cell>
          <cell r="AI192" t="e">
            <v>#N/A</v>
          </cell>
          <cell r="AJ192" t="e">
            <v>#N/A</v>
          </cell>
          <cell r="AK192" t="e">
            <v>#N/A</v>
          </cell>
          <cell r="AL192" t="e">
            <v>#N/A</v>
          </cell>
          <cell r="AM192" t="e">
            <v>#N/A</v>
          </cell>
          <cell r="AN192">
            <v>0</v>
          </cell>
          <cell r="AR192" t="e">
            <v>#N/A</v>
          </cell>
          <cell r="AS192">
            <v>45</v>
          </cell>
          <cell r="AT192" t="e">
            <v>#N/A</v>
          </cell>
          <cell r="AU192">
            <v>36</v>
          </cell>
          <cell r="AV192">
            <v>1</v>
          </cell>
          <cell r="AX192">
            <v>0</v>
          </cell>
          <cell r="AY192" t="e">
            <v>#N/A</v>
          </cell>
          <cell r="BA192">
            <v>0</v>
          </cell>
          <cell r="BB192" t="e">
            <v>#N/A</v>
          </cell>
          <cell r="BC192">
            <v>0</v>
          </cell>
          <cell r="BD192" t="e">
            <v>#N/A</v>
          </cell>
          <cell r="BE192" t="e">
            <v>#N/A</v>
          </cell>
          <cell r="BF192" t="e">
            <v>#N/A</v>
          </cell>
          <cell r="BL192">
            <v>0</v>
          </cell>
          <cell r="BM192" t="e">
            <v>#N/A</v>
          </cell>
          <cell r="BN192" t="e">
            <v>#N/A</v>
          </cell>
          <cell r="BO192" t="e">
            <v>#N/A</v>
          </cell>
          <cell r="BP192" t="e">
            <v>#N/A</v>
          </cell>
          <cell r="BQ192" t="e">
            <v>#N/A</v>
          </cell>
          <cell r="BR192">
            <v>-0.38784232365145227</v>
          </cell>
          <cell r="BT192">
            <v>-0.38784232365145227</v>
          </cell>
          <cell r="BU192" t="e">
            <v>#N/A</v>
          </cell>
          <cell r="BV192" t="e">
            <v>#N/A</v>
          </cell>
          <cell r="BW192" t="e">
            <v>#N/A</v>
          </cell>
          <cell r="BX192" t="e">
            <v>#N/A</v>
          </cell>
          <cell r="BY192" t="e">
            <v>#N/A</v>
          </cell>
          <cell r="BZ192" t="str">
            <v>CDI</v>
          </cell>
          <cell r="CA192" t="str">
            <v/>
          </cell>
          <cell r="CB192" t="str">
            <v/>
          </cell>
          <cell r="CC192" t="str">
            <v>BANQUE</v>
          </cell>
          <cell r="CD192" t="str">
            <v>282-Stewarding</v>
          </cell>
          <cell r="CE192">
            <v>282</v>
          </cell>
        </row>
        <row r="193">
          <cell r="B193" t="str">
            <v>07249</v>
          </cell>
          <cell r="C193" t="str">
            <v>NZUNGU BATUMBUDILA TRESOR</v>
          </cell>
          <cell r="D193" t="str">
            <v>Property Operation and Maintenance</v>
          </cell>
          <cell r="E193" t="str">
            <v>00018000031200000030078</v>
          </cell>
          <cell r="F193" t="str">
            <v>11982471393C</v>
          </cell>
          <cell r="G193" t="str">
            <v>ELECTRICIEN</v>
          </cell>
          <cell r="H193">
            <v>6.65</v>
          </cell>
          <cell r="I193">
            <v>7.7</v>
          </cell>
          <cell r="J193">
            <v>7.6999999999999993</v>
          </cell>
          <cell r="K193" t="str">
            <v>TSQ1-4.III</v>
          </cell>
          <cell r="L193" t="str">
            <v>TRAVAILLEUR SEMI QUALIFIE</v>
          </cell>
          <cell r="M193" t="str">
            <v>CATEGORIE 1 A 5</v>
          </cell>
          <cell r="N193" t="str">
            <v>TRAVAILLEUR SEMI QUALIFIE (TSQ), Echellon 1, Classe 4</v>
          </cell>
          <cell r="P193">
            <v>43810</v>
          </cell>
          <cell r="Q193" t="e">
            <v>#N/A</v>
          </cell>
          <cell r="R193" t="e">
            <v>#N/A</v>
          </cell>
          <cell r="S193" t="e">
            <v>#N/A</v>
          </cell>
          <cell r="T193" t="e">
            <v>#N/A</v>
          </cell>
          <cell r="U193" t="e">
            <v>#N/A</v>
          </cell>
          <cell r="V193" t="e">
            <v>#N/A</v>
          </cell>
          <cell r="W193" t="e">
            <v>#N/A</v>
          </cell>
          <cell r="X193" t="e">
            <v>#N/A</v>
          </cell>
          <cell r="Y193" t="e">
            <v>#N/A</v>
          </cell>
          <cell r="Z193" t="e">
            <v>#N/A</v>
          </cell>
          <cell r="AA193" t="e">
            <v>#N/A</v>
          </cell>
          <cell r="AB193" t="e">
            <v>#N/A</v>
          </cell>
          <cell r="AC193" t="e">
            <v>#N/A</v>
          </cell>
          <cell r="AE193">
            <v>200.2</v>
          </cell>
          <cell r="AF193" t="e">
            <v>#N/A</v>
          </cell>
          <cell r="AG193" t="e">
            <v>#N/A</v>
          </cell>
          <cell r="AH193" t="e">
            <v>#N/A</v>
          </cell>
          <cell r="AI193" t="e">
            <v>#N/A</v>
          </cell>
          <cell r="AJ193" t="e">
            <v>#N/A</v>
          </cell>
          <cell r="AK193" t="e">
            <v>#N/A</v>
          </cell>
          <cell r="AL193" t="e">
            <v>#N/A</v>
          </cell>
          <cell r="AM193" t="e">
            <v>#N/A</v>
          </cell>
          <cell r="AN193">
            <v>0</v>
          </cell>
          <cell r="AR193" t="e">
            <v>#N/A</v>
          </cell>
          <cell r="AS193">
            <v>62</v>
          </cell>
          <cell r="AT193" t="e">
            <v>#N/A</v>
          </cell>
          <cell r="AU193">
            <v>33.799999999999997</v>
          </cell>
          <cell r="AV193">
            <v>1</v>
          </cell>
          <cell r="AX193">
            <v>0</v>
          </cell>
          <cell r="AY193" t="e">
            <v>#N/A</v>
          </cell>
          <cell r="BA193">
            <v>2.7799999999999701</v>
          </cell>
          <cell r="BB193" t="e">
            <v>#N/A</v>
          </cell>
          <cell r="BC193">
            <v>0</v>
          </cell>
          <cell r="BD193" t="e">
            <v>#N/A</v>
          </cell>
          <cell r="BE193" t="e">
            <v>#N/A</v>
          </cell>
          <cell r="BF193" t="e">
            <v>#N/A</v>
          </cell>
          <cell r="BL193">
            <v>0</v>
          </cell>
          <cell r="BM193" t="e">
            <v>#N/A</v>
          </cell>
          <cell r="BN193" t="e">
            <v>#N/A</v>
          </cell>
          <cell r="BO193" t="e">
            <v>#N/A</v>
          </cell>
          <cell r="BP193" t="e">
            <v>#N/A</v>
          </cell>
          <cell r="BQ193" t="e">
            <v>#N/A</v>
          </cell>
          <cell r="BR193">
            <v>-0.38784232365145227</v>
          </cell>
          <cell r="BT193">
            <v>-0.38784232365145227</v>
          </cell>
          <cell r="BU193" t="e">
            <v>#N/A</v>
          </cell>
          <cell r="BV193" t="e">
            <v>#N/A</v>
          </cell>
          <cell r="BW193" t="e">
            <v>#N/A</v>
          </cell>
          <cell r="BX193" t="e">
            <v>#N/A</v>
          </cell>
          <cell r="BY193" t="e">
            <v>#N/A</v>
          </cell>
          <cell r="BZ193" t="str">
            <v>CDI</v>
          </cell>
          <cell r="CA193" t="str">
            <v/>
          </cell>
          <cell r="CB193" t="str">
            <v/>
          </cell>
          <cell r="CC193" t="str">
            <v>BANQUE</v>
          </cell>
          <cell r="CD193" t="str">
            <v>810-Property Operation and Maintenance</v>
          </cell>
          <cell r="CE193">
            <v>810</v>
          </cell>
        </row>
        <row r="194">
          <cell r="B194" t="str">
            <v>07233</v>
          </cell>
          <cell r="C194" t="str">
            <v>CHRISTINE LUEMBE BOSOMBA</v>
          </cell>
          <cell r="D194" t="str">
            <v>La Riviera</v>
          </cell>
          <cell r="E194" t="str">
            <v>00018005036200000004608</v>
          </cell>
          <cell r="F194" t="str">
            <v>21989406298J</v>
          </cell>
          <cell r="G194" t="str">
            <v>Cashier</v>
          </cell>
          <cell r="H194">
            <v>6.65</v>
          </cell>
          <cell r="I194">
            <v>7.7</v>
          </cell>
          <cell r="J194">
            <v>7.6999999999999993</v>
          </cell>
          <cell r="K194" t="str">
            <v>TSQ1-4.III</v>
          </cell>
          <cell r="L194" t="str">
            <v>TRAVAILLEUR SEMI QUALIFIE</v>
          </cell>
          <cell r="M194" t="str">
            <v>CATEGORIE 1 A 5</v>
          </cell>
          <cell r="N194" t="str">
            <v>TRAVAILLEUR SEMI QUALIFIE (TSQ), Echellon 1, Classe 4</v>
          </cell>
          <cell r="P194">
            <v>44057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X194" t="e">
            <v>#N/A</v>
          </cell>
          <cell r="Y194" t="e">
            <v>#N/A</v>
          </cell>
          <cell r="Z194" t="e">
            <v>#N/A</v>
          </cell>
          <cell r="AA194" t="e">
            <v>#N/A</v>
          </cell>
          <cell r="AB194" t="e">
            <v>#N/A</v>
          </cell>
          <cell r="AC194" t="e">
            <v>#N/A</v>
          </cell>
          <cell r="AE194">
            <v>200.2</v>
          </cell>
          <cell r="AF194" t="e">
            <v>#N/A</v>
          </cell>
          <cell r="AG194" t="e">
            <v>#N/A</v>
          </cell>
          <cell r="AH194" t="e">
            <v>#N/A</v>
          </cell>
          <cell r="AI194" t="e">
            <v>#N/A</v>
          </cell>
          <cell r="AJ194" t="e">
            <v>#N/A</v>
          </cell>
          <cell r="AK194" t="e">
            <v>#N/A</v>
          </cell>
          <cell r="AL194" t="e">
            <v>#N/A</v>
          </cell>
          <cell r="AM194" t="e">
            <v>#N/A</v>
          </cell>
          <cell r="AN194">
            <v>0</v>
          </cell>
          <cell r="AO194">
            <v>30</v>
          </cell>
          <cell r="AR194" t="e">
            <v>#N/A</v>
          </cell>
          <cell r="AS194">
            <v>65</v>
          </cell>
          <cell r="AT194" t="e">
            <v>#N/A</v>
          </cell>
          <cell r="AU194">
            <v>29.8</v>
          </cell>
          <cell r="AV194">
            <v>0</v>
          </cell>
          <cell r="AX194">
            <v>0</v>
          </cell>
          <cell r="AY194" t="e">
            <v>#N/A</v>
          </cell>
          <cell r="BA194">
            <v>3.06</v>
          </cell>
          <cell r="BB194" t="e">
            <v>#N/A</v>
          </cell>
          <cell r="BD194" t="e">
            <v>#N/A</v>
          </cell>
          <cell r="BE194" t="e">
            <v>#N/A</v>
          </cell>
          <cell r="BF194" t="e">
            <v>#N/A</v>
          </cell>
          <cell r="BL194">
            <v>0</v>
          </cell>
          <cell r="BM194" t="e">
            <v>#N/A</v>
          </cell>
          <cell r="BN194" t="e">
            <v>#N/A</v>
          </cell>
          <cell r="BO194" t="e">
            <v>#N/A</v>
          </cell>
          <cell r="BP194" t="e">
            <v>#N/A</v>
          </cell>
          <cell r="BQ194" t="e">
            <v>#N/A</v>
          </cell>
          <cell r="BR194">
            <v>-0.38784232365145227</v>
          </cell>
          <cell r="BT194">
            <v>-0.38784232365145227</v>
          </cell>
          <cell r="BU194" t="e">
            <v>#N/A</v>
          </cell>
          <cell r="BV194" t="e">
            <v>#N/A</v>
          </cell>
          <cell r="BW194" t="e">
            <v>#N/A</v>
          </cell>
          <cell r="BX194" t="e">
            <v>#N/A</v>
          </cell>
          <cell r="BY194" t="e">
            <v>#N/A</v>
          </cell>
          <cell r="BZ194" t="str">
            <v>CDI</v>
          </cell>
          <cell r="CB194" t="str">
            <v/>
          </cell>
          <cell r="CC194" t="str">
            <v>BANQUE</v>
          </cell>
          <cell r="CD194" t="str">
            <v>212-La Riviera</v>
          </cell>
          <cell r="CE194">
            <v>212</v>
          </cell>
        </row>
        <row r="195">
          <cell r="B195" t="str">
            <v>07241</v>
          </cell>
          <cell r="C195" t="str">
            <v>PHILEMON BAAKA YEFA</v>
          </cell>
          <cell r="D195" t="str">
            <v>La Riviera</v>
          </cell>
          <cell r="E195" t="str">
            <v>00018005036200000004705</v>
          </cell>
          <cell r="F195" t="str">
            <v>11985571356C</v>
          </cell>
          <cell r="G195" t="str">
            <v>cashier</v>
          </cell>
          <cell r="H195">
            <v>6.65</v>
          </cell>
          <cell r="I195">
            <v>7.7</v>
          </cell>
          <cell r="J195">
            <v>7.6999999999999993</v>
          </cell>
          <cell r="K195" t="str">
            <v>TSQ1-4.III</v>
          </cell>
          <cell r="L195" t="str">
            <v>TRAVAILLEUR SEMI QUALIFIE</v>
          </cell>
          <cell r="M195" t="str">
            <v>CATEGORIE 1 A 5</v>
          </cell>
          <cell r="N195" t="str">
            <v>TRAVAILLEUR SEMI QUALIFIE (TSQ), Echellon 1, Classe 4</v>
          </cell>
          <cell r="P195">
            <v>44057</v>
          </cell>
          <cell r="Q195" t="e">
            <v>#N/A</v>
          </cell>
          <cell r="R195" t="e">
            <v>#N/A</v>
          </cell>
          <cell r="S195" t="e">
            <v>#N/A</v>
          </cell>
          <cell r="T195" t="e">
            <v>#N/A</v>
          </cell>
          <cell r="U195" t="e">
            <v>#N/A</v>
          </cell>
          <cell r="V195" t="e">
            <v>#N/A</v>
          </cell>
          <cell r="W195" t="e">
            <v>#N/A</v>
          </cell>
          <cell r="X195" t="e">
            <v>#N/A</v>
          </cell>
          <cell r="Y195" t="e">
            <v>#N/A</v>
          </cell>
          <cell r="Z195" t="e">
            <v>#N/A</v>
          </cell>
          <cell r="AA195" t="e">
            <v>#N/A</v>
          </cell>
          <cell r="AB195" t="e">
            <v>#N/A</v>
          </cell>
          <cell r="AC195" t="e">
            <v>#N/A</v>
          </cell>
          <cell r="AE195">
            <v>200.2</v>
          </cell>
          <cell r="AF195" t="e">
            <v>#N/A</v>
          </cell>
          <cell r="AG195" t="e">
            <v>#N/A</v>
          </cell>
          <cell r="AH195" t="e">
            <v>#N/A</v>
          </cell>
          <cell r="AI195" t="e">
            <v>#N/A</v>
          </cell>
          <cell r="AJ195" t="e">
            <v>#N/A</v>
          </cell>
          <cell r="AK195" t="e">
            <v>#N/A</v>
          </cell>
          <cell r="AL195" t="e">
            <v>#N/A</v>
          </cell>
          <cell r="AM195" t="e">
            <v>#N/A</v>
          </cell>
          <cell r="AN195">
            <v>0</v>
          </cell>
          <cell r="AO195">
            <v>30</v>
          </cell>
          <cell r="AR195" t="e">
            <v>#N/A</v>
          </cell>
          <cell r="AS195">
            <v>65</v>
          </cell>
          <cell r="AT195" t="e">
            <v>#N/A</v>
          </cell>
          <cell r="AU195">
            <v>29.8</v>
          </cell>
          <cell r="AV195">
            <v>2</v>
          </cell>
          <cell r="AX195">
            <v>0</v>
          </cell>
          <cell r="AY195" t="e">
            <v>#N/A</v>
          </cell>
          <cell r="BA195">
            <v>2.1700000000000199</v>
          </cell>
          <cell r="BB195" t="e">
            <v>#N/A</v>
          </cell>
          <cell r="BD195" t="e">
            <v>#N/A</v>
          </cell>
          <cell r="BE195" t="e">
            <v>#N/A</v>
          </cell>
          <cell r="BF195" t="e">
            <v>#N/A</v>
          </cell>
          <cell r="BL195">
            <v>0</v>
          </cell>
          <cell r="BM195" t="e">
            <v>#N/A</v>
          </cell>
          <cell r="BN195" t="e">
            <v>#N/A</v>
          </cell>
          <cell r="BO195" t="e">
            <v>#N/A</v>
          </cell>
          <cell r="BP195" t="e">
            <v>#N/A</v>
          </cell>
          <cell r="BQ195" t="e">
            <v>#N/A</v>
          </cell>
          <cell r="BR195">
            <v>-0.38784232365145227</v>
          </cell>
          <cell r="BT195">
            <v>-0.38784232365145227</v>
          </cell>
          <cell r="BU195" t="e">
            <v>#N/A</v>
          </cell>
          <cell r="BV195" t="e">
            <v>#N/A</v>
          </cell>
          <cell r="BW195" t="e">
            <v>#N/A</v>
          </cell>
          <cell r="BX195" t="e">
            <v>#N/A</v>
          </cell>
          <cell r="BY195" t="e">
            <v>#N/A</v>
          </cell>
          <cell r="BZ195" t="str">
            <v>CDI</v>
          </cell>
          <cell r="CB195" t="str">
            <v/>
          </cell>
          <cell r="CC195" t="str">
            <v>BANQUE</v>
          </cell>
          <cell r="CD195" t="str">
            <v>212-La Riviera</v>
          </cell>
          <cell r="CE195">
            <v>212</v>
          </cell>
        </row>
        <row r="196">
          <cell r="B196" t="str">
            <v>07245</v>
          </cell>
          <cell r="C196" t="str">
            <v>NKOSO KAFUWA NATHALIE</v>
          </cell>
          <cell r="D196" t="str">
            <v>Hevea</v>
          </cell>
          <cell r="E196" t="str">
            <v>00018005036200000011301</v>
          </cell>
          <cell r="F196" t="str">
            <v>21995406299A</v>
          </cell>
          <cell r="G196" t="str">
            <v>cashier</v>
          </cell>
          <cell r="H196">
            <v>6.65</v>
          </cell>
          <cell r="I196">
            <v>7.7</v>
          </cell>
          <cell r="J196">
            <v>7.6999999999999993</v>
          </cell>
          <cell r="K196" t="str">
            <v>TSQ1-4.III</v>
          </cell>
          <cell r="L196" t="str">
            <v>TRAVAILLEUR SEMI QUALIFIE</v>
          </cell>
          <cell r="M196" t="str">
            <v>CATEGORIE 1 A 5</v>
          </cell>
          <cell r="N196" t="str">
            <v>TRAVAILLEUR SEMI QUALIFIE (TSQ), Echellon 1, Classe 4</v>
          </cell>
          <cell r="P196">
            <v>44057</v>
          </cell>
          <cell r="Q196" t="e">
            <v>#N/A</v>
          </cell>
          <cell r="R196" t="e">
            <v>#N/A</v>
          </cell>
          <cell r="S196" t="e">
            <v>#N/A</v>
          </cell>
          <cell r="T196" t="e">
            <v>#N/A</v>
          </cell>
          <cell r="U196" t="e">
            <v>#N/A</v>
          </cell>
          <cell r="V196" t="e">
            <v>#N/A</v>
          </cell>
          <cell r="W196" t="e">
            <v>#N/A</v>
          </cell>
          <cell r="X196" t="e">
            <v>#N/A</v>
          </cell>
          <cell r="Y196" t="e">
            <v>#N/A</v>
          </cell>
          <cell r="Z196" t="e">
            <v>#N/A</v>
          </cell>
          <cell r="AA196" t="e">
            <v>#N/A</v>
          </cell>
          <cell r="AB196" t="e">
            <v>#N/A</v>
          </cell>
          <cell r="AC196" t="e">
            <v>#N/A</v>
          </cell>
          <cell r="AE196">
            <v>200.2</v>
          </cell>
          <cell r="AF196" t="e">
            <v>#N/A</v>
          </cell>
          <cell r="AG196" t="e">
            <v>#N/A</v>
          </cell>
          <cell r="AH196" t="e">
            <v>#N/A</v>
          </cell>
          <cell r="AI196" t="e">
            <v>#N/A</v>
          </cell>
          <cell r="AJ196" t="e">
            <v>#N/A</v>
          </cell>
          <cell r="AK196" t="e">
            <v>#N/A</v>
          </cell>
          <cell r="AL196" t="e">
            <v>#N/A</v>
          </cell>
          <cell r="AM196" t="e">
            <v>#N/A</v>
          </cell>
          <cell r="AN196">
            <v>0</v>
          </cell>
          <cell r="AO196">
            <v>30</v>
          </cell>
          <cell r="AR196" t="e">
            <v>#N/A</v>
          </cell>
          <cell r="AS196">
            <v>65</v>
          </cell>
          <cell r="AT196" t="e">
            <v>#N/A</v>
          </cell>
          <cell r="AU196">
            <v>29.8</v>
          </cell>
          <cell r="AX196">
            <v>0</v>
          </cell>
          <cell r="AY196" t="e">
            <v>#N/A</v>
          </cell>
          <cell r="BA196">
            <v>4.51999999999998</v>
          </cell>
          <cell r="BB196" t="e">
            <v>#N/A</v>
          </cell>
          <cell r="BD196" t="e">
            <v>#N/A</v>
          </cell>
          <cell r="BE196" t="e">
            <v>#N/A</v>
          </cell>
          <cell r="BF196" t="e">
            <v>#N/A</v>
          </cell>
          <cell r="BL196">
            <v>0</v>
          </cell>
          <cell r="BM196" t="e">
            <v>#N/A</v>
          </cell>
          <cell r="BN196" t="e">
            <v>#N/A</v>
          </cell>
          <cell r="BO196" t="e">
            <v>#N/A</v>
          </cell>
          <cell r="BP196" t="e">
            <v>#N/A</v>
          </cell>
          <cell r="BQ196" t="e">
            <v>#N/A</v>
          </cell>
          <cell r="BR196">
            <v>-0.38784232365145227</v>
          </cell>
          <cell r="BT196">
            <v>-0.38784232365145227</v>
          </cell>
          <cell r="BU196" t="e">
            <v>#N/A</v>
          </cell>
          <cell r="BV196" t="e">
            <v>#N/A</v>
          </cell>
          <cell r="BW196" t="e">
            <v>#N/A</v>
          </cell>
          <cell r="BX196" t="e">
            <v>#N/A</v>
          </cell>
          <cell r="BY196" t="e">
            <v>#N/A</v>
          </cell>
          <cell r="BZ196" t="str">
            <v>CDI</v>
          </cell>
          <cell r="CB196" t="str">
            <v/>
          </cell>
          <cell r="CC196" t="str">
            <v>BANQUE</v>
          </cell>
          <cell r="CD196" t="str">
            <v>216-Hevea</v>
          </cell>
          <cell r="CE196">
            <v>216</v>
          </cell>
        </row>
        <row r="197">
          <cell r="B197" t="str">
            <v>07256</v>
          </cell>
          <cell r="C197" t="str">
            <v>AKATSHI ILONGE MARCELINE</v>
          </cell>
          <cell r="D197" t="str">
            <v>Lobby Bar</v>
          </cell>
          <cell r="E197" t="str">
            <v>00018000111132946120055</v>
          </cell>
          <cell r="F197" t="str">
            <v>21992406302I</v>
          </cell>
          <cell r="G197" t="str">
            <v>Cashier</v>
          </cell>
          <cell r="H197">
            <v>6.65</v>
          </cell>
          <cell r="I197">
            <v>7.7</v>
          </cell>
          <cell r="J197">
            <v>7.6999999999999993</v>
          </cell>
          <cell r="K197" t="str">
            <v>TSQ1-4.III</v>
          </cell>
          <cell r="L197" t="str">
            <v>TRAVAILLEUR SEMI QUALIFIE</v>
          </cell>
          <cell r="M197" t="str">
            <v>CATEGORIE 1 A 5</v>
          </cell>
          <cell r="N197" t="str">
            <v>TRAVAILLEUR SEMI QUALIFIE (TSQ), Echellon 1, Classe 4</v>
          </cell>
          <cell r="P197">
            <v>44057</v>
          </cell>
          <cell r="Q197" t="e">
            <v>#N/A</v>
          </cell>
          <cell r="R197" t="e">
            <v>#N/A</v>
          </cell>
          <cell r="S197" t="e">
            <v>#N/A</v>
          </cell>
          <cell r="T197" t="e">
            <v>#N/A</v>
          </cell>
          <cell r="U197" t="e">
            <v>#N/A</v>
          </cell>
          <cell r="V197" t="e">
            <v>#N/A</v>
          </cell>
          <cell r="W197" t="e">
            <v>#N/A</v>
          </cell>
          <cell r="X197" t="e">
            <v>#N/A</v>
          </cell>
          <cell r="Y197" t="e">
            <v>#N/A</v>
          </cell>
          <cell r="Z197" t="e">
            <v>#N/A</v>
          </cell>
          <cell r="AA197" t="e">
            <v>#N/A</v>
          </cell>
          <cell r="AB197" t="e">
            <v>#N/A</v>
          </cell>
          <cell r="AC197" t="e">
            <v>#N/A</v>
          </cell>
          <cell r="AE197">
            <v>200.2</v>
          </cell>
          <cell r="AF197" t="e">
            <v>#N/A</v>
          </cell>
          <cell r="AG197" t="e">
            <v>#N/A</v>
          </cell>
          <cell r="AH197" t="e">
            <v>#N/A</v>
          </cell>
          <cell r="AI197" t="e">
            <v>#N/A</v>
          </cell>
          <cell r="AJ197" t="e">
            <v>#N/A</v>
          </cell>
          <cell r="AK197" t="e">
            <v>#N/A</v>
          </cell>
          <cell r="AL197" t="e">
            <v>#N/A</v>
          </cell>
          <cell r="AM197" t="e">
            <v>#N/A</v>
          </cell>
          <cell r="AN197">
            <v>0</v>
          </cell>
          <cell r="AO197">
            <v>30</v>
          </cell>
          <cell r="AR197" t="e">
            <v>#N/A</v>
          </cell>
          <cell r="AS197">
            <v>65</v>
          </cell>
          <cell r="AT197" t="e">
            <v>#N/A</v>
          </cell>
          <cell r="AU197">
            <v>29.8</v>
          </cell>
          <cell r="AV197">
            <v>0</v>
          </cell>
          <cell r="AX197">
            <v>0</v>
          </cell>
          <cell r="AY197" t="e">
            <v>#N/A</v>
          </cell>
          <cell r="BA197">
            <v>3.8899999999999899</v>
          </cell>
          <cell r="BB197" t="e">
            <v>#N/A</v>
          </cell>
          <cell r="BD197" t="e">
            <v>#N/A</v>
          </cell>
          <cell r="BE197" t="e">
            <v>#N/A</v>
          </cell>
          <cell r="BF197" t="e">
            <v>#N/A</v>
          </cell>
          <cell r="BL197">
            <v>0</v>
          </cell>
          <cell r="BM197" t="e">
            <v>#N/A</v>
          </cell>
          <cell r="BN197" t="e">
            <v>#N/A</v>
          </cell>
          <cell r="BO197" t="e">
            <v>#N/A</v>
          </cell>
          <cell r="BP197" t="e">
            <v>#N/A</v>
          </cell>
          <cell r="BQ197" t="e">
            <v>#N/A</v>
          </cell>
          <cell r="BR197">
            <v>-0.38784232365145227</v>
          </cell>
          <cell r="BT197">
            <v>-0.38784232365145227</v>
          </cell>
          <cell r="BU197" t="e">
            <v>#N/A</v>
          </cell>
          <cell r="BV197" t="e">
            <v>#N/A</v>
          </cell>
          <cell r="BW197" t="e">
            <v>#N/A</v>
          </cell>
          <cell r="BX197" t="e">
            <v>#N/A</v>
          </cell>
          <cell r="BY197" t="e">
            <v>#N/A</v>
          </cell>
          <cell r="BZ197" t="str">
            <v>CDI</v>
          </cell>
          <cell r="CC197" t="str">
            <v>BANQUE</v>
          </cell>
          <cell r="CD197" t="str">
            <v>215-Lobby Bar</v>
          </cell>
          <cell r="CE197">
            <v>215</v>
          </cell>
        </row>
        <row r="198">
          <cell r="B198" t="str">
            <v>07258</v>
          </cell>
          <cell r="C198" t="str">
            <v>OVONO MUKONKOLE PHILIPPE</v>
          </cell>
          <cell r="D198" t="str">
            <v>Marketing</v>
          </cell>
          <cell r="E198" t="str">
            <v>00018000190000919120061</v>
          </cell>
          <cell r="F198" t="str">
            <v>11981220668R</v>
          </cell>
          <cell r="G198" t="str">
            <v>Marketing &amp; Graphic coord</v>
          </cell>
          <cell r="H198">
            <v>24.4</v>
          </cell>
          <cell r="I198">
            <v>28.2</v>
          </cell>
          <cell r="J198">
            <v>28.200000000000003</v>
          </cell>
          <cell r="K198" t="str">
            <v>MAT4-13.M</v>
          </cell>
          <cell r="L198" t="str">
            <v>MAITRISE</v>
          </cell>
          <cell r="M198" t="str">
            <v>MAITRISE</v>
          </cell>
          <cell r="N198" t="str">
            <v>MAITRISES, Echellon 4, Classe 13</v>
          </cell>
          <cell r="P198">
            <v>44237</v>
          </cell>
          <cell r="Q198" t="e">
            <v>#N/A</v>
          </cell>
          <cell r="R198" t="e">
            <v>#N/A</v>
          </cell>
          <cell r="S198" t="e">
            <v>#N/A</v>
          </cell>
          <cell r="T198" t="e">
            <v>#N/A</v>
          </cell>
          <cell r="U198" t="e">
            <v>#N/A</v>
          </cell>
          <cell r="V198" t="e">
            <v>#N/A</v>
          </cell>
          <cell r="W198" t="e">
            <v>#N/A</v>
          </cell>
          <cell r="X198" t="e">
            <v>#N/A</v>
          </cell>
          <cell r="Y198" t="e">
            <v>#N/A</v>
          </cell>
          <cell r="Z198" t="e">
            <v>#N/A</v>
          </cell>
          <cell r="AA198" t="e">
            <v>#N/A</v>
          </cell>
          <cell r="AB198" t="e">
            <v>#N/A</v>
          </cell>
          <cell r="AC198" t="e">
            <v>#N/A</v>
          </cell>
          <cell r="AE198">
            <v>733.2</v>
          </cell>
          <cell r="AF198" t="e">
            <v>#N/A</v>
          </cell>
          <cell r="AG198" t="e">
            <v>#N/A</v>
          </cell>
          <cell r="AH198" t="e">
            <v>#N/A</v>
          </cell>
          <cell r="AI198" t="e">
            <v>#N/A</v>
          </cell>
          <cell r="AJ198" t="e">
            <v>#N/A</v>
          </cell>
          <cell r="AK198" t="e">
            <v>#N/A</v>
          </cell>
          <cell r="AL198" t="e">
            <v>#N/A</v>
          </cell>
          <cell r="AM198" t="e">
            <v>#N/A</v>
          </cell>
          <cell r="AN198">
            <v>0</v>
          </cell>
          <cell r="AR198" t="e">
            <v>#N/A</v>
          </cell>
          <cell r="AS198">
            <v>90</v>
          </cell>
          <cell r="AT198" t="e">
            <v>#N/A</v>
          </cell>
          <cell r="AU198">
            <v>176.8</v>
          </cell>
          <cell r="AV198">
            <v>3</v>
          </cell>
          <cell r="AY198" t="e">
            <v>#N/A</v>
          </cell>
          <cell r="BA198">
            <v>4.33000000000004</v>
          </cell>
          <cell r="BB198" t="e">
            <v>#N/A</v>
          </cell>
          <cell r="BD198" t="e">
            <v>#N/A</v>
          </cell>
          <cell r="BE198" t="e">
            <v>#N/A</v>
          </cell>
          <cell r="BF198" t="e">
            <v>#N/A</v>
          </cell>
          <cell r="BL198">
            <v>0</v>
          </cell>
          <cell r="BM198" t="e">
            <v>#N/A</v>
          </cell>
          <cell r="BN198" t="e">
            <v>#N/A</v>
          </cell>
          <cell r="BO198" t="e">
            <v>#N/A</v>
          </cell>
          <cell r="BP198" t="e">
            <v>#N/A</v>
          </cell>
          <cell r="BQ198" t="e">
            <v>#N/A</v>
          </cell>
          <cell r="BR198">
            <v>-0.38784232365145227</v>
          </cell>
          <cell r="BT198">
            <v>-0.38784232365145227</v>
          </cell>
          <cell r="BU198" t="e">
            <v>#N/A</v>
          </cell>
          <cell r="BV198" t="e">
            <v>#N/A</v>
          </cell>
          <cell r="BW198" t="e">
            <v>#N/A</v>
          </cell>
          <cell r="BX198" t="e">
            <v>#N/A</v>
          </cell>
          <cell r="BY198" t="e">
            <v>#N/A</v>
          </cell>
          <cell r="BZ198" t="str">
            <v>CDI</v>
          </cell>
          <cell r="CC198" t="str">
            <v>BANQUE</v>
          </cell>
          <cell r="CD198" t="str">
            <v>720-Marketing</v>
          </cell>
          <cell r="CE198">
            <v>720</v>
          </cell>
        </row>
        <row r="199">
          <cell r="B199" t="str">
            <v>07259</v>
          </cell>
          <cell r="C199" t="str">
            <v>KODILA WASINDUKUA RODEL</v>
          </cell>
          <cell r="D199" t="str">
            <v>Information and Telecommunications Systems</v>
          </cell>
          <cell r="E199" t="str">
            <v>00018000499100000597951</v>
          </cell>
          <cell r="F199" t="str">
            <v>11996527717O</v>
          </cell>
          <cell r="G199" t="str">
            <v>IT Clerck</v>
          </cell>
          <cell r="H199">
            <v>6.65</v>
          </cell>
          <cell r="I199">
            <v>7.7</v>
          </cell>
          <cell r="J199">
            <v>7.6999999999999993</v>
          </cell>
          <cell r="K199" t="str">
            <v>TSQ1-4.III</v>
          </cell>
          <cell r="L199" t="str">
            <v>TRAVAILLEUR SEMI QUALIFIE</v>
          </cell>
          <cell r="M199" t="str">
            <v>CATEGORIE 1 A 5</v>
          </cell>
          <cell r="N199" t="str">
            <v>TRAVAILLEUR SEMI QUALIFIE (TSQ), Echellon 1, Classe 4</v>
          </cell>
          <cell r="P199">
            <v>44264</v>
          </cell>
          <cell r="Q199" t="e">
            <v>#N/A</v>
          </cell>
          <cell r="R199" t="e">
            <v>#N/A</v>
          </cell>
          <cell r="S199" t="e">
            <v>#N/A</v>
          </cell>
          <cell r="T199" t="e">
            <v>#N/A</v>
          </cell>
          <cell r="U199" t="e">
            <v>#N/A</v>
          </cell>
          <cell r="V199" t="e">
            <v>#N/A</v>
          </cell>
          <cell r="W199" t="e">
            <v>#N/A</v>
          </cell>
          <cell r="X199" t="e">
            <v>#N/A</v>
          </cell>
          <cell r="Y199" t="e">
            <v>#N/A</v>
          </cell>
          <cell r="Z199" t="e">
            <v>#N/A</v>
          </cell>
          <cell r="AA199" t="e">
            <v>#N/A</v>
          </cell>
          <cell r="AB199" t="e">
            <v>#N/A</v>
          </cell>
          <cell r="AC199" t="e">
            <v>#N/A</v>
          </cell>
          <cell r="AE199">
            <v>200.2</v>
          </cell>
          <cell r="AF199" t="e">
            <v>#N/A</v>
          </cell>
          <cell r="AG199" t="e">
            <v>#N/A</v>
          </cell>
          <cell r="AH199" t="e">
            <v>#N/A</v>
          </cell>
          <cell r="AI199" t="e">
            <v>#N/A</v>
          </cell>
          <cell r="AJ199" t="e">
            <v>#N/A</v>
          </cell>
          <cell r="AK199" t="e">
            <v>#N/A</v>
          </cell>
          <cell r="AL199" t="e">
            <v>#N/A</v>
          </cell>
          <cell r="AM199" t="e">
            <v>#N/A</v>
          </cell>
          <cell r="AN199">
            <v>0</v>
          </cell>
          <cell r="AR199" t="e">
            <v>#N/A</v>
          </cell>
          <cell r="AS199">
            <v>60</v>
          </cell>
          <cell r="AT199" t="e">
            <v>#N/A</v>
          </cell>
          <cell r="AU199">
            <v>41.8</v>
          </cell>
          <cell r="AV199">
            <v>0</v>
          </cell>
          <cell r="AY199" t="e">
            <v>#N/A</v>
          </cell>
          <cell r="BA199">
            <v>1.63</v>
          </cell>
          <cell r="BB199" t="e">
            <v>#N/A</v>
          </cell>
          <cell r="BD199" t="e">
            <v>#N/A</v>
          </cell>
          <cell r="BE199" t="e">
            <v>#N/A</v>
          </cell>
          <cell r="BF199" t="e">
            <v>#N/A</v>
          </cell>
          <cell r="BL199">
            <v>0</v>
          </cell>
          <cell r="BM199" t="e">
            <v>#N/A</v>
          </cell>
          <cell r="BN199" t="e">
            <v>#N/A</v>
          </cell>
          <cell r="BO199" t="e">
            <v>#N/A</v>
          </cell>
          <cell r="BP199" t="e">
            <v>#N/A</v>
          </cell>
          <cell r="BQ199" t="e">
            <v>#N/A</v>
          </cell>
          <cell r="BR199">
            <v>-0.38784232365145227</v>
          </cell>
          <cell r="BT199">
            <v>-0.38784232365145227</v>
          </cell>
          <cell r="BU199" t="e">
            <v>#N/A</v>
          </cell>
          <cell r="BV199" t="e">
            <v>#N/A</v>
          </cell>
          <cell r="BW199" t="e">
            <v>#N/A</v>
          </cell>
          <cell r="BX199" t="e">
            <v>#N/A</v>
          </cell>
          <cell r="BY199" t="e">
            <v>#N/A</v>
          </cell>
          <cell r="BZ199" t="str">
            <v>CDI</v>
          </cell>
          <cell r="CC199" t="str">
            <v>BANQUE</v>
          </cell>
          <cell r="CD199" t="str">
            <v>660-Information and Telecommunications Systems</v>
          </cell>
          <cell r="CE199">
            <v>660</v>
          </cell>
        </row>
        <row r="200">
          <cell r="B200" t="str">
            <v>07262</v>
          </cell>
          <cell r="C200" t="str">
            <v>KAMWENZA SAFU GLOIRE</v>
          </cell>
          <cell r="D200" t="str">
            <v>Human resources</v>
          </cell>
          <cell r="E200" t="str">
            <v>00011050366200007547662</v>
          </cell>
          <cell r="F200" t="str">
            <v>21986404005V</v>
          </cell>
          <cell r="G200" t="str">
            <v>Human Resources supervisor</v>
          </cell>
          <cell r="H200">
            <v>18.3</v>
          </cell>
          <cell r="I200">
            <v>21.1</v>
          </cell>
          <cell r="J200">
            <v>21.096153846153847</v>
          </cell>
          <cell r="K200" t="str">
            <v>MAT2-11.M</v>
          </cell>
          <cell r="L200" t="str">
            <v>MAITRISE</v>
          </cell>
          <cell r="M200" t="str">
            <v>MAITRISE</v>
          </cell>
          <cell r="N200" t="str">
            <v>MAITRISES, Echellon 2, Classe 11</v>
          </cell>
          <cell r="P200">
            <v>44427</v>
          </cell>
          <cell r="Q200" t="e">
            <v>#N/A</v>
          </cell>
          <cell r="R200" t="e">
            <v>#N/A</v>
          </cell>
          <cell r="S200" t="e">
            <v>#N/A</v>
          </cell>
          <cell r="T200" t="e">
            <v>#N/A</v>
          </cell>
          <cell r="U200" t="e">
            <v>#N/A</v>
          </cell>
          <cell r="V200" t="e">
            <v>#N/A</v>
          </cell>
          <cell r="W200" t="e">
            <v>#N/A</v>
          </cell>
          <cell r="X200" t="e">
            <v>#N/A</v>
          </cell>
          <cell r="Y200" t="e">
            <v>#N/A</v>
          </cell>
          <cell r="Z200" t="e">
            <v>#N/A</v>
          </cell>
          <cell r="AA200" t="e">
            <v>#N/A</v>
          </cell>
          <cell r="AB200" t="e">
            <v>#N/A</v>
          </cell>
          <cell r="AC200" t="e">
            <v>#N/A</v>
          </cell>
          <cell r="AE200">
            <v>548.5</v>
          </cell>
          <cell r="AF200" t="e">
            <v>#N/A</v>
          </cell>
          <cell r="AG200" t="e">
            <v>#N/A</v>
          </cell>
          <cell r="AH200" t="e">
            <v>#N/A</v>
          </cell>
          <cell r="AI200" t="e">
            <v>#N/A</v>
          </cell>
          <cell r="AJ200" t="e">
            <v>#N/A</v>
          </cell>
          <cell r="AK200" t="e">
            <v>#N/A</v>
          </cell>
          <cell r="AL200" t="e">
            <v>#N/A</v>
          </cell>
          <cell r="AM200" t="e">
            <v>#N/A</v>
          </cell>
          <cell r="AN200">
            <v>0</v>
          </cell>
          <cell r="AR200" t="e">
            <v>#N/A</v>
          </cell>
          <cell r="AS200">
            <v>70.2</v>
          </cell>
          <cell r="AT200" t="e">
            <v>#N/A</v>
          </cell>
          <cell r="AU200">
            <v>126</v>
          </cell>
          <cell r="AY200" t="e">
            <v>#N/A</v>
          </cell>
          <cell r="AZ200">
            <v>150</v>
          </cell>
          <cell r="BB200" t="e">
            <v>#N/A</v>
          </cell>
          <cell r="BD200" t="e">
            <v>#N/A</v>
          </cell>
          <cell r="BE200" t="e">
            <v>#N/A</v>
          </cell>
          <cell r="BF200" t="e">
            <v>#N/A</v>
          </cell>
          <cell r="BL200">
            <v>0</v>
          </cell>
          <cell r="BM200" t="e">
            <v>#N/A</v>
          </cell>
          <cell r="BN200" t="e">
            <v>#N/A</v>
          </cell>
          <cell r="BO200" t="e">
            <v>#N/A</v>
          </cell>
          <cell r="BP200" t="e">
            <v>#N/A</v>
          </cell>
          <cell r="BQ200" t="e">
            <v>#N/A</v>
          </cell>
          <cell r="BR200">
            <v>-0.38784232365145227</v>
          </cell>
          <cell r="BT200">
            <v>-0.38784232365145227</v>
          </cell>
          <cell r="BU200" t="e">
            <v>#N/A</v>
          </cell>
          <cell r="BV200" t="e">
            <v>#N/A</v>
          </cell>
          <cell r="BW200" t="e">
            <v>#N/A</v>
          </cell>
          <cell r="BX200" t="e">
            <v>#N/A</v>
          </cell>
          <cell r="BY200" t="e">
            <v>#N/A</v>
          </cell>
          <cell r="BZ200" t="str">
            <v>CDI</v>
          </cell>
          <cell r="CC200" t="str">
            <v>BANQUE</v>
          </cell>
          <cell r="CD200" t="str">
            <v>630-Human resources</v>
          </cell>
          <cell r="CE200">
            <v>630</v>
          </cell>
        </row>
        <row r="201">
          <cell r="B201" t="str">
            <v>07263</v>
          </cell>
          <cell r="C201" t="str">
            <v>KABALA YAVGENI DONALD</v>
          </cell>
          <cell r="D201" t="str">
            <v>Housekeeping</v>
          </cell>
          <cell r="E201" t="str">
            <v>00011050366200008623877</v>
          </cell>
          <cell r="F201" t="str">
            <v>11999571359U</v>
          </cell>
          <cell r="G201" t="str">
            <v>Room Attendant</v>
          </cell>
          <cell r="H201">
            <v>0</v>
          </cell>
          <cell r="I201">
            <v>5</v>
          </cell>
          <cell r="J201">
            <v>5</v>
          </cell>
          <cell r="K201" t="str">
            <v>MAO1-1.I</v>
          </cell>
          <cell r="L201" t="str">
            <v>MANŒUVRE ORDINAIRE</v>
          </cell>
          <cell r="M201" t="str">
            <v>CATEGORIE 1 A 5</v>
          </cell>
          <cell r="N201" t="str">
            <v>MANŒUVRE ORDINAIRE (MO), Echellon 1, Classe 1</v>
          </cell>
          <cell r="P201">
            <v>44441</v>
          </cell>
          <cell r="Q201" t="e">
            <v>#N/A</v>
          </cell>
          <cell r="R201" t="e">
            <v>#N/A</v>
          </cell>
          <cell r="S201" t="e">
            <v>#N/A</v>
          </cell>
          <cell r="T201" t="e">
            <v>#N/A</v>
          </cell>
          <cell r="U201" t="e">
            <v>#N/A</v>
          </cell>
          <cell r="V201" t="e">
            <v>#N/A</v>
          </cell>
          <cell r="W201" t="e">
            <v>#N/A</v>
          </cell>
          <cell r="X201" t="e">
            <v>#N/A</v>
          </cell>
          <cell r="Y201" t="e">
            <v>#N/A</v>
          </cell>
          <cell r="Z201" t="e">
            <v>#N/A</v>
          </cell>
          <cell r="AA201" t="e">
            <v>#N/A</v>
          </cell>
          <cell r="AB201" t="e">
            <v>#N/A</v>
          </cell>
          <cell r="AC201" t="e">
            <v>#N/A</v>
          </cell>
          <cell r="AE201">
            <v>130</v>
          </cell>
          <cell r="AF201" t="e">
            <v>#N/A</v>
          </cell>
          <cell r="AG201" t="e">
            <v>#N/A</v>
          </cell>
          <cell r="AH201" t="e">
            <v>#N/A</v>
          </cell>
          <cell r="AI201" t="e">
            <v>#N/A</v>
          </cell>
          <cell r="AJ201" t="e">
            <v>#N/A</v>
          </cell>
          <cell r="AK201" t="e">
            <v>#N/A</v>
          </cell>
          <cell r="AL201" t="e">
            <v>#N/A</v>
          </cell>
          <cell r="AM201" t="e">
            <v>#N/A</v>
          </cell>
          <cell r="AN201">
            <v>0</v>
          </cell>
          <cell r="AR201" t="e">
            <v>#N/A</v>
          </cell>
          <cell r="AS201">
            <v>55</v>
          </cell>
          <cell r="AT201" t="e">
            <v>#N/A</v>
          </cell>
          <cell r="AU201">
            <v>30</v>
          </cell>
          <cell r="AV201">
            <v>0</v>
          </cell>
          <cell r="AY201" t="e">
            <v>#N/A</v>
          </cell>
          <cell r="BA201">
            <v>0</v>
          </cell>
          <cell r="BB201" t="e">
            <v>#N/A</v>
          </cell>
          <cell r="BD201" t="e">
            <v>#N/A</v>
          </cell>
          <cell r="BE201" t="e">
            <v>#N/A</v>
          </cell>
          <cell r="BF201" t="e">
            <v>#N/A</v>
          </cell>
          <cell r="BL201">
            <v>0</v>
          </cell>
          <cell r="BM201" t="e">
            <v>#N/A</v>
          </cell>
          <cell r="BN201" t="e">
            <v>#N/A</v>
          </cell>
          <cell r="BO201" t="e">
            <v>#N/A</v>
          </cell>
          <cell r="BP201" t="e">
            <v>#N/A</v>
          </cell>
          <cell r="BQ201" t="e">
            <v>#N/A</v>
          </cell>
          <cell r="BR201">
            <v>-0.38784232365145227</v>
          </cell>
          <cell r="BT201">
            <v>-0.38784232365145227</v>
          </cell>
          <cell r="BU201" t="e">
            <v>#N/A</v>
          </cell>
          <cell r="BV201" t="e">
            <v>#N/A</v>
          </cell>
          <cell r="BW201" t="e">
            <v>#N/A</v>
          </cell>
          <cell r="BX201" t="e">
            <v>#N/A</v>
          </cell>
          <cell r="BY201" t="e">
            <v>#N/A</v>
          </cell>
          <cell r="BZ201" t="str">
            <v>CDI</v>
          </cell>
          <cell r="CC201" t="str">
            <v>BANQUE</v>
          </cell>
          <cell r="CD201" t="str">
            <v>160-Housekeeping</v>
          </cell>
          <cell r="CE201">
            <v>160</v>
          </cell>
        </row>
        <row r="202">
          <cell r="B202" t="str">
            <v>07265</v>
          </cell>
          <cell r="C202" t="str">
            <v>MABWA BIYAL DORCAS</v>
          </cell>
          <cell r="D202" t="str">
            <v>Front Office</v>
          </cell>
          <cell r="E202" t="str">
            <v>00011050366200013021081</v>
          </cell>
          <cell r="F202" t="str">
            <v>21989405681N</v>
          </cell>
          <cell r="G202" t="str">
            <v>Front Office Agent</v>
          </cell>
          <cell r="H202">
            <v>6.65</v>
          </cell>
          <cell r="I202">
            <v>7.7</v>
          </cell>
          <cell r="J202">
            <v>7.6999999999999993</v>
          </cell>
          <cell r="K202" t="str">
            <v>TSQ1-4.III</v>
          </cell>
          <cell r="L202" t="str">
            <v>TRAVAILLEUR SEMI QUALIFIE</v>
          </cell>
          <cell r="M202" t="str">
            <v>CATEGORIE 1 A 5</v>
          </cell>
          <cell r="N202" t="str">
            <v>TRAVAILLEUR SEMI QUALIFIE (TSQ), Echellon 1, Classe 4</v>
          </cell>
          <cell r="P202">
            <v>44501</v>
          </cell>
          <cell r="Q202" t="e">
            <v>#N/A</v>
          </cell>
          <cell r="R202" t="e">
            <v>#N/A</v>
          </cell>
          <cell r="S202" t="e">
            <v>#N/A</v>
          </cell>
          <cell r="T202" t="e">
            <v>#N/A</v>
          </cell>
          <cell r="U202" t="e">
            <v>#N/A</v>
          </cell>
          <cell r="V202" t="e">
            <v>#N/A</v>
          </cell>
          <cell r="W202" t="e">
            <v>#N/A</v>
          </cell>
          <cell r="X202" t="e">
            <v>#N/A</v>
          </cell>
          <cell r="Y202" t="e">
            <v>#N/A</v>
          </cell>
          <cell r="Z202" t="e">
            <v>#N/A</v>
          </cell>
          <cell r="AA202" t="e">
            <v>#N/A</v>
          </cell>
          <cell r="AB202" t="e">
            <v>#N/A</v>
          </cell>
          <cell r="AC202" t="e">
            <v>#N/A</v>
          </cell>
          <cell r="AE202">
            <v>200.2</v>
          </cell>
          <cell r="AF202" t="e">
            <v>#N/A</v>
          </cell>
          <cell r="AG202" t="e">
            <v>#N/A</v>
          </cell>
          <cell r="AH202" t="e">
            <v>#N/A</v>
          </cell>
          <cell r="AI202" t="e">
            <v>#N/A</v>
          </cell>
          <cell r="AJ202" t="e">
            <v>#N/A</v>
          </cell>
          <cell r="AK202" t="e">
            <v>#N/A</v>
          </cell>
          <cell r="AL202" t="e">
            <v>#N/A</v>
          </cell>
          <cell r="AM202" t="e">
            <v>#N/A</v>
          </cell>
          <cell r="AN202">
            <v>0</v>
          </cell>
          <cell r="AO202">
            <v>30</v>
          </cell>
          <cell r="AR202" t="e">
            <v>#N/A</v>
          </cell>
          <cell r="AS202">
            <v>65</v>
          </cell>
          <cell r="AT202" t="e">
            <v>#N/A</v>
          </cell>
          <cell r="AU202">
            <v>49.8</v>
          </cell>
          <cell r="AV202">
            <v>2</v>
          </cell>
          <cell r="AY202" t="e">
            <v>#N/A</v>
          </cell>
          <cell r="BA202">
            <v>2.9999999999972701E-2</v>
          </cell>
          <cell r="BB202" t="e">
            <v>#N/A</v>
          </cell>
          <cell r="BD202" t="e">
            <v>#N/A</v>
          </cell>
          <cell r="BE202" t="e">
            <v>#N/A</v>
          </cell>
          <cell r="BF202" t="e">
            <v>#N/A</v>
          </cell>
          <cell r="BL202">
            <v>0</v>
          </cell>
          <cell r="BM202" t="e">
            <v>#N/A</v>
          </cell>
          <cell r="BN202" t="e">
            <v>#N/A</v>
          </cell>
          <cell r="BO202" t="e">
            <v>#N/A</v>
          </cell>
          <cell r="BP202" t="e">
            <v>#N/A</v>
          </cell>
          <cell r="BQ202" t="e">
            <v>#N/A</v>
          </cell>
          <cell r="BR202">
            <v>-0.38784232365145227</v>
          </cell>
          <cell r="BT202">
            <v>-0.38784232365145227</v>
          </cell>
          <cell r="BU202" t="e">
            <v>#N/A</v>
          </cell>
          <cell r="BV202" t="e">
            <v>#N/A</v>
          </cell>
          <cell r="BW202" t="e">
            <v>#N/A</v>
          </cell>
          <cell r="BX202" t="e">
            <v>#N/A</v>
          </cell>
          <cell r="BY202" t="e">
            <v>#N/A</v>
          </cell>
          <cell r="BZ202" t="str">
            <v>CDI</v>
          </cell>
          <cell r="CC202" t="str">
            <v>BANQUE</v>
          </cell>
          <cell r="CD202" t="str">
            <v>120-Front Office</v>
          </cell>
          <cell r="CE202">
            <v>120</v>
          </cell>
        </row>
        <row r="203">
          <cell r="B203" t="str">
            <v>07266</v>
          </cell>
          <cell r="C203" t="str">
            <v>MAYIKILU TENDAKANI EUNICE</v>
          </cell>
          <cell r="D203" t="str">
            <v>Front Office</v>
          </cell>
          <cell r="E203" t="str">
            <v>00011050366200013023215</v>
          </cell>
          <cell r="F203" t="str">
            <v>21997405680O</v>
          </cell>
          <cell r="G203" t="str">
            <v>Front Office Agent</v>
          </cell>
          <cell r="H203">
            <v>6.65</v>
          </cell>
          <cell r="I203">
            <v>7.7</v>
          </cell>
          <cell r="J203">
            <v>7.6999999999999993</v>
          </cell>
          <cell r="K203" t="str">
            <v>TSQ1-4.III</v>
          </cell>
          <cell r="L203" t="str">
            <v>TRAVAILLEUR SEMI QUALIFIE</v>
          </cell>
          <cell r="M203" t="str">
            <v>CATEGORIE 1 A 5</v>
          </cell>
          <cell r="N203" t="str">
            <v>TRAVAILLEUR SEMI QUALIFIE (TSQ), Echellon 1, Classe 4</v>
          </cell>
          <cell r="P203">
            <v>44501</v>
          </cell>
          <cell r="Q203" t="e">
            <v>#N/A</v>
          </cell>
          <cell r="R203" t="e">
            <v>#N/A</v>
          </cell>
          <cell r="S203" t="e">
            <v>#N/A</v>
          </cell>
          <cell r="T203" t="e">
            <v>#N/A</v>
          </cell>
          <cell r="U203" t="e">
            <v>#N/A</v>
          </cell>
          <cell r="V203" t="e">
            <v>#N/A</v>
          </cell>
          <cell r="W203" t="e">
            <v>#N/A</v>
          </cell>
          <cell r="X203" t="e">
            <v>#N/A</v>
          </cell>
          <cell r="Y203" t="e">
            <v>#N/A</v>
          </cell>
          <cell r="Z203" t="e">
            <v>#N/A</v>
          </cell>
          <cell r="AA203" t="e">
            <v>#N/A</v>
          </cell>
          <cell r="AB203" t="e">
            <v>#N/A</v>
          </cell>
          <cell r="AC203" t="e">
            <v>#N/A</v>
          </cell>
          <cell r="AE203">
            <v>200.2</v>
          </cell>
          <cell r="AF203" t="e">
            <v>#N/A</v>
          </cell>
          <cell r="AG203" t="e">
            <v>#N/A</v>
          </cell>
          <cell r="AH203" t="e">
            <v>#N/A</v>
          </cell>
          <cell r="AI203" t="e">
            <v>#N/A</v>
          </cell>
          <cell r="AJ203" t="e">
            <v>#N/A</v>
          </cell>
          <cell r="AK203" t="e">
            <v>#N/A</v>
          </cell>
          <cell r="AL203" t="e">
            <v>#N/A</v>
          </cell>
          <cell r="AM203" t="e">
            <v>#N/A</v>
          </cell>
          <cell r="AN203">
            <v>0</v>
          </cell>
          <cell r="AO203">
            <v>30</v>
          </cell>
          <cell r="AR203" t="e">
            <v>#N/A</v>
          </cell>
          <cell r="AS203">
            <v>65</v>
          </cell>
          <cell r="AT203" t="e">
            <v>#N/A</v>
          </cell>
          <cell r="AU203">
            <v>49.8</v>
          </cell>
          <cell r="AV203">
            <v>0</v>
          </cell>
          <cell r="AY203" t="e">
            <v>#N/A</v>
          </cell>
          <cell r="BA203">
            <v>3.00000000000296E-2</v>
          </cell>
          <cell r="BB203" t="e">
            <v>#N/A</v>
          </cell>
          <cell r="BD203" t="e">
            <v>#N/A</v>
          </cell>
          <cell r="BE203" t="e">
            <v>#N/A</v>
          </cell>
          <cell r="BF203" t="e">
            <v>#N/A</v>
          </cell>
          <cell r="BG203">
            <v>4</v>
          </cell>
          <cell r="BL203">
            <v>4</v>
          </cell>
          <cell r="BM203" t="e">
            <v>#N/A</v>
          </cell>
          <cell r="BN203" t="e">
            <v>#N/A</v>
          </cell>
          <cell r="BO203" t="e">
            <v>#N/A</v>
          </cell>
          <cell r="BP203" t="e">
            <v>#N/A</v>
          </cell>
          <cell r="BQ203" t="e">
            <v>#N/A</v>
          </cell>
          <cell r="BR203">
            <v>-0.38784232365145227</v>
          </cell>
          <cell r="BT203">
            <v>-0.38784232365145227</v>
          </cell>
          <cell r="BU203" t="e">
            <v>#N/A</v>
          </cell>
          <cell r="BV203" t="e">
            <v>#N/A</v>
          </cell>
          <cell r="BW203" t="e">
            <v>#N/A</v>
          </cell>
          <cell r="BX203" t="e">
            <v>#N/A</v>
          </cell>
          <cell r="BY203" t="e">
            <v>#N/A</v>
          </cell>
          <cell r="BZ203" t="str">
            <v>CDI</v>
          </cell>
          <cell r="CC203" t="str">
            <v>BANQUE</v>
          </cell>
          <cell r="CD203" t="str">
            <v>120-Front Office</v>
          </cell>
          <cell r="CE203">
            <v>120</v>
          </cell>
        </row>
        <row r="204">
          <cell r="B204" t="str">
            <v>07270</v>
          </cell>
          <cell r="C204" t="str">
            <v>MWANZA WA MWANZA NATHAN</v>
          </cell>
          <cell r="D204" t="str">
            <v>Security</v>
          </cell>
          <cell r="E204" t="str">
            <v>00011050366200030957060</v>
          </cell>
          <cell r="F204" t="str">
            <v>11991595268H</v>
          </cell>
          <cell r="G204" t="str">
            <v>Security Agent</v>
          </cell>
          <cell r="H204">
            <v>0</v>
          </cell>
          <cell r="I204">
            <v>5</v>
          </cell>
          <cell r="J204">
            <v>5</v>
          </cell>
          <cell r="K204" t="str">
            <v>MAO1-1.I</v>
          </cell>
          <cell r="L204" t="str">
            <v>MANŒUVRE ORDINAIRE</v>
          </cell>
          <cell r="M204" t="str">
            <v>CATEGORIE 1 A 5</v>
          </cell>
          <cell r="N204" t="str">
            <v>MANŒUVRE ORDINAIRE (MO), Echellon 1, Classe 1</v>
          </cell>
          <cell r="P204">
            <v>44652</v>
          </cell>
          <cell r="Q204" t="e">
            <v>#N/A</v>
          </cell>
          <cell r="R204" t="e">
            <v>#N/A</v>
          </cell>
          <cell r="S204" t="e">
            <v>#N/A</v>
          </cell>
          <cell r="T204" t="e">
            <v>#N/A</v>
          </cell>
          <cell r="U204" t="e">
            <v>#N/A</v>
          </cell>
          <cell r="V204" t="e">
            <v>#N/A</v>
          </cell>
          <cell r="W204" t="e">
            <v>#N/A</v>
          </cell>
          <cell r="X204" t="e">
            <v>#N/A</v>
          </cell>
          <cell r="Y204" t="e">
            <v>#N/A</v>
          </cell>
          <cell r="Z204" t="e">
            <v>#N/A</v>
          </cell>
          <cell r="AA204" t="e">
            <v>#N/A</v>
          </cell>
          <cell r="AB204" t="e">
            <v>#N/A</v>
          </cell>
          <cell r="AC204" t="e">
            <v>#N/A</v>
          </cell>
          <cell r="AE204">
            <v>130</v>
          </cell>
          <cell r="AF204" t="e">
            <v>#N/A</v>
          </cell>
          <cell r="AG204" t="e">
            <v>#N/A</v>
          </cell>
          <cell r="AH204" t="e">
            <v>#N/A</v>
          </cell>
          <cell r="AI204" t="e">
            <v>#N/A</v>
          </cell>
          <cell r="AJ204" t="e">
            <v>#N/A</v>
          </cell>
          <cell r="AK204" t="e">
            <v>#N/A</v>
          </cell>
          <cell r="AL204" t="e">
            <v>#N/A</v>
          </cell>
          <cell r="AM204" t="e">
            <v>#N/A</v>
          </cell>
          <cell r="AN204">
            <v>0</v>
          </cell>
          <cell r="AR204" t="e">
            <v>#N/A</v>
          </cell>
          <cell r="AS204">
            <v>61</v>
          </cell>
          <cell r="AT204" t="e">
            <v>#N/A</v>
          </cell>
          <cell r="AU204">
            <v>39</v>
          </cell>
          <cell r="AV204">
            <v>0</v>
          </cell>
          <cell r="AY204" t="e">
            <v>#N/A</v>
          </cell>
          <cell r="BA204">
            <v>0</v>
          </cell>
          <cell r="BB204" t="e">
            <v>#N/A</v>
          </cell>
          <cell r="BD204" t="e">
            <v>#N/A</v>
          </cell>
          <cell r="BE204" t="e">
            <v>#N/A</v>
          </cell>
          <cell r="BF204" t="e">
            <v>#N/A</v>
          </cell>
          <cell r="BL204">
            <v>0</v>
          </cell>
          <cell r="BM204" t="e">
            <v>#N/A</v>
          </cell>
          <cell r="BN204" t="e">
            <v>#N/A</v>
          </cell>
          <cell r="BO204" t="e">
            <v>#N/A</v>
          </cell>
          <cell r="BP204" t="e">
            <v>#N/A</v>
          </cell>
          <cell r="BQ204" t="e">
            <v>#N/A</v>
          </cell>
          <cell r="BR204">
            <v>-0.38784232365145227</v>
          </cell>
          <cell r="BT204">
            <v>-0.38784232365145227</v>
          </cell>
          <cell r="BU204" t="e">
            <v>#N/A</v>
          </cell>
          <cell r="BV204" t="e">
            <v>#N/A</v>
          </cell>
          <cell r="BW204" t="e">
            <v>#N/A</v>
          </cell>
          <cell r="BX204" t="e">
            <v>#N/A</v>
          </cell>
          <cell r="BY204" t="e">
            <v>#N/A</v>
          </cell>
          <cell r="BZ204" t="str">
            <v>CDI</v>
          </cell>
          <cell r="CC204" t="str">
            <v>BANQUE</v>
          </cell>
          <cell r="CD204" t="str">
            <v>650-Security</v>
          </cell>
          <cell r="CE204">
            <v>650</v>
          </cell>
        </row>
        <row r="205">
          <cell r="B205" t="str">
            <v>07273</v>
          </cell>
          <cell r="C205" t="str">
            <v>OLONGO LOKINO CHRISTIAN</v>
          </cell>
          <cell r="D205" t="str">
            <v>Sales</v>
          </cell>
          <cell r="E205" t="str">
            <v>00018000360001208120054</v>
          </cell>
          <cell r="F205" t="str">
            <v>11988213563R</v>
          </cell>
          <cell r="G205" t="str">
            <v>Sales Executives</v>
          </cell>
          <cell r="H205">
            <v>18.3</v>
          </cell>
          <cell r="I205">
            <v>21.1</v>
          </cell>
          <cell r="J205">
            <v>21.1</v>
          </cell>
          <cell r="K205" t="str">
            <v>MAT2-11.M</v>
          </cell>
          <cell r="L205" t="str">
            <v>MAITRISE</v>
          </cell>
          <cell r="M205" t="str">
            <v>MAITRISE</v>
          </cell>
          <cell r="N205" t="str">
            <v>MAITRISES, Echellon 2, Classe 11</v>
          </cell>
          <cell r="P205">
            <v>44725</v>
          </cell>
          <cell r="Q205" t="e">
            <v>#N/A</v>
          </cell>
          <cell r="R205" t="e">
            <v>#N/A</v>
          </cell>
          <cell r="S205" t="e">
            <v>#N/A</v>
          </cell>
          <cell r="T205" t="e">
            <v>#N/A</v>
          </cell>
          <cell r="U205" t="e">
            <v>#N/A</v>
          </cell>
          <cell r="V205" t="e">
            <v>#N/A</v>
          </cell>
          <cell r="W205" t="e">
            <v>#N/A</v>
          </cell>
          <cell r="X205" t="e">
            <v>#N/A</v>
          </cell>
          <cell r="Y205" t="e">
            <v>#N/A</v>
          </cell>
          <cell r="Z205" t="e">
            <v>#N/A</v>
          </cell>
          <cell r="AA205" t="e">
            <v>#N/A</v>
          </cell>
          <cell r="AB205" t="e">
            <v>#N/A</v>
          </cell>
          <cell r="AC205" t="e">
            <v>#N/A</v>
          </cell>
          <cell r="AE205">
            <v>548.6</v>
          </cell>
          <cell r="AF205" t="e">
            <v>#N/A</v>
          </cell>
          <cell r="AG205" t="e">
            <v>#N/A</v>
          </cell>
          <cell r="AH205" t="e">
            <v>#N/A</v>
          </cell>
          <cell r="AI205" t="e">
            <v>#N/A</v>
          </cell>
          <cell r="AJ205" t="e">
            <v>#N/A</v>
          </cell>
          <cell r="AK205" t="e">
            <v>#N/A</v>
          </cell>
          <cell r="AL205" t="e">
            <v>#N/A</v>
          </cell>
          <cell r="AM205" t="e">
            <v>#N/A</v>
          </cell>
          <cell r="AN205">
            <v>0</v>
          </cell>
          <cell r="AR205" t="e">
            <v>#N/A</v>
          </cell>
          <cell r="AS205">
            <v>100</v>
          </cell>
          <cell r="AT205" t="e">
            <v>#N/A</v>
          </cell>
          <cell r="AU205">
            <v>81.900000000000006</v>
          </cell>
          <cell r="AV205">
            <v>1</v>
          </cell>
          <cell r="AY205" t="e">
            <v>#N/A</v>
          </cell>
          <cell r="BA205">
            <v>1.54000000000002</v>
          </cell>
          <cell r="BB205" t="e">
            <v>#N/A</v>
          </cell>
          <cell r="BC205">
            <v>100</v>
          </cell>
          <cell r="BD205" t="e">
            <v>#N/A</v>
          </cell>
          <cell r="BE205" t="e">
            <v>#N/A</v>
          </cell>
          <cell r="BF205" t="e">
            <v>#N/A</v>
          </cell>
          <cell r="BL205">
            <v>0</v>
          </cell>
          <cell r="BM205" t="e">
            <v>#N/A</v>
          </cell>
          <cell r="BN205" t="e">
            <v>#N/A</v>
          </cell>
          <cell r="BO205" t="e">
            <v>#N/A</v>
          </cell>
          <cell r="BP205" t="e">
            <v>#N/A</v>
          </cell>
          <cell r="BQ205" t="e">
            <v>#N/A</v>
          </cell>
          <cell r="BR205">
            <v>-0.38784232365145227</v>
          </cell>
          <cell r="BT205">
            <v>-0.38784232365145227</v>
          </cell>
          <cell r="BU205" t="e">
            <v>#N/A</v>
          </cell>
          <cell r="BV205" t="e">
            <v>#N/A</v>
          </cell>
          <cell r="BW205" t="e">
            <v>#N/A</v>
          </cell>
          <cell r="BX205" t="e">
            <v>#N/A</v>
          </cell>
          <cell r="BY205" t="e">
            <v>#N/A</v>
          </cell>
          <cell r="BZ205" t="str">
            <v>CDI</v>
          </cell>
          <cell r="CC205" t="str">
            <v>BANQUE</v>
          </cell>
          <cell r="CD205" t="str">
            <v>710-Sales</v>
          </cell>
          <cell r="CE205">
            <v>710</v>
          </cell>
        </row>
        <row r="206">
          <cell r="B206" t="str">
            <v>07274</v>
          </cell>
          <cell r="C206" t="str">
            <v>MASIDI EYANGE FAUSTIN</v>
          </cell>
          <cell r="D206" t="str">
            <v>Hevea</v>
          </cell>
          <cell r="E206" t="str">
            <v>00011050066200038822755</v>
          </cell>
          <cell r="F206" t="str">
            <v>12000593074G</v>
          </cell>
          <cell r="G206" t="str">
            <v>Waiter</v>
          </cell>
          <cell r="H206">
            <v>0</v>
          </cell>
          <cell r="I206">
            <v>5</v>
          </cell>
          <cell r="J206">
            <v>5</v>
          </cell>
          <cell r="K206" t="str">
            <v>MAO1-1.I</v>
          </cell>
          <cell r="L206" t="str">
            <v>MANŒUVRE ORDINAIRE</v>
          </cell>
          <cell r="M206" t="str">
            <v>CATEGORIE 1 A 5</v>
          </cell>
          <cell r="N206" t="str">
            <v>MANŒUVRE ORDINAIRE (MO), Echellon 1, Classe 1</v>
          </cell>
          <cell r="P206">
            <v>44727</v>
          </cell>
          <cell r="Q206" t="e">
            <v>#N/A</v>
          </cell>
          <cell r="R206" t="e">
            <v>#N/A</v>
          </cell>
          <cell r="S206" t="e">
            <v>#N/A</v>
          </cell>
          <cell r="T206" t="e">
            <v>#N/A</v>
          </cell>
          <cell r="U206" t="e">
            <v>#N/A</v>
          </cell>
          <cell r="V206" t="e">
            <v>#N/A</v>
          </cell>
          <cell r="W206" t="e">
            <v>#N/A</v>
          </cell>
          <cell r="X206" t="e">
            <v>#N/A</v>
          </cell>
          <cell r="Y206" t="e">
            <v>#N/A</v>
          </cell>
          <cell r="Z206" t="e">
            <v>#N/A</v>
          </cell>
          <cell r="AA206" t="e">
            <v>#N/A</v>
          </cell>
          <cell r="AB206" t="e">
            <v>#N/A</v>
          </cell>
          <cell r="AC206" t="e">
            <v>#N/A</v>
          </cell>
          <cell r="AE206">
            <v>130</v>
          </cell>
          <cell r="AF206" t="e">
            <v>#N/A</v>
          </cell>
          <cell r="AG206" t="e">
            <v>#N/A</v>
          </cell>
          <cell r="AH206" t="e">
            <v>#N/A</v>
          </cell>
          <cell r="AI206" t="e">
            <v>#N/A</v>
          </cell>
          <cell r="AJ206" t="e">
            <v>#N/A</v>
          </cell>
          <cell r="AK206" t="e">
            <v>#N/A</v>
          </cell>
          <cell r="AL206" t="e">
            <v>#N/A</v>
          </cell>
          <cell r="AM206" t="e">
            <v>#N/A</v>
          </cell>
          <cell r="AN206">
            <v>0</v>
          </cell>
          <cell r="AR206" t="e">
            <v>#N/A</v>
          </cell>
          <cell r="AS206">
            <v>50</v>
          </cell>
          <cell r="AT206" t="e">
            <v>#N/A</v>
          </cell>
          <cell r="AU206">
            <v>39</v>
          </cell>
          <cell r="AV206">
            <v>0</v>
          </cell>
          <cell r="AY206" t="e">
            <v>#N/A</v>
          </cell>
          <cell r="BA206">
            <v>0</v>
          </cell>
          <cell r="BB206" t="e">
            <v>#N/A</v>
          </cell>
          <cell r="BD206" t="e">
            <v>#N/A</v>
          </cell>
          <cell r="BE206" t="e">
            <v>#N/A</v>
          </cell>
          <cell r="BF206" t="e">
            <v>#N/A</v>
          </cell>
          <cell r="BI206">
            <v>96</v>
          </cell>
          <cell r="BL206">
            <v>96</v>
          </cell>
          <cell r="BM206" t="e">
            <v>#N/A</v>
          </cell>
          <cell r="BN206" t="e">
            <v>#N/A</v>
          </cell>
          <cell r="BO206" t="e">
            <v>#N/A</v>
          </cell>
          <cell r="BP206" t="e">
            <v>#N/A</v>
          </cell>
          <cell r="BQ206" t="e">
            <v>#N/A</v>
          </cell>
          <cell r="BR206">
            <v>-0.38784232365145227</v>
          </cell>
          <cell r="BT206">
            <v>-0.38784232365145227</v>
          </cell>
          <cell r="BU206" t="e">
            <v>#N/A</v>
          </cell>
          <cell r="BV206" t="e">
            <v>#N/A</v>
          </cell>
          <cell r="BW206" t="e">
            <v>#N/A</v>
          </cell>
          <cell r="BX206" t="e">
            <v>#N/A</v>
          </cell>
          <cell r="BY206" t="e">
            <v>#N/A</v>
          </cell>
          <cell r="BZ206" t="str">
            <v>CDI</v>
          </cell>
          <cell r="CC206" t="str">
            <v>BANQUE</v>
          </cell>
          <cell r="CD206" t="str">
            <v>216-Hevea</v>
          </cell>
          <cell r="CE206">
            <v>216</v>
          </cell>
        </row>
        <row r="207">
          <cell r="B207" t="str">
            <v>07275</v>
          </cell>
          <cell r="C207" t="str">
            <v>MUZAMBA MAYILA MIKE</v>
          </cell>
          <cell r="D207" t="str">
            <v>Hevea</v>
          </cell>
          <cell r="E207" t="str">
            <v>00011050066200038906369</v>
          </cell>
          <cell r="F207" t="str">
            <v>11993593112C</v>
          </cell>
          <cell r="G207" t="str">
            <v>Waiter</v>
          </cell>
          <cell r="H207">
            <v>0</v>
          </cell>
          <cell r="I207">
            <v>5</v>
          </cell>
          <cell r="J207">
            <v>5</v>
          </cell>
          <cell r="K207" t="str">
            <v>MAO1-1.I</v>
          </cell>
          <cell r="L207" t="str">
            <v>MANŒUVRE ORDINAIRE</v>
          </cell>
          <cell r="M207" t="str">
            <v>CATEGORIE 1 A 5</v>
          </cell>
          <cell r="N207" t="str">
            <v>MANŒUVRE ORDINAIRE (MO), Echellon 1, Classe 1</v>
          </cell>
          <cell r="P207">
            <v>44727</v>
          </cell>
          <cell r="Q207" t="e">
            <v>#N/A</v>
          </cell>
          <cell r="R207" t="e">
            <v>#N/A</v>
          </cell>
          <cell r="S207" t="e">
            <v>#N/A</v>
          </cell>
          <cell r="T207" t="e">
            <v>#N/A</v>
          </cell>
          <cell r="U207" t="e">
            <v>#N/A</v>
          </cell>
          <cell r="V207" t="e">
            <v>#N/A</v>
          </cell>
          <cell r="W207" t="e">
            <v>#N/A</v>
          </cell>
          <cell r="X207" t="e">
            <v>#N/A</v>
          </cell>
          <cell r="Y207" t="e">
            <v>#N/A</v>
          </cell>
          <cell r="Z207" t="e">
            <v>#N/A</v>
          </cell>
          <cell r="AA207" t="e">
            <v>#N/A</v>
          </cell>
          <cell r="AB207" t="e">
            <v>#N/A</v>
          </cell>
          <cell r="AC207" t="e">
            <v>#N/A</v>
          </cell>
          <cell r="AE207">
            <v>130</v>
          </cell>
          <cell r="AF207" t="e">
            <v>#N/A</v>
          </cell>
          <cell r="AG207" t="e">
            <v>#N/A</v>
          </cell>
          <cell r="AH207" t="e">
            <v>#N/A</v>
          </cell>
          <cell r="AI207" t="e">
            <v>#N/A</v>
          </cell>
          <cell r="AJ207" t="e">
            <v>#N/A</v>
          </cell>
          <cell r="AK207" t="e">
            <v>#N/A</v>
          </cell>
          <cell r="AL207" t="e">
            <v>#N/A</v>
          </cell>
          <cell r="AM207" t="e">
            <v>#N/A</v>
          </cell>
          <cell r="AN207">
            <v>0</v>
          </cell>
          <cell r="AR207" t="e">
            <v>#N/A</v>
          </cell>
          <cell r="AS207">
            <v>50</v>
          </cell>
          <cell r="AT207" t="e">
            <v>#N/A</v>
          </cell>
          <cell r="AU207">
            <v>39</v>
          </cell>
          <cell r="AV207">
            <v>0</v>
          </cell>
          <cell r="AY207" t="e">
            <v>#N/A</v>
          </cell>
          <cell r="BA207">
            <v>0</v>
          </cell>
          <cell r="BB207" t="e">
            <v>#N/A</v>
          </cell>
          <cell r="BD207" t="e">
            <v>#N/A</v>
          </cell>
          <cell r="BE207" t="e">
            <v>#N/A</v>
          </cell>
          <cell r="BF207" t="e">
            <v>#N/A</v>
          </cell>
          <cell r="BL207">
            <v>0</v>
          </cell>
          <cell r="BM207" t="e">
            <v>#N/A</v>
          </cell>
          <cell r="BN207" t="e">
            <v>#N/A</v>
          </cell>
          <cell r="BO207" t="e">
            <v>#N/A</v>
          </cell>
          <cell r="BP207" t="e">
            <v>#N/A</v>
          </cell>
          <cell r="BQ207" t="e">
            <v>#N/A</v>
          </cell>
          <cell r="BR207">
            <v>-0.38784232365145227</v>
          </cell>
          <cell r="BT207">
            <v>-0.38784232365145227</v>
          </cell>
          <cell r="BU207" t="e">
            <v>#N/A</v>
          </cell>
          <cell r="BV207" t="e">
            <v>#N/A</v>
          </cell>
          <cell r="BW207" t="e">
            <v>#N/A</v>
          </cell>
          <cell r="BX207" t="e">
            <v>#N/A</v>
          </cell>
          <cell r="BY207" t="e">
            <v>#N/A</v>
          </cell>
          <cell r="BZ207" t="str">
            <v>CDI</v>
          </cell>
          <cell r="CC207" t="str">
            <v>BANQUE</v>
          </cell>
          <cell r="CD207" t="str">
            <v>216-Hevea</v>
          </cell>
          <cell r="CE207">
            <v>216</v>
          </cell>
        </row>
        <row r="208">
          <cell r="B208" t="str">
            <v>07276</v>
          </cell>
          <cell r="C208" t="str">
            <v>MUKOKO MATONSI GLODY</v>
          </cell>
          <cell r="D208" t="str">
            <v>Hevea</v>
          </cell>
          <cell r="E208" t="str">
            <v>00011050066200038882507</v>
          </cell>
          <cell r="F208" t="str">
            <v>11995522589U</v>
          </cell>
          <cell r="G208" t="str">
            <v>Waiter</v>
          </cell>
          <cell r="H208">
            <v>0</v>
          </cell>
          <cell r="I208">
            <v>5</v>
          </cell>
          <cell r="J208">
            <v>5</v>
          </cell>
          <cell r="K208" t="str">
            <v>MAO1-1.I</v>
          </cell>
          <cell r="L208" t="str">
            <v>MANŒUVRE ORDINAIRE</v>
          </cell>
          <cell r="M208" t="str">
            <v>CATEGORIE 1 A 5</v>
          </cell>
          <cell r="N208" t="str">
            <v>MANŒUVRE ORDINAIRE (MO), Echellon 1, Classe 1</v>
          </cell>
          <cell r="P208">
            <v>44727</v>
          </cell>
          <cell r="Q208" t="e">
            <v>#N/A</v>
          </cell>
          <cell r="R208" t="e">
            <v>#N/A</v>
          </cell>
          <cell r="S208" t="e">
            <v>#N/A</v>
          </cell>
          <cell r="T208" t="e">
            <v>#N/A</v>
          </cell>
          <cell r="U208" t="e">
            <v>#N/A</v>
          </cell>
          <cell r="V208" t="e">
            <v>#N/A</v>
          </cell>
          <cell r="W208" t="e">
            <v>#N/A</v>
          </cell>
          <cell r="X208" t="e">
            <v>#N/A</v>
          </cell>
          <cell r="Y208" t="e">
            <v>#N/A</v>
          </cell>
          <cell r="Z208" t="e">
            <v>#N/A</v>
          </cell>
          <cell r="AA208" t="e">
            <v>#N/A</v>
          </cell>
          <cell r="AB208" t="e">
            <v>#N/A</v>
          </cell>
          <cell r="AC208" t="e">
            <v>#N/A</v>
          </cell>
          <cell r="AE208">
            <v>130</v>
          </cell>
          <cell r="AF208" t="e">
            <v>#N/A</v>
          </cell>
          <cell r="AG208" t="e">
            <v>#N/A</v>
          </cell>
          <cell r="AH208" t="e">
            <v>#N/A</v>
          </cell>
          <cell r="AI208" t="e">
            <v>#N/A</v>
          </cell>
          <cell r="AJ208" t="e">
            <v>#N/A</v>
          </cell>
          <cell r="AK208" t="e">
            <v>#N/A</v>
          </cell>
          <cell r="AL208" t="e">
            <v>#N/A</v>
          </cell>
          <cell r="AM208" t="e">
            <v>#N/A</v>
          </cell>
          <cell r="AN208">
            <v>0</v>
          </cell>
          <cell r="AR208" t="e">
            <v>#N/A</v>
          </cell>
          <cell r="AS208">
            <v>50</v>
          </cell>
          <cell r="AT208" t="e">
            <v>#N/A</v>
          </cell>
          <cell r="AU208">
            <v>39</v>
          </cell>
          <cell r="AV208">
            <v>0</v>
          </cell>
          <cell r="AY208" t="e">
            <v>#N/A</v>
          </cell>
          <cell r="BA208">
            <v>0</v>
          </cell>
          <cell r="BB208" t="e">
            <v>#N/A</v>
          </cell>
          <cell r="BD208" t="e">
            <v>#N/A</v>
          </cell>
          <cell r="BE208" t="e">
            <v>#N/A</v>
          </cell>
          <cell r="BF208" t="e">
            <v>#N/A</v>
          </cell>
          <cell r="BL208">
            <v>0</v>
          </cell>
          <cell r="BM208" t="e">
            <v>#N/A</v>
          </cell>
          <cell r="BN208" t="e">
            <v>#N/A</v>
          </cell>
          <cell r="BO208" t="e">
            <v>#N/A</v>
          </cell>
          <cell r="BP208" t="e">
            <v>#N/A</v>
          </cell>
          <cell r="BQ208" t="e">
            <v>#N/A</v>
          </cell>
          <cell r="BR208">
            <v>-0.38784232365145227</v>
          </cell>
          <cell r="BT208">
            <v>-0.38784232365145227</v>
          </cell>
          <cell r="BU208" t="e">
            <v>#N/A</v>
          </cell>
          <cell r="BV208" t="e">
            <v>#N/A</v>
          </cell>
          <cell r="BW208" t="e">
            <v>#N/A</v>
          </cell>
          <cell r="BX208" t="e">
            <v>#N/A</v>
          </cell>
          <cell r="BY208" t="e">
            <v>#N/A</v>
          </cell>
          <cell r="BZ208" t="str">
            <v>CDI</v>
          </cell>
          <cell r="CC208" t="str">
            <v>BANQUE</v>
          </cell>
          <cell r="CD208" t="str">
            <v>216-Hevea</v>
          </cell>
          <cell r="CE208">
            <v>216</v>
          </cell>
        </row>
        <row r="209">
          <cell r="B209" t="str">
            <v>07278</v>
          </cell>
          <cell r="C209" t="str">
            <v>MUKENDI KAPIAMBA MICHAEL</v>
          </cell>
          <cell r="D209" t="str">
            <v>Hevea</v>
          </cell>
          <cell r="E209" t="str">
            <v>00011050066200038880373</v>
          </cell>
          <cell r="F209" t="str">
            <v>11995593124D</v>
          </cell>
          <cell r="G209" t="str">
            <v>Barman</v>
          </cell>
          <cell r="H209">
            <v>0</v>
          </cell>
          <cell r="I209">
            <v>5</v>
          </cell>
          <cell r="J209">
            <v>5</v>
          </cell>
          <cell r="K209" t="str">
            <v>MAO1-1.I</v>
          </cell>
          <cell r="L209" t="str">
            <v>MANŒUVRE ORDINAIRE</v>
          </cell>
          <cell r="M209" t="str">
            <v>CATEGORIE 1 A 5</v>
          </cell>
          <cell r="N209" t="str">
            <v>MANŒUVRE ORDINAIRE (MO), Echellon 1, Classe 1</v>
          </cell>
          <cell r="P209">
            <v>44727</v>
          </cell>
          <cell r="Q209" t="e">
            <v>#N/A</v>
          </cell>
          <cell r="R209" t="e">
            <v>#N/A</v>
          </cell>
          <cell r="S209" t="e">
            <v>#N/A</v>
          </cell>
          <cell r="T209" t="e">
            <v>#N/A</v>
          </cell>
          <cell r="U209" t="e">
            <v>#N/A</v>
          </cell>
          <cell r="V209" t="e">
            <v>#N/A</v>
          </cell>
          <cell r="W209" t="e">
            <v>#N/A</v>
          </cell>
          <cell r="X209" t="e">
            <v>#N/A</v>
          </cell>
          <cell r="Y209" t="e">
            <v>#N/A</v>
          </cell>
          <cell r="Z209" t="e">
            <v>#N/A</v>
          </cell>
          <cell r="AA209" t="e">
            <v>#N/A</v>
          </cell>
          <cell r="AB209" t="e">
            <v>#N/A</v>
          </cell>
          <cell r="AC209" t="e">
            <v>#N/A</v>
          </cell>
          <cell r="AE209">
            <v>130</v>
          </cell>
          <cell r="AF209" t="e">
            <v>#N/A</v>
          </cell>
          <cell r="AG209" t="e">
            <v>#N/A</v>
          </cell>
          <cell r="AH209" t="e">
            <v>#N/A</v>
          </cell>
          <cell r="AI209" t="e">
            <v>#N/A</v>
          </cell>
          <cell r="AJ209" t="e">
            <v>#N/A</v>
          </cell>
          <cell r="AK209" t="e">
            <v>#N/A</v>
          </cell>
          <cell r="AL209" t="e">
            <v>#N/A</v>
          </cell>
          <cell r="AM209" t="e">
            <v>#N/A</v>
          </cell>
          <cell r="AN209">
            <v>0</v>
          </cell>
          <cell r="AR209" t="e">
            <v>#N/A</v>
          </cell>
          <cell r="AS209">
            <v>50</v>
          </cell>
          <cell r="AT209" t="e">
            <v>#N/A</v>
          </cell>
          <cell r="AU209">
            <v>39</v>
          </cell>
          <cell r="AV209">
            <v>0</v>
          </cell>
          <cell r="AY209" t="e">
            <v>#N/A</v>
          </cell>
          <cell r="BA209">
            <v>0</v>
          </cell>
          <cell r="BB209" t="e">
            <v>#N/A</v>
          </cell>
          <cell r="BD209" t="e">
            <v>#N/A</v>
          </cell>
          <cell r="BE209" t="e">
            <v>#N/A</v>
          </cell>
          <cell r="BF209" t="e">
            <v>#N/A</v>
          </cell>
          <cell r="BL209">
            <v>0</v>
          </cell>
          <cell r="BM209" t="e">
            <v>#N/A</v>
          </cell>
          <cell r="BN209" t="e">
            <v>#N/A</v>
          </cell>
          <cell r="BO209" t="e">
            <v>#N/A</v>
          </cell>
          <cell r="BP209" t="e">
            <v>#N/A</v>
          </cell>
          <cell r="BQ209" t="e">
            <v>#N/A</v>
          </cell>
          <cell r="BR209">
            <v>-0.38784232365145227</v>
          </cell>
          <cell r="BT209">
            <v>-0.38784232365145227</v>
          </cell>
          <cell r="BU209" t="e">
            <v>#N/A</v>
          </cell>
          <cell r="BV209" t="e">
            <v>#N/A</v>
          </cell>
          <cell r="BW209" t="e">
            <v>#N/A</v>
          </cell>
          <cell r="BX209" t="e">
            <v>#N/A</v>
          </cell>
          <cell r="BY209" t="e">
            <v>#N/A</v>
          </cell>
          <cell r="BZ209" t="str">
            <v>CDI</v>
          </cell>
          <cell r="CC209" t="str">
            <v>BANQUE</v>
          </cell>
          <cell r="CD209" t="str">
            <v>216-Hevea</v>
          </cell>
          <cell r="CE209">
            <v>216</v>
          </cell>
        </row>
        <row r="210">
          <cell r="B210" t="str">
            <v>07279</v>
          </cell>
          <cell r="C210" t="str">
            <v>BUKASA TSHIBANGU MOISE</v>
          </cell>
          <cell r="D210" t="str">
            <v>La Riviera</v>
          </cell>
          <cell r="E210" t="str">
            <v>00011050366200030141872</v>
          </cell>
          <cell r="F210" t="str">
            <v>11993593098L</v>
          </cell>
          <cell r="G210" t="str">
            <v>Caissier</v>
          </cell>
          <cell r="H210">
            <v>6.65</v>
          </cell>
          <cell r="I210">
            <v>7.7</v>
          </cell>
          <cell r="J210">
            <v>7.6999999999999993</v>
          </cell>
          <cell r="K210" t="str">
            <v>TSQ1-4.III</v>
          </cell>
          <cell r="L210" t="str">
            <v>TRAVAILLEUR SEMI QUALIFIE</v>
          </cell>
          <cell r="M210" t="str">
            <v>CATEGORIE 1 A 5</v>
          </cell>
          <cell r="N210" t="str">
            <v>TRAVAILLEUR SEMI QUALIFIE (TSQ), Echellon 1, Classe 4</v>
          </cell>
          <cell r="P210">
            <v>44733</v>
          </cell>
          <cell r="Q210" t="e">
            <v>#N/A</v>
          </cell>
          <cell r="R210" t="e">
            <v>#N/A</v>
          </cell>
          <cell r="S210" t="e">
            <v>#N/A</v>
          </cell>
          <cell r="T210" t="e">
            <v>#N/A</v>
          </cell>
          <cell r="U210" t="e">
            <v>#N/A</v>
          </cell>
          <cell r="V210" t="e">
            <v>#N/A</v>
          </cell>
          <cell r="W210" t="e">
            <v>#N/A</v>
          </cell>
          <cell r="X210" t="e">
            <v>#N/A</v>
          </cell>
          <cell r="Y210" t="e">
            <v>#N/A</v>
          </cell>
          <cell r="Z210" t="e">
            <v>#N/A</v>
          </cell>
          <cell r="AA210" t="e">
            <v>#N/A</v>
          </cell>
          <cell r="AB210" t="e">
            <v>#N/A</v>
          </cell>
          <cell r="AC210" t="e">
            <v>#N/A</v>
          </cell>
          <cell r="AE210">
            <v>200.2</v>
          </cell>
          <cell r="AF210" t="e">
            <v>#N/A</v>
          </cell>
          <cell r="AG210" t="e">
            <v>#N/A</v>
          </cell>
          <cell r="AH210" t="e">
            <v>#N/A</v>
          </cell>
          <cell r="AI210" t="e">
            <v>#N/A</v>
          </cell>
          <cell r="AJ210" t="e">
            <v>#N/A</v>
          </cell>
          <cell r="AK210" t="e">
            <v>#N/A</v>
          </cell>
          <cell r="AL210" t="e">
            <v>#N/A</v>
          </cell>
          <cell r="AM210" t="e">
            <v>#N/A</v>
          </cell>
          <cell r="AN210">
            <v>0</v>
          </cell>
          <cell r="AO210">
            <v>30</v>
          </cell>
          <cell r="AR210" t="e">
            <v>#N/A</v>
          </cell>
          <cell r="AS210">
            <v>65</v>
          </cell>
          <cell r="AT210" t="e">
            <v>#N/A</v>
          </cell>
          <cell r="AU210">
            <v>29.8</v>
          </cell>
          <cell r="AV210">
            <v>0</v>
          </cell>
          <cell r="AY210" t="e">
            <v>#N/A</v>
          </cell>
          <cell r="BA210">
            <v>0</v>
          </cell>
          <cell r="BB210" t="e">
            <v>#N/A</v>
          </cell>
          <cell r="BD210" t="e">
            <v>#N/A</v>
          </cell>
          <cell r="BE210" t="e">
            <v>#N/A</v>
          </cell>
          <cell r="BF210" t="e">
            <v>#N/A</v>
          </cell>
          <cell r="BL210">
            <v>0</v>
          </cell>
          <cell r="BM210" t="e">
            <v>#N/A</v>
          </cell>
          <cell r="BN210" t="e">
            <v>#N/A</v>
          </cell>
          <cell r="BO210" t="e">
            <v>#N/A</v>
          </cell>
          <cell r="BP210" t="e">
            <v>#N/A</v>
          </cell>
          <cell r="BQ210" t="e">
            <v>#N/A</v>
          </cell>
          <cell r="BR210">
            <v>-0.38784232365145227</v>
          </cell>
          <cell r="BT210">
            <v>-0.38784232365145227</v>
          </cell>
          <cell r="BU210" t="e">
            <v>#N/A</v>
          </cell>
          <cell r="BV210" t="e">
            <v>#N/A</v>
          </cell>
          <cell r="BW210" t="e">
            <v>#N/A</v>
          </cell>
          <cell r="BX210" t="e">
            <v>#N/A</v>
          </cell>
          <cell r="BY210" t="e">
            <v>#N/A</v>
          </cell>
          <cell r="BZ210" t="str">
            <v>CDI</v>
          </cell>
          <cell r="CC210" t="str">
            <v>BANQUE</v>
          </cell>
          <cell r="CD210" t="str">
            <v>212-La Riviera</v>
          </cell>
          <cell r="CE210">
            <v>212</v>
          </cell>
        </row>
        <row r="211">
          <cell r="B211" t="str">
            <v>07281</v>
          </cell>
          <cell r="C211" t="str">
            <v>MANYONGA KUPA MAMISA</v>
          </cell>
          <cell r="D211" t="str">
            <v>Kitchen</v>
          </cell>
          <cell r="E211" t="str">
            <v>00011050066200050822043</v>
          </cell>
          <cell r="F211" t="str">
            <v>21989411779Q</v>
          </cell>
          <cell r="G211" t="str">
            <v>Commis</v>
          </cell>
          <cell r="H211">
            <v>0</v>
          </cell>
          <cell r="I211">
            <v>5</v>
          </cell>
          <cell r="J211">
            <v>5</v>
          </cell>
          <cell r="K211" t="str">
            <v>MAO1-1.I</v>
          </cell>
          <cell r="L211" t="str">
            <v>MANŒUVRE ORDINAIRE</v>
          </cell>
          <cell r="M211" t="str">
            <v>CATEGORIE 1 A 5</v>
          </cell>
          <cell r="N211" t="str">
            <v>MANŒUVRE ORDINAIRE (MO), Echellon 1, Classe 1</v>
          </cell>
          <cell r="P211">
            <v>44794</v>
          </cell>
          <cell r="Q211" t="e">
            <v>#N/A</v>
          </cell>
          <cell r="R211" t="e">
            <v>#N/A</v>
          </cell>
          <cell r="S211" t="e">
            <v>#N/A</v>
          </cell>
          <cell r="T211" t="e">
            <v>#N/A</v>
          </cell>
          <cell r="U211" t="e">
            <v>#N/A</v>
          </cell>
          <cell r="V211" t="e">
            <v>#N/A</v>
          </cell>
          <cell r="W211" t="e">
            <v>#N/A</v>
          </cell>
          <cell r="X211" t="e">
            <v>#N/A</v>
          </cell>
          <cell r="Y211" t="e">
            <v>#N/A</v>
          </cell>
          <cell r="Z211" t="e">
            <v>#N/A</v>
          </cell>
          <cell r="AA211" t="e">
            <v>#N/A</v>
          </cell>
          <cell r="AB211" t="e">
            <v>#N/A</v>
          </cell>
          <cell r="AC211" t="e">
            <v>#N/A</v>
          </cell>
          <cell r="AE211">
            <v>130</v>
          </cell>
          <cell r="AF211" t="e">
            <v>#N/A</v>
          </cell>
          <cell r="AG211" t="e">
            <v>#N/A</v>
          </cell>
          <cell r="AH211" t="e">
            <v>#N/A</v>
          </cell>
          <cell r="AI211" t="e">
            <v>#N/A</v>
          </cell>
          <cell r="AJ211" t="e">
            <v>#N/A</v>
          </cell>
          <cell r="AK211" t="e">
            <v>#N/A</v>
          </cell>
          <cell r="AL211" t="e">
            <v>#N/A</v>
          </cell>
          <cell r="AM211" t="e">
            <v>#N/A</v>
          </cell>
          <cell r="AN211">
            <v>0</v>
          </cell>
          <cell r="AR211" t="e">
            <v>#N/A</v>
          </cell>
          <cell r="AS211">
            <v>61</v>
          </cell>
          <cell r="AT211" t="e">
            <v>#N/A</v>
          </cell>
          <cell r="AU211">
            <v>39</v>
          </cell>
          <cell r="AV211">
            <v>0</v>
          </cell>
          <cell r="AY211" t="e">
            <v>#N/A</v>
          </cell>
          <cell r="BA211">
            <v>0</v>
          </cell>
          <cell r="BB211" t="e">
            <v>#N/A</v>
          </cell>
          <cell r="BD211" t="e">
            <v>#N/A</v>
          </cell>
          <cell r="BE211" t="e">
            <v>#N/A</v>
          </cell>
          <cell r="BF211" t="e">
            <v>#N/A</v>
          </cell>
          <cell r="BL211">
            <v>0</v>
          </cell>
          <cell r="BM211" t="e">
            <v>#N/A</v>
          </cell>
          <cell r="BN211" t="e">
            <v>#N/A</v>
          </cell>
          <cell r="BO211" t="e">
            <v>#N/A</v>
          </cell>
          <cell r="BP211" t="e">
            <v>#N/A</v>
          </cell>
          <cell r="BQ211" t="e">
            <v>#N/A</v>
          </cell>
          <cell r="BR211">
            <v>-0.38784232365145227</v>
          </cell>
          <cell r="BT211">
            <v>-0.38784232365145227</v>
          </cell>
          <cell r="BU211" t="e">
            <v>#N/A</v>
          </cell>
          <cell r="BV211" t="e">
            <v>#N/A</v>
          </cell>
          <cell r="BW211" t="e">
            <v>#N/A</v>
          </cell>
          <cell r="BX211" t="e">
            <v>#N/A</v>
          </cell>
          <cell r="BY211" t="e">
            <v>#N/A</v>
          </cell>
          <cell r="BZ211" t="str">
            <v>CDI</v>
          </cell>
          <cell r="CC211" t="str">
            <v>BANQUE</v>
          </cell>
          <cell r="CD211" t="str">
            <v>281-Kitchen</v>
          </cell>
          <cell r="CE211">
            <v>281</v>
          </cell>
        </row>
        <row r="212">
          <cell r="B212" t="str">
            <v>07284</v>
          </cell>
          <cell r="C212" t="str">
            <v>KITIMINI KALUME RUDDY</v>
          </cell>
          <cell r="D212" t="str">
            <v>Guest Transportation</v>
          </cell>
          <cell r="E212" t="str">
            <v>00018005036200000013338</v>
          </cell>
          <cell r="F212" t="str">
            <v>11982471352H</v>
          </cell>
          <cell r="G212" t="str">
            <v>DRIVER</v>
          </cell>
          <cell r="H212">
            <v>5</v>
          </cell>
          <cell r="I212">
            <v>5.8</v>
          </cell>
          <cell r="J212">
            <v>5.8000000000000007</v>
          </cell>
          <cell r="K212" t="str">
            <v>MAL1-2.I</v>
          </cell>
          <cell r="L212" t="str">
            <v>MANOEUVRE LOURD</v>
          </cell>
          <cell r="M212" t="str">
            <v>CATEGORIE 1 A 5</v>
          </cell>
          <cell r="N212" t="str">
            <v>MANŒUVRE LOURD (ML), Echellon 2, Classe 2</v>
          </cell>
          <cell r="P212">
            <v>44855</v>
          </cell>
          <cell r="Q212" t="e">
            <v>#N/A</v>
          </cell>
          <cell r="R212" t="e">
            <v>#N/A</v>
          </cell>
          <cell r="S212" t="e">
            <v>#N/A</v>
          </cell>
          <cell r="T212" t="e">
            <v>#N/A</v>
          </cell>
          <cell r="U212" t="e">
            <v>#N/A</v>
          </cell>
          <cell r="V212" t="e">
            <v>#N/A</v>
          </cell>
          <cell r="W212" t="e">
            <v>#N/A</v>
          </cell>
          <cell r="X212" t="e">
            <v>#N/A</v>
          </cell>
          <cell r="Y212" t="e">
            <v>#N/A</v>
          </cell>
          <cell r="Z212" t="e">
            <v>#N/A</v>
          </cell>
          <cell r="AA212" t="e">
            <v>#N/A</v>
          </cell>
          <cell r="AB212" t="e">
            <v>#N/A</v>
          </cell>
          <cell r="AC212" t="e">
            <v>#N/A</v>
          </cell>
          <cell r="AE212">
            <v>150.80000000000001</v>
          </cell>
          <cell r="AF212" t="e">
            <v>#N/A</v>
          </cell>
          <cell r="AG212" t="e">
            <v>#N/A</v>
          </cell>
          <cell r="AH212" t="e">
            <v>#N/A</v>
          </cell>
          <cell r="AI212" t="e">
            <v>#N/A</v>
          </cell>
          <cell r="AJ212" t="e">
            <v>#N/A</v>
          </cell>
          <cell r="AK212" t="e">
            <v>#N/A</v>
          </cell>
          <cell r="AL212" t="e">
            <v>#N/A</v>
          </cell>
          <cell r="AM212" t="e">
            <v>#N/A</v>
          </cell>
          <cell r="AN212">
            <v>0</v>
          </cell>
          <cell r="AR212" t="e">
            <v>#N/A</v>
          </cell>
          <cell r="AS212">
            <v>60</v>
          </cell>
          <cell r="AT212" t="e">
            <v>#N/A</v>
          </cell>
          <cell r="AU212">
            <v>44.2</v>
          </cell>
          <cell r="AV212">
            <v>0</v>
          </cell>
          <cell r="AY212" t="e">
            <v>#N/A</v>
          </cell>
          <cell r="BA212">
            <v>4.0000000000020498E-2</v>
          </cell>
          <cell r="BB212" t="e">
            <v>#N/A</v>
          </cell>
          <cell r="BD212" t="e">
            <v>#N/A</v>
          </cell>
          <cell r="BE212" t="e">
            <v>#N/A</v>
          </cell>
          <cell r="BF212" t="e">
            <v>#N/A</v>
          </cell>
          <cell r="BL212">
            <v>0</v>
          </cell>
          <cell r="BM212" t="e">
            <v>#N/A</v>
          </cell>
          <cell r="BN212" t="e">
            <v>#N/A</v>
          </cell>
          <cell r="BO212" t="e">
            <v>#N/A</v>
          </cell>
          <cell r="BP212" t="e">
            <v>#N/A</v>
          </cell>
          <cell r="BQ212" t="e">
            <v>#N/A</v>
          </cell>
          <cell r="BR212">
            <v>-0.38784232365145227</v>
          </cell>
          <cell r="BT212">
            <v>-0.38784232365145227</v>
          </cell>
          <cell r="BU212" t="e">
            <v>#N/A</v>
          </cell>
          <cell r="BV212" t="e">
            <v>#N/A</v>
          </cell>
          <cell r="BW212" t="e">
            <v>#N/A</v>
          </cell>
          <cell r="BX212" t="e">
            <v>#N/A</v>
          </cell>
          <cell r="BY212" t="e">
            <v>#N/A</v>
          </cell>
          <cell r="BZ212" t="str">
            <v>CDI</v>
          </cell>
          <cell r="CC212" t="str">
            <v>BANQUE</v>
          </cell>
          <cell r="CD212" t="str">
            <v>481-Guest Transportation</v>
          </cell>
          <cell r="CE212">
            <v>481</v>
          </cell>
        </row>
        <row r="213">
          <cell r="B213" t="str">
            <v>07286</v>
          </cell>
          <cell r="C213" t="str">
            <v>MWANZA BETTY</v>
          </cell>
          <cell r="D213" t="str">
            <v>Front Office</v>
          </cell>
          <cell r="E213" t="str">
            <v>00018000360001301120065</v>
          </cell>
          <cell r="F213" t="str">
            <v>105438802120I</v>
          </cell>
          <cell r="G213" t="str">
            <v>First Lady Supervisor</v>
          </cell>
          <cell r="H213">
            <v>10.3</v>
          </cell>
          <cell r="I213">
            <v>11.85</v>
          </cell>
          <cell r="J213">
            <v>11.850000000000001</v>
          </cell>
          <cell r="K213" t="str">
            <v>TRQ1-7.IV</v>
          </cell>
          <cell r="L213" t="str">
            <v>TRAVAILLEUR QUALIFIE</v>
          </cell>
          <cell r="M213" t="str">
            <v>CATEGORIE 1 A 5</v>
          </cell>
          <cell r="N213" t="str">
            <v>TRAVAILLEUR QUALIFIE (TQ), Echellon 1, Classe 7</v>
          </cell>
          <cell r="P213">
            <v>44904</v>
          </cell>
          <cell r="Q213" t="e">
            <v>#N/A</v>
          </cell>
          <cell r="R213" t="e">
            <v>#N/A</v>
          </cell>
          <cell r="S213" t="e">
            <v>#N/A</v>
          </cell>
          <cell r="T213" t="e">
            <v>#N/A</v>
          </cell>
          <cell r="U213" t="e">
            <v>#N/A</v>
          </cell>
          <cell r="V213" t="e">
            <v>#N/A</v>
          </cell>
          <cell r="W213" t="e">
            <v>#N/A</v>
          </cell>
          <cell r="X213" t="e">
            <v>#N/A</v>
          </cell>
          <cell r="Y213" t="e">
            <v>#N/A</v>
          </cell>
          <cell r="Z213" t="e">
            <v>#N/A</v>
          </cell>
          <cell r="AA213" t="e">
            <v>#N/A</v>
          </cell>
          <cell r="AB213" t="e">
            <v>#N/A</v>
          </cell>
          <cell r="AC213" t="e">
            <v>#N/A</v>
          </cell>
          <cell r="AE213">
            <v>308.10000000000002</v>
          </cell>
          <cell r="AF213" t="e">
            <v>#N/A</v>
          </cell>
          <cell r="AG213" t="e">
            <v>#N/A</v>
          </cell>
          <cell r="AH213" t="e">
            <v>#N/A</v>
          </cell>
          <cell r="AI213" t="e">
            <v>#N/A</v>
          </cell>
          <cell r="AJ213" t="e">
            <v>#N/A</v>
          </cell>
          <cell r="AK213" t="e">
            <v>#N/A</v>
          </cell>
          <cell r="AL213" t="e">
            <v>#N/A</v>
          </cell>
          <cell r="AM213" t="e">
            <v>#N/A</v>
          </cell>
          <cell r="AO213">
            <v>30</v>
          </cell>
          <cell r="AR213" t="e">
            <v>#N/A</v>
          </cell>
          <cell r="AS213">
            <v>69</v>
          </cell>
          <cell r="AT213" t="e">
            <v>#N/A</v>
          </cell>
          <cell r="AU213">
            <v>57.9</v>
          </cell>
          <cell r="AV213">
            <v>0</v>
          </cell>
          <cell r="AY213" t="e">
            <v>#N/A</v>
          </cell>
          <cell r="BA213">
            <v>7.4200000000000204</v>
          </cell>
          <cell r="BB213" t="e">
            <v>#N/A</v>
          </cell>
          <cell r="BD213" t="e">
            <v>#N/A</v>
          </cell>
          <cell r="BE213" t="e">
            <v>#N/A</v>
          </cell>
          <cell r="BF213" t="e">
            <v>#N/A</v>
          </cell>
          <cell r="BL213">
            <v>0</v>
          </cell>
          <cell r="BM213" t="e">
            <v>#N/A</v>
          </cell>
          <cell r="BN213" t="e">
            <v>#N/A</v>
          </cell>
          <cell r="BO213" t="e">
            <v>#N/A</v>
          </cell>
          <cell r="BP213" t="e">
            <v>#N/A</v>
          </cell>
          <cell r="BQ213" t="e">
            <v>#N/A</v>
          </cell>
          <cell r="BR213">
            <v>-0.38784232365145227</v>
          </cell>
          <cell r="BT213">
            <v>-0.38784232365145227</v>
          </cell>
          <cell r="BU213" t="e">
            <v>#N/A</v>
          </cell>
          <cell r="BV213" t="e">
            <v>#N/A</v>
          </cell>
          <cell r="BW213" t="e">
            <v>#N/A</v>
          </cell>
          <cell r="BX213" t="e">
            <v>#N/A</v>
          </cell>
          <cell r="BY213" t="e">
            <v>#N/A</v>
          </cell>
          <cell r="BZ213" t="str">
            <v>CDI</v>
          </cell>
          <cell r="CC213" t="str">
            <v>BANQUE</v>
          </cell>
          <cell r="CD213" t="str">
            <v>120-Front Office</v>
          </cell>
          <cell r="CE213">
            <v>120</v>
          </cell>
        </row>
        <row r="214">
          <cell r="B214" t="str">
            <v>07288</v>
          </cell>
          <cell r="C214" t="str">
            <v>MUNDIDI MUNANGI AIME</v>
          </cell>
          <cell r="D214" t="str">
            <v>Accounting</v>
          </cell>
          <cell r="E214" t="str">
            <v>00011050066200081191967</v>
          </cell>
          <cell r="F214" t="str">
            <v>11979629877V</v>
          </cell>
          <cell r="G214" t="str">
            <v>Night Auditor</v>
          </cell>
          <cell r="H214">
            <v>13.7</v>
          </cell>
          <cell r="I214">
            <v>15.85</v>
          </cell>
          <cell r="J214">
            <v>15.850000000000001</v>
          </cell>
          <cell r="K214" t="str">
            <v>THQ0-9.V</v>
          </cell>
          <cell r="L214" t="str">
            <v>TRAVAILLEUR HAUTEMENT QUALIFIE</v>
          </cell>
          <cell r="M214" t="str">
            <v>CATEGORIE 1 A 5</v>
          </cell>
          <cell r="N214" t="str">
            <v>TRAVAILLEUR HAUTEMENT QUALIFIE (THQ), Echellon 0, Classe 9</v>
          </cell>
          <cell r="P214">
            <v>44987</v>
          </cell>
          <cell r="Q214" t="e">
            <v>#N/A</v>
          </cell>
          <cell r="R214" t="e">
            <v>#N/A</v>
          </cell>
          <cell r="S214" t="e">
            <v>#N/A</v>
          </cell>
          <cell r="T214" t="e">
            <v>#N/A</v>
          </cell>
          <cell r="U214" t="e">
            <v>#N/A</v>
          </cell>
          <cell r="V214" t="e">
            <v>#N/A</v>
          </cell>
          <cell r="W214" t="e">
            <v>#N/A</v>
          </cell>
          <cell r="X214" t="e">
            <v>#N/A</v>
          </cell>
          <cell r="Y214" t="e">
            <v>#N/A</v>
          </cell>
          <cell r="Z214" t="e">
            <v>#N/A</v>
          </cell>
          <cell r="AA214" t="e">
            <v>#N/A</v>
          </cell>
          <cell r="AB214" t="e">
            <v>#N/A</v>
          </cell>
          <cell r="AC214" t="e">
            <v>#N/A</v>
          </cell>
          <cell r="AE214">
            <v>412.1</v>
          </cell>
          <cell r="AF214" t="e">
            <v>#N/A</v>
          </cell>
          <cell r="AG214" t="e">
            <v>#N/A</v>
          </cell>
          <cell r="AH214" t="e">
            <v>#N/A</v>
          </cell>
          <cell r="AI214" t="e">
            <v>#N/A</v>
          </cell>
          <cell r="AJ214" t="e">
            <v>#N/A</v>
          </cell>
          <cell r="AK214" t="e">
            <v>#N/A</v>
          </cell>
          <cell r="AL214" t="e">
            <v>#N/A</v>
          </cell>
          <cell r="AM214" t="e">
            <v>#N/A</v>
          </cell>
          <cell r="AN214">
            <v>0</v>
          </cell>
          <cell r="AR214" t="e">
            <v>#N/A</v>
          </cell>
          <cell r="AS214">
            <v>75</v>
          </cell>
          <cell r="AT214" t="e">
            <v>#N/A</v>
          </cell>
          <cell r="AU214">
            <v>87.9</v>
          </cell>
          <cell r="AV214">
            <v>3</v>
          </cell>
          <cell r="AY214" t="e">
            <v>#N/A</v>
          </cell>
          <cell r="BA214">
            <v>3.9300000000000099</v>
          </cell>
          <cell r="BD214" t="e">
            <v>#N/A</v>
          </cell>
          <cell r="BE214" t="e">
            <v>#N/A</v>
          </cell>
          <cell r="BF214" t="e">
            <v>#N/A</v>
          </cell>
          <cell r="BL214">
            <v>0</v>
          </cell>
          <cell r="BM214" t="e">
            <v>#N/A</v>
          </cell>
          <cell r="BN214" t="e">
            <v>#N/A</v>
          </cell>
          <cell r="BO214" t="e">
            <v>#N/A</v>
          </cell>
          <cell r="BP214" t="e">
            <v>#N/A</v>
          </cell>
          <cell r="BQ214" t="e">
            <v>#N/A</v>
          </cell>
          <cell r="BR214">
            <v>-0.38784232365145227</v>
          </cell>
          <cell r="BT214">
            <v>-0.38784232365145227</v>
          </cell>
          <cell r="BU214" t="e">
            <v>#N/A</v>
          </cell>
          <cell r="BV214" t="e">
            <v>#N/A</v>
          </cell>
          <cell r="BW214" t="e">
            <v>#N/A</v>
          </cell>
          <cell r="BX214" t="e">
            <v>#N/A</v>
          </cell>
          <cell r="BY214" t="e">
            <v>#N/A</v>
          </cell>
          <cell r="BZ214" t="str">
            <v>CDI</v>
          </cell>
          <cell r="CC214" t="str">
            <v>BANQUE</v>
          </cell>
          <cell r="CD214" t="str">
            <v>620-Accounting</v>
          </cell>
          <cell r="CE214">
            <v>620</v>
          </cell>
        </row>
        <row r="215">
          <cell r="B215" t="str">
            <v>07289</v>
          </cell>
          <cell r="C215" t="str">
            <v>ZOLA GISUPA CHRISTIAN</v>
          </cell>
          <cell r="D215" t="str">
            <v>Purchasing and Receiving</v>
          </cell>
          <cell r="E215" t="str">
            <v>00011050233200081185557</v>
          </cell>
          <cell r="F215" t="str">
            <v>11991629845P</v>
          </cell>
          <cell r="G215" t="str">
            <v>Assistant store keeper</v>
          </cell>
          <cell r="H215">
            <v>11.85</v>
          </cell>
          <cell r="I215">
            <v>13.7</v>
          </cell>
          <cell r="J215">
            <v>13.7</v>
          </cell>
          <cell r="K215" t="str">
            <v>TRQ2-8.IV</v>
          </cell>
          <cell r="L215" t="str">
            <v>TRAVAILLEUR QUALIFIE</v>
          </cell>
          <cell r="M215" t="str">
            <v>CATEGORIE 1 A 5</v>
          </cell>
          <cell r="N215" t="str">
            <v>TRAVAILLEUR QUALIFIE (TQ), Echellon 2, Classe 8</v>
          </cell>
          <cell r="P215">
            <v>44993</v>
          </cell>
          <cell r="Q215" t="e">
            <v>#N/A</v>
          </cell>
          <cell r="R215" t="e">
            <v>#N/A</v>
          </cell>
          <cell r="S215" t="e">
            <v>#N/A</v>
          </cell>
          <cell r="T215" t="e">
            <v>#N/A</v>
          </cell>
          <cell r="U215" t="e">
            <v>#N/A</v>
          </cell>
          <cell r="V215" t="e">
            <v>#N/A</v>
          </cell>
          <cell r="W215" t="e">
            <v>#N/A</v>
          </cell>
          <cell r="X215" t="e">
            <v>#N/A</v>
          </cell>
          <cell r="Y215" t="e">
            <v>#N/A</v>
          </cell>
          <cell r="Z215" t="e">
            <v>#N/A</v>
          </cell>
          <cell r="AA215" t="e">
            <v>#N/A</v>
          </cell>
          <cell r="AB215" t="e">
            <v>#N/A</v>
          </cell>
          <cell r="AC215" t="e">
            <v>#N/A</v>
          </cell>
          <cell r="AE215">
            <v>356.2</v>
          </cell>
          <cell r="AF215" t="e">
            <v>#N/A</v>
          </cell>
          <cell r="AG215" t="e">
            <v>#N/A</v>
          </cell>
          <cell r="AH215" t="e">
            <v>#N/A</v>
          </cell>
          <cell r="AI215" t="e">
            <v>#N/A</v>
          </cell>
          <cell r="AJ215" t="e">
            <v>#N/A</v>
          </cell>
          <cell r="AK215" t="e">
            <v>#N/A</v>
          </cell>
          <cell r="AL215" t="e">
            <v>#N/A</v>
          </cell>
          <cell r="AM215" t="e">
            <v>#N/A</v>
          </cell>
          <cell r="AN215">
            <v>0</v>
          </cell>
          <cell r="AR215" t="e">
            <v>#N/A</v>
          </cell>
          <cell r="AS215">
            <v>69.8</v>
          </cell>
          <cell r="AT215" t="e">
            <v>#N/A</v>
          </cell>
          <cell r="AU215">
            <v>86</v>
          </cell>
          <cell r="AV215">
            <v>3</v>
          </cell>
          <cell r="AY215" t="e">
            <v>#N/A</v>
          </cell>
          <cell r="BA215">
            <v>0</v>
          </cell>
          <cell r="BD215" t="e">
            <v>#N/A</v>
          </cell>
          <cell r="BE215" t="e">
            <v>#N/A</v>
          </cell>
          <cell r="BF215" t="e">
            <v>#N/A</v>
          </cell>
          <cell r="BL215">
            <v>0</v>
          </cell>
          <cell r="BM215" t="e">
            <v>#N/A</v>
          </cell>
          <cell r="BN215" t="e">
            <v>#N/A</v>
          </cell>
          <cell r="BO215" t="e">
            <v>#N/A</v>
          </cell>
          <cell r="BP215" t="e">
            <v>#N/A</v>
          </cell>
          <cell r="BQ215" t="e">
            <v>#N/A</v>
          </cell>
          <cell r="BR215">
            <v>-0.38784232365145227</v>
          </cell>
          <cell r="BT215">
            <v>-0.38784232365145227</v>
          </cell>
          <cell r="BU215" t="e">
            <v>#N/A</v>
          </cell>
          <cell r="BV215" t="e">
            <v>#N/A</v>
          </cell>
          <cell r="BW215" t="e">
            <v>#N/A</v>
          </cell>
          <cell r="BX215" t="e">
            <v>#N/A</v>
          </cell>
          <cell r="BY215" t="e">
            <v>#N/A</v>
          </cell>
          <cell r="BZ215" t="str">
            <v>CDI</v>
          </cell>
          <cell r="CC215" t="str">
            <v>BANQUE</v>
          </cell>
          <cell r="CD215" t="str">
            <v>640-Purchasing and Receiving</v>
          </cell>
          <cell r="CE215">
            <v>640</v>
          </cell>
        </row>
        <row r="216">
          <cell r="B216" t="str">
            <v>07294</v>
          </cell>
          <cell r="C216" t="str">
            <v>SEKE PAMBU BARDELLY</v>
          </cell>
          <cell r="D216" t="str">
            <v>Property Operation and Maintenance</v>
          </cell>
          <cell r="E216" t="str">
            <v>00011050366200089419930</v>
          </cell>
          <cell r="F216" t="str">
            <v>11990630808G</v>
          </cell>
          <cell r="G216" t="str">
            <v>Electricien Maintance</v>
          </cell>
          <cell r="H216">
            <v>6.65</v>
          </cell>
          <cell r="I216">
            <v>7.7</v>
          </cell>
          <cell r="J216">
            <v>7.7</v>
          </cell>
          <cell r="K216" t="str">
            <v>TSQ1-4.III</v>
          </cell>
          <cell r="L216" t="str">
            <v>TRAVAILLEUR SEMI QUALIFIE</v>
          </cell>
          <cell r="M216" t="str">
            <v>CATEGORIE 1 A 5</v>
          </cell>
          <cell r="N216" t="str">
            <v>TRAVAILLEUR SEMI QUALIFIE (TSQ), Echellon 1, Classe 4</v>
          </cell>
          <cell r="P216">
            <v>45045</v>
          </cell>
          <cell r="Q216" t="e">
            <v>#N/A</v>
          </cell>
          <cell r="R216" t="e">
            <v>#N/A</v>
          </cell>
          <cell r="S216" t="e">
            <v>#N/A</v>
          </cell>
          <cell r="T216" t="e">
            <v>#N/A</v>
          </cell>
          <cell r="U216" t="e">
            <v>#N/A</v>
          </cell>
          <cell r="V216" t="e">
            <v>#N/A</v>
          </cell>
          <cell r="W216" t="e">
            <v>#N/A</v>
          </cell>
          <cell r="X216" t="e">
            <v>#N/A</v>
          </cell>
          <cell r="Y216" t="e">
            <v>#N/A</v>
          </cell>
          <cell r="Z216" t="e">
            <v>#N/A</v>
          </cell>
          <cell r="AA216" t="e">
            <v>#N/A</v>
          </cell>
          <cell r="AB216" t="e">
            <v>#N/A</v>
          </cell>
          <cell r="AC216" t="e">
            <v>#N/A</v>
          </cell>
          <cell r="AE216">
            <v>200.2</v>
          </cell>
          <cell r="AF216" t="e">
            <v>#N/A</v>
          </cell>
          <cell r="AG216" t="e">
            <v>#N/A</v>
          </cell>
          <cell r="AH216" t="e">
            <v>#N/A</v>
          </cell>
          <cell r="AI216" t="e">
            <v>#N/A</v>
          </cell>
          <cell r="AJ216" t="e">
            <v>#N/A</v>
          </cell>
          <cell r="AK216" t="e">
            <v>#N/A</v>
          </cell>
          <cell r="AL216" t="e">
            <v>#N/A</v>
          </cell>
          <cell r="AM216" t="e">
            <v>#N/A</v>
          </cell>
          <cell r="AN216">
            <v>0</v>
          </cell>
          <cell r="AR216" t="e">
            <v>#N/A</v>
          </cell>
          <cell r="AS216">
            <v>60</v>
          </cell>
          <cell r="AT216" t="e">
            <v>#N/A</v>
          </cell>
          <cell r="AU216">
            <v>48.05</v>
          </cell>
          <cell r="AY216" t="e">
            <v>#N/A</v>
          </cell>
          <cell r="BD216" t="e">
            <v>#N/A</v>
          </cell>
          <cell r="BE216" t="e">
            <v>#N/A</v>
          </cell>
          <cell r="BF216" t="e">
            <v>#N/A</v>
          </cell>
          <cell r="BL216">
            <v>0</v>
          </cell>
          <cell r="BM216" t="e">
            <v>#N/A</v>
          </cell>
          <cell r="BN216" t="e">
            <v>#N/A</v>
          </cell>
          <cell r="BO216" t="e">
            <v>#N/A</v>
          </cell>
          <cell r="BP216" t="e">
            <v>#N/A</v>
          </cell>
          <cell r="BQ216" t="e">
            <v>#N/A</v>
          </cell>
          <cell r="BR216">
            <v>-0.38784232365145227</v>
          </cell>
          <cell r="BT216">
            <v>-0.38784232365145227</v>
          </cell>
          <cell r="BU216" t="e">
            <v>#N/A</v>
          </cell>
          <cell r="BV216" t="e">
            <v>#N/A</v>
          </cell>
          <cell r="BW216" t="e">
            <v>#N/A</v>
          </cell>
          <cell r="BX216" t="e">
            <v>#N/A</v>
          </cell>
          <cell r="BY216" t="e">
            <v>#N/A</v>
          </cell>
          <cell r="BZ216" t="str">
            <v>CDD</v>
          </cell>
          <cell r="CC216" t="str">
            <v>BANQUE</v>
          </cell>
          <cell r="CD216" t="str">
            <v>810-Property Operation and Maintenance</v>
          </cell>
          <cell r="CE216">
            <v>810</v>
          </cell>
        </row>
        <row r="217">
          <cell r="B217" t="str">
            <v>07295</v>
          </cell>
          <cell r="C217" t="str">
            <v>MUNGWA ZOLANA CHRISTONE</v>
          </cell>
          <cell r="D217" t="str">
            <v>Kitchen</v>
          </cell>
          <cell r="E217" t="str">
            <v>00011050066100079100846</v>
          </cell>
          <cell r="F217" t="str">
            <v>12001630812H</v>
          </cell>
          <cell r="G217" t="str">
            <v>Commis de Cuisine</v>
          </cell>
          <cell r="H217">
            <v>0</v>
          </cell>
          <cell r="I217">
            <v>5</v>
          </cell>
          <cell r="J217">
            <v>5</v>
          </cell>
          <cell r="K217" t="str">
            <v>MAO1-1.I</v>
          </cell>
          <cell r="L217" t="str">
            <v>MANŒUVRE ORDINAIRE</v>
          </cell>
          <cell r="M217" t="str">
            <v>CATEGORIE 1 A 5</v>
          </cell>
          <cell r="N217" t="str">
            <v>MANŒUVRE ORDINAIRE (MO), Echellon 1, Classe 1</v>
          </cell>
          <cell r="P217">
            <v>45051</v>
          </cell>
          <cell r="Q217" t="e">
            <v>#N/A</v>
          </cell>
          <cell r="R217" t="e">
            <v>#N/A</v>
          </cell>
          <cell r="S217" t="e">
            <v>#N/A</v>
          </cell>
          <cell r="T217" t="e">
            <v>#N/A</v>
          </cell>
          <cell r="U217" t="e">
            <v>#N/A</v>
          </cell>
          <cell r="V217" t="e">
            <v>#N/A</v>
          </cell>
          <cell r="W217" t="e">
            <v>#N/A</v>
          </cell>
          <cell r="X217" t="e">
            <v>#N/A</v>
          </cell>
          <cell r="Y217" t="e">
            <v>#N/A</v>
          </cell>
          <cell r="Z217" t="e">
            <v>#N/A</v>
          </cell>
          <cell r="AA217" t="e">
            <v>#N/A</v>
          </cell>
          <cell r="AB217" t="e">
            <v>#N/A</v>
          </cell>
          <cell r="AC217" t="e">
            <v>#N/A</v>
          </cell>
          <cell r="AE217">
            <v>130</v>
          </cell>
          <cell r="AF217" t="e">
            <v>#N/A</v>
          </cell>
          <cell r="AG217" t="e">
            <v>#N/A</v>
          </cell>
          <cell r="AH217" t="e">
            <v>#N/A</v>
          </cell>
          <cell r="AI217" t="e">
            <v>#N/A</v>
          </cell>
          <cell r="AJ217" t="e">
            <v>#N/A</v>
          </cell>
          <cell r="AK217" t="e">
            <v>#N/A</v>
          </cell>
          <cell r="AL217" t="e">
            <v>#N/A</v>
          </cell>
          <cell r="AM217" t="e">
            <v>#N/A</v>
          </cell>
          <cell r="AN217">
            <v>0</v>
          </cell>
          <cell r="AR217" t="e">
            <v>#N/A</v>
          </cell>
          <cell r="AS217">
            <v>61</v>
          </cell>
          <cell r="AT217" t="e">
            <v>#N/A</v>
          </cell>
          <cell r="AU217">
            <v>39</v>
          </cell>
          <cell r="AY217" t="e">
            <v>#N/A</v>
          </cell>
          <cell r="BD217" t="e">
            <v>#N/A</v>
          </cell>
          <cell r="BE217" t="e">
            <v>#N/A</v>
          </cell>
          <cell r="BF217" t="e">
            <v>#N/A</v>
          </cell>
          <cell r="BL217">
            <v>0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>
            <v>-0.38784232365145227</v>
          </cell>
          <cell r="BT217">
            <v>-0.38784232365145227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str">
            <v>CDD</v>
          </cell>
          <cell r="CC217" t="str">
            <v>BANQUE</v>
          </cell>
          <cell r="CD217" t="str">
            <v>281-Kitchen</v>
          </cell>
          <cell r="CE217">
            <v>281</v>
          </cell>
        </row>
        <row r="218">
          <cell r="B218" t="str">
            <v>07296</v>
          </cell>
          <cell r="C218" t="str">
            <v>MIZUMI MUKAR BENEDICTE</v>
          </cell>
          <cell r="D218" t="str">
            <v>Front Office</v>
          </cell>
          <cell r="E218" t="str">
            <v>00011050366200090097378</v>
          </cell>
          <cell r="F218" t="str">
            <v>22000418388V</v>
          </cell>
          <cell r="G218" t="str">
            <v>Receptionniste</v>
          </cell>
          <cell r="H218">
            <v>0</v>
          </cell>
          <cell r="I218">
            <v>5</v>
          </cell>
          <cell r="J218">
            <v>5</v>
          </cell>
          <cell r="K218" t="str">
            <v>MAO1-1.I</v>
          </cell>
          <cell r="L218" t="str">
            <v>MANŒUVRE ORDINAIRE</v>
          </cell>
          <cell r="M218" t="str">
            <v>CATEGORIE 1 A 5</v>
          </cell>
          <cell r="N218" t="str">
            <v>MANŒUVRE ORDINAIRE (MO), Echellon 1, Classe 1</v>
          </cell>
          <cell r="P218">
            <v>45056</v>
          </cell>
          <cell r="Q218" t="e">
            <v>#N/A</v>
          </cell>
          <cell r="R218" t="e">
            <v>#N/A</v>
          </cell>
          <cell r="S218" t="e">
            <v>#N/A</v>
          </cell>
          <cell r="T218" t="e">
            <v>#N/A</v>
          </cell>
          <cell r="U218" t="e">
            <v>#N/A</v>
          </cell>
          <cell r="V218" t="e">
            <v>#N/A</v>
          </cell>
          <cell r="W218" t="e">
            <v>#N/A</v>
          </cell>
          <cell r="X218" t="e">
            <v>#N/A</v>
          </cell>
          <cell r="Y218" t="e">
            <v>#N/A</v>
          </cell>
          <cell r="Z218" t="e">
            <v>#N/A</v>
          </cell>
          <cell r="AA218" t="e">
            <v>#N/A</v>
          </cell>
          <cell r="AB218" t="e">
            <v>#N/A</v>
          </cell>
          <cell r="AC218" t="e">
            <v>#N/A</v>
          </cell>
          <cell r="AE218">
            <v>130</v>
          </cell>
          <cell r="AF218" t="e">
            <v>#N/A</v>
          </cell>
          <cell r="AG218" t="e">
            <v>#N/A</v>
          </cell>
          <cell r="AH218" t="e">
            <v>#N/A</v>
          </cell>
          <cell r="AI218" t="e">
            <v>#N/A</v>
          </cell>
          <cell r="AJ218" t="e">
            <v>#N/A</v>
          </cell>
          <cell r="AK218" t="e">
            <v>#N/A</v>
          </cell>
          <cell r="AL218" t="e">
            <v>#N/A</v>
          </cell>
          <cell r="AM218" t="e">
            <v>#N/A</v>
          </cell>
          <cell r="AN218">
            <v>0</v>
          </cell>
          <cell r="AO218">
            <v>30</v>
          </cell>
          <cell r="AR218" t="e">
            <v>#N/A</v>
          </cell>
          <cell r="AS218">
            <v>61</v>
          </cell>
          <cell r="AT218" t="e">
            <v>#N/A</v>
          </cell>
          <cell r="AU218">
            <v>39</v>
          </cell>
          <cell r="AY218" t="e">
            <v>#N/A</v>
          </cell>
          <cell r="BD218" t="e">
            <v>#N/A</v>
          </cell>
          <cell r="BE218" t="e">
            <v>#N/A</v>
          </cell>
          <cell r="BF218" t="e">
            <v>#N/A</v>
          </cell>
          <cell r="BG218">
            <v>3</v>
          </cell>
          <cell r="BL218">
            <v>3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>
            <v>-0.38784232365145227</v>
          </cell>
          <cell r="BT218">
            <v>-0.38784232365145227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str">
            <v>CDD</v>
          </cell>
          <cell r="CC218" t="str">
            <v>BANQUE</v>
          </cell>
          <cell r="CD218" t="str">
            <v>120-Front Office</v>
          </cell>
          <cell r="CE218">
            <v>120</v>
          </cell>
        </row>
        <row r="219">
          <cell r="B219" t="str">
            <v>07297</v>
          </cell>
          <cell r="C219" t="str">
            <v>LUBADIKA KWAYENO RODRICK</v>
          </cell>
          <cell r="D219" t="str">
            <v>Kitchen</v>
          </cell>
          <cell r="E219" t="str">
            <v>00011050366200090848449</v>
          </cell>
          <cell r="F219" t="str">
            <v>11984633457U</v>
          </cell>
          <cell r="G219" t="str">
            <v>Commis de Cuisine</v>
          </cell>
          <cell r="I219">
            <v>5</v>
          </cell>
          <cell r="J219">
            <v>5</v>
          </cell>
          <cell r="K219" t="str">
            <v>MAO1-1.I</v>
          </cell>
          <cell r="L219" t="str">
            <v>MANŒUVRE ORDINAIRE</v>
          </cell>
          <cell r="M219" t="str">
            <v>CATEGORIE 1 A 5</v>
          </cell>
          <cell r="N219" t="str">
            <v>MANŒUVRE ORDINAIRE (MO), Echellon 1, Classe 1</v>
          </cell>
          <cell r="P219">
            <v>45067</v>
          </cell>
          <cell r="Q219" t="e">
            <v>#N/A</v>
          </cell>
          <cell r="R219" t="e">
            <v>#N/A</v>
          </cell>
          <cell r="S219" t="e">
            <v>#N/A</v>
          </cell>
          <cell r="T219" t="e">
            <v>#N/A</v>
          </cell>
          <cell r="U219" t="e">
            <v>#N/A</v>
          </cell>
          <cell r="V219" t="e">
            <v>#N/A</v>
          </cell>
          <cell r="W219" t="e">
            <v>#N/A</v>
          </cell>
          <cell r="X219" t="e">
            <v>#N/A</v>
          </cell>
          <cell r="Y219" t="e">
            <v>#N/A</v>
          </cell>
          <cell r="Z219" t="e">
            <v>#N/A</v>
          </cell>
          <cell r="AA219" t="e">
            <v>#N/A</v>
          </cell>
          <cell r="AB219" t="e">
            <v>#N/A</v>
          </cell>
          <cell r="AC219" t="e">
            <v>#N/A</v>
          </cell>
          <cell r="AE219">
            <v>130</v>
          </cell>
          <cell r="AF219" t="e">
            <v>#N/A</v>
          </cell>
          <cell r="AG219" t="e">
            <v>#N/A</v>
          </cell>
          <cell r="AH219" t="e">
            <v>#N/A</v>
          </cell>
          <cell r="AI219" t="e">
            <v>#N/A</v>
          </cell>
          <cell r="AJ219" t="e">
            <v>#N/A</v>
          </cell>
          <cell r="AK219" t="e">
            <v>#N/A</v>
          </cell>
          <cell r="AL219" t="e">
            <v>#N/A</v>
          </cell>
          <cell r="AM219" t="e">
            <v>#N/A</v>
          </cell>
          <cell r="AN219">
            <v>0</v>
          </cell>
          <cell r="AR219" t="e">
            <v>#N/A</v>
          </cell>
          <cell r="AS219">
            <v>61</v>
          </cell>
          <cell r="AT219" t="e">
            <v>#N/A</v>
          </cell>
          <cell r="AU219">
            <v>39</v>
          </cell>
          <cell r="AY219" t="e">
            <v>#N/A</v>
          </cell>
          <cell r="BD219" t="e">
            <v>#N/A</v>
          </cell>
          <cell r="BE219" t="e">
            <v>#N/A</v>
          </cell>
          <cell r="BF219" t="e">
            <v>#N/A</v>
          </cell>
          <cell r="BL219">
            <v>0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>
            <v>-0.38784232365145227</v>
          </cell>
          <cell r="BT219">
            <v>-0.38784232365145227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str">
            <v>CDD</v>
          </cell>
          <cell r="CC219" t="str">
            <v>BANQUE</v>
          </cell>
          <cell r="CD219" t="str">
            <v>281-Kitchen</v>
          </cell>
          <cell r="CE219">
            <v>281</v>
          </cell>
        </row>
        <row r="220">
          <cell r="B220" t="str">
            <v>07299</v>
          </cell>
          <cell r="C220" t="str">
            <v>BOYAKA ITALE ARMAND</v>
          </cell>
          <cell r="D220" t="str">
            <v>Property Operation and Maintenance</v>
          </cell>
          <cell r="E220" t="str">
            <v>00011050200200061678179</v>
          </cell>
          <cell r="G220" t="str">
            <v>Technicien Frigoriste</v>
          </cell>
          <cell r="H220">
            <v>5.8</v>
          </cell>
          <cell r="I220">
            <v>6.65</v>
          </cell>
          <cell r="J220">
            <v>6.65</v>
          </cell>
          <cell r="K220" t="str">
            <v>TSP0-3.II</v>
          </cell>
          <cell r="L220" t="str">
            <v>TRAVAILLEUR SPECIALISE</v>
          </cell>
          <cell r="M220" t="str">
            <v>CATEGORIE 1 A 5</v>
          </cell>
          <cell r="N220" t="str">
            <v>TRAVAILLEUR SPECIALISE (TS), Echellon 0 , Classe 3</v>
          </cell>
          <cell r="P220">
            <v>45093</v>
          </cell>
          <cell r="Q220" t="e">
            <v>#N/A</v>
          </cell>
          <cell r="R220" t="e">
            <v>#N/A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X220" t="e">
            <v>#N/A</v>
          </cell>
          <cell r="Y220" t="e">
            <v>#N/A</v>
          </cell>
          <cell r="Z220" t="e">
            <v>#N/A</v>
          </cell>
          <cell r="AA220" t="e">
            <v>#N/A</v>
          </cell>
          <cell r="AB220" t="e">
            <v>#N/A</v>
          </cell>
          <cell r="AC220" t="e">
            <v>#N/A</v>
          </cell>
          <cell r="AE220">
            <v>172.9</v>
          </cell>
          <cell r="AF220" t="e">
            <v>#N/A</v>
          </cell>
          <cell r="AG220" t="e">
            <v>#N/A</v>
          </cell>
          <cell r="AH220" t="e">
            <v>#N/A</v>
          </cell>
          <cell r="AI220" t="e">
            <v>#N/A</v>
          </cell>
          <cell r="AJ220" t="e">
            <v>#N/A</v>
          </cell>
          <cell r="AK220" t="e">
            <v>#N/A</v>
          </cell>
          <cell r="AL220" t="e">
            <v>#N/A</v>
          </cell>
          <cell r="AM220" t="e">
            <v>#N/A</v>
          </cell>
          <cell r="AN220">
            <v>0</v>
          </cell>
          <cell r="AR220" t="e">
            <v>#N/A</v>
          </cell>
          <cell r="AS220">
            <v>47.1</v>
          </cell>
          <cell r="AT220" t="e">
            <v>#N/A</v>
          </cell>
          <cell r="AU220">
            <v>60</v>
          </cell>
          <cell r="AV220">
            <v>2</v>
          </cell>
          <cell r="AY220" t="e">
            <v>#N/A</v>
          </cell>
          <cell r="BD220" t="e">
            <v>#N/A</v>
          </cell>
          <cell r="BE220" t="e">
            <v>#N/A</v>
          </cell>
          <cell r="BF220" t="e">
            <v>#N/A</v>
          </cell>
          <cell r="BL220">
            <v>0</v>
          </cell>
          <cell r="BM220" t="e">
            <v>#N/A</v>
          </cell>
          <cell r="BN220" t="e">
            <v>#N/A</v>
          </cell>
          <cell r="BO220" t="e">
            <v>#N/A</v>
          </cell>
          <cell r="BP220" t="e">
            <v>#N/A</v>
          </cell>
          <cell r="BQ220" t="e">
            <v>#N/A</v>
          </cell>
          <cell r="BR220">
            <v>-0.38784232365145227</v>
          </cell>
          <cell r="BT220">
            <v>-0.38784232365145227</v>
          </cell>
          <cell r="BU220" t="e">
            <v>#N/A</v>
          </cell>
          <cell r="BV220" t="e">
            <v>#N/A</v>
          </cell>
          <cell r="BW220" t="e">
            <v>#N/A</v>
          </cell>
          <cell r="BX220" t="e">
            <v>#N/A</v>
          </cell>
          <cell r="BY220" t="e">
            <v>#N/A</v>
          </cell>
          <cell r="BZ220" t="str">
            <v>CDD</v>
          </cell>
          <cell r="CC220" t="str">
            <v>BANQUE</v>
          </cell>
          <cell r="CD220" t="str">
            <v>810-Property Operation and Maintenance</v>
          </cell>
          <cell r="CE220">
            <v>810</v>
          </cell>
        </row>
        <row r="221">
          <cell r="B221" t="str">
            <v>07300</v>
          </cell>
          <cell r="C221" t="str">
            <v>TAMPWO DOBONI ALLEGE</v>
          </cell>
          <cell r="D221" t="str">
            <v>Front Office</v>
          </cell>
          <cell r="E221" t="str">
            <v>00011050366200094991901</v>
          </cell>
          <cell r="F221" t="str">
            <v>11988535976O</v>
          </cell>
          <cell r="G221" t="str">
            <v>Receptionniste</v>
          </cell>
          <cell r="H221">
            <v>0</v>
          </cell>
          <cell r="I221">
            <v>5</v>
          </cell>
          <cell r="J221">
            <v>5</v>
          </cell>
          <cell r="K221" t="str">
            <v>MAO1-1.I</v>
          </cell>
          <cell r="L221" t="str">
            <v>MANŒUVRE ORDINAIRE</v>
          </cell>
          <cell r="M221" t="str">
            <v>CATEGORIE 1 A 5</v>
          </cell>
          <cell r="N221" t="str">
            <v>MANŒUVRE ORDINAIRE (MO), Echellon 1, Classe 1</v>
          </cell>
          <cell r="P221">
            <v>45098</v>
          </cell>
          <cell r="Q221" t="e">
            <v>#N/A</v>
          </cell>
          <cell r="R221" t="e">
            <v>#N/A</v>
          </cell>
          <cell r="S221" t="e">
            <v>#N/A</v>
          </cell>
          <cell r="T221" t="e">
            <v>#N/A</v>
          </cell>
          <cell r="U221" t="e">
            <v>#N/A</v>
          </cell>
          <cell r="V221" t="e">
            <v>#N/A</v>
          </cell>
          <cell r="W221" t="e">
            <v>#N/A</v>
          </cell>
          <cell r="X221" t="e">
            <v>#N/A</v>
          </cell>
          <cell r="Y221" t="e">
            <v>#N/A</v>
          </cell>
          <cell r="Z221" t="e">
            <v>#N/A</v>
          </cell>
          <cell r="AA221" t="e">
            <v>#N/A</v>
          </cell>
          <cell r="AB221" t="e">
            <v>#N/A</v>
          </cell>
          <cell r="AC221" t="e">
            <v>#N/A</v>
          </cell>
          <cell r="AE221">
            <v>130</v>
          </cell>
          <cell r="AF221" t="e">
            <v>#N/A</v>
          </cell>
          <cell r="AG221" t="e">
            <v>#N/A</v>
          </cell>
          <cell r="AH221" t="e">
            <v>#N/A</v>
          </cell>
          <cell r="AI221" t="e">
            <v>#N/A</v>
          </cell>
          <cell r="AJ221" t="e">
            <v>#N/A</v>
          </cell>
          <cell r="AK221" t="e">
            <v>#N/A</v>
          </cell>
          <cell r="AL221" t="e">
            <v>#N/A</v>
          </cell>
          <cell r="AM221" t="e">
            <v>#N/A</v>
          </cell>
          <cell r="AN221">
            <v>0</v>
          </cell>
          <cell r="AO221">
            <v>30</v>
          </cell>
          <cell r="AR221" t="e">
            <v>#N/A</v>
          </cell>
          <cell r="AS221">
            <v>61</v>
          </cell>
          <cell r="AT221" t="e">
            <v>#N/A</v>
          </cell>
          <cell r="AU221">
            <v>39</v>
          </cell>
          <cell r="AY221" t="e">
            <v>#N/A</v>
          </cell>
          <cell r="BD221" t="e">
            <v>#N/A</v>
          </cell>
          <cell r="BE221" t="e">
            <v>#N/A</v>
          </cell>
          <cell r="BF221" t="e">
            <v>#N/A</v>
          </cell>
          <cell r="BL221">
            <v>0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>
            <v>-0.38784232365145227</v>
          </cell>
          <cell r="BT221">
            <v>-0.38784232365145227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str">
            <v>CDD</v>
          </cell>
          <cell r="CC221" t="str">
            <v>BANQUE</v>
          </cell>
          <cell r="CD221" t="str">
            <v>120-Front Office</v>
          </cell>
          <cell r="CE221">
            <v>120</v>
          </cell>
        </row>
        <row r="222">
          <cell r="B222" t="str">
            <v>07301</v>
          </cell>
          <cell r="C222" t="str">
            <v>MAKANI MATONDO PERCY</v>
          </cell>
          <cell r="D222" t="str">
            <v>Front Office</v>
          </cell>
          <cell r="E222" t="str">
            <v>00011050366200099249813</v>
          </cell>
          <cell r="F222" t="str">
            <v>11991640582L</v>
          </cell>
          <cell r="G222" t="str">
            <v>Bell Boy</v>
          </cell>
          <cell r="H222">
            <v>0</v>
          </cell>
          <cell r="I222">
            <v>5</v>
          </cell>
          <cell r="J222">
            <v>5</v>
          </cell>
          <cell r="K222" t="str">
            <v>MAO1-1.I</v>
          </cell>
          <cell r="L222" t="str">
            <v>MANŒUVRE ORDINAIRE</v>
          </cell>
          <cell r="M222" t="str">
            <v>CATEGORIE 1 A 5</v>
          </cell>
          <cell r="N222" t="str">
            <v>MANŒUVRE ORDINAIRE (MO), Echellon 1, Classe 1</v>
          </cell>
          <cell r="P222">
            <v>45119</v>
          </cell>
          <cell r="Q222" t="e">
            <v>#N/A</v>
          </cell>
          <cell r="R222" t="e">
            <v>#N/A</v>
          </cell>
          <cell r="S222" t="e">
            <v>#N/A</v>
          </cell>
          <cell r="T222" t="e">
            <v>#N/A</v>
          </cell>
          <cell r="U222" t="e">
            <v>#N/A</v>
          </cell>
          <cell r="V222" t="e">
            <v>#N/A</v>
          </cell>
          <cell r="W222" t="e">
            <v>#N/A</v>
          </cell>
          <cell r="X222" t="e">
            <v>#N/A</v>
          </cell>
          <cell r="Y222" t="e">
            <v>#N/A</v>
          </cell>
          <cell r="Z222" t="e">
            <v>#N/A</v>
          </cell>
          <cell r="AA222" t="e">
            <v>#N/A</v>
          </cell>
          <cell r="AB222" t="e">
            <v>#N/A</v>
          </cell>
          <cell r="AC222" t="e">
            <v>#N/A</v>
          </cell>
          <cell r="AE222">
            <v>130</v>
          </cell>
          <cell r="AF222" t="e">
            <v>#N/A</v>
          </cell>
          <cell r="AG222" t="e">
            <v>#N/A</v>
          </cell>
          <cell r="AH222" t="e">
            <v>#N/A</v>
          </cell>
          <cell r="AI222" t="e">
            <v>#N/A</v>
          </cell>
          <cell r="AJ222" t="e">
            <v>#N/A</v>
          </cell>
          <cell r="AK222" t="e">
            <v>#N/A</v>
          </cell>
          <cell r="AL222" t="e">
            <v>#N/A</v>
          </cell>
          <cell r="AM222" t="e">
            <v>#N/A</v>
          </cell>
          <cell r="AN222">
            <v>0</v>
          </cell>
          <cell r="AR222" t="e">
            <v>#N/A</v>
          </cell>
          <cell r="AS222">
            <v>61</v>
          </cell>
          <cell r="AT222" t="e">
            <v>#N/A</v>
          </cell>
          <cell r="AU222">
            <v>39</v>
          </cell>
          <cell r="AY222" t="e">
            <v>#N/A</v>
          </cell>
          <cell r="BD222" t="e">
            <v>#N/A</v>
          </cell>
          <cell r="BE222" t="e">
            <v>#N/A</v>
          </cell>
          <cell r="BF222" t="e">
            <v>#N/A</v>
          </cell>
          <cell r="BL222">
            <v>0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>
            <v>-0.38784232365145227</v>
          </cell>
          <cell r="BT222">
            <v>-0.38784232365145227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str">
            <v>CDD</v>
          </cell>
          <cell r="CC222" t="str">
            <v>BANQUE</v>
          </cell>
          <cell r="CD222" t="str">
            <v>120-Front Office</v>
          </cell>
          <cell r="CE222">
            <v>120</v>
          </cell>
        </row>
        <row r="223">
          <cell r="B223" t="str">
            <v>07303</v>
          </cell>
          <cell r="C223" t="str">
            <v>MAKAYA LONDA LODA</v>
          </cell>
          <cell r="D223" t="str">
            <v>HEVEA</v>
          </cell>
          <cell r="E223" t="str">
            <v>00011050366100098332295</v>
          </cell>
          <cell r="F223" t="str">
            <v>21993389710F</v>
          </cell>
          <cell r="G223" t="str">
            <v>Serveuse</v>
          </cell>
          <cell r="H223">
            <v>0</v>
          </cell>
          <cell r="I223">
            <v>5</v>
          </cell>
          <cell r="J223">
            <v>5</v>
          </cell>
          <cell r="K223" t="str">
            <v>MAO1-1.I</v>
          </cell>
          <cell r="L223" t="str">
            <v>MANŒUVRE ORDINAIRE</v>
          </cell>
          <cell r="M223" t="str">
            <v>CATEGORIE 1 A 5</v>
          </cell>
          <cell r="N223" t="str">
            <v>MANŒUVRE ORDINAIRE (MO), Echellon 1, Classe 1</v>
          </cell>
          <cell r="P223">
            <v>45128</v>
          </cell>
          <cell r="Q223" t="e">
            <v>#N/A</v>
          </cell>
          <cell r="R223" t="e">
            <v>#N/A</v>
          </cell>
          <cell r="S223" t="e">
            <v>#N/A</v>
          </cell>
          <cell r="T223" t="e">
            <v>#N/A</v>
          </cell>
          <cell r="U223" t="e">
            <v>#N/A</v>
          </cell>
          <cell r="V223" t="e">
            <v>#N/A</v>
          </cell>
          <cell r="W223" t="e">
            <v>#N/A</v>
          </cell>
          <cell r="X223" t="e">
            <v>#N/A</v>
          </cell>
          <cell r="Y223" t="e">
            <v>#N/A</v>
          </cell>
          <cell r="Z223" t="e">
            <v>#N/A</v>
          </cell>
          <cell r="AA223" t="e">
            <v>#N/A</v>
          </cell>
          <cell r="AB223" t="e">
            <v>#N/A</v>
          </cell>
          <cell r="AC223" t="e">
            <v>#N/A</v>
          </cell>
          <cell r="AE223">
            <v>130</v>
          </cell>
          <cell r="AF223" t="e">
            <v>#N/A</v>
          </cell>
          <cell r="AG223" t="e">
            <v>#N/A</v>
          </cell>
          <cell r="AH223" t="e">
            <v>#N/A</v>
          </cell>
          <cell r="AI223" t="e">
            <v>#N/A</v>
          </cell>
          <cell r="AJ223" t="e">
            <v>#N/A</v>
          </cell>
          <cell r="AK223" t="e">
            <v>#N/A</v>
          </cell>
          <cell r="AL223" t="e">
            <v>#N/A</v>
          </cell>
          <cell r="AM223" t="e">
            <v>#N/A</v>
          </cell>
          <cell r="AN223">
            <v>0</v>
          </cell>
          <cell r="AR223" t="e">
            <v>#N/A</v>
          </cell>
          <cell r="AS223">
            <v>61</v>
          </cell>
          <cell r="AT223" t="e">
            <v>#N/A</v>
          </cell>
          <cell r="AU223">
            <v>39</v>
          </cell>
          <cell r="AY223" t="e">
            <v>#N/A</v>
          </cell>
          <cell r="BD223" t="e">
            <v>#N/A</v>
          </cell>
          <cell r="BE223" t="e">
            <v>#N/A</v>
          </cell>
          <cell r="BF223" t="e">
            <v>#N/A</v>
          </cell>
          <cell r="BL223">
            <v>0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>
            <v>-0.38784232365145227</v>
          </cell>
          <cell r="BT223">
            <v>-0.38784232365145227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str">
            <v>CDD</v>
          </cell>
          <cell r="CC223" t="str">
            <v>BANQUE</v>
          </cell>
          <cell r="CD223" t="str">
            <v>216-HEVEA</v>
          </cell>
          <cell r="CE223">
            <v>216</v>
          </cell>
        </row>
        <row r="224">
          <cell r="B224" t="str">
            <v>07304</v>
          </cell>
          <cell r="C224" t="str">
            <v>NGOMA BENZA RIDI</v>
          </cell>
          <cell r="D224" t="str">
            <v>Kitchen</v>
          </cell>
          <cell r="E224" t="str">
            <v>00011050366200098749972</v>
          </cell>
          <cell r="F224" t="str">
            <v>11994640347B</v>
          </cell>
          <cell r="G224" t="str">
            <v>Commis de pâtisserie</v>
          </cell>
          <cell r="H224">
            <v>0</v>
          </cell>
          <cell r="I224">
            <v>5</v>
          </cell>
          <cell r="J224">
            <v>5</v>
          </cell>
          <cell r="K224" t="str">
            <v>MAO1-1.I</v>
          </cell>
          <cell r="L224" t="str">
            <v>MANŒUVRE ORDINAIRE</v>
          </cell>
          <cell r="M224" t="str">
            <v>CATEGORIE 1 A 5</v>
          </cell>
          <cell r="N224" t="str">
            <v>MANŒUVRE ORDINAIRE (MO), Echellon 1, Classe 1</v>
          </cell>
          <cell r="P224">
            <v>45128</v>
          </cell>
          <cell r="Q224" t="e">
            <v>#N/A</v>
          </cell>
          <cell r="R224" t="e">
            <v>#N/A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X224" t="e">
            <v>#N/A</v>
          </cell>
          <cell r="Y224" t="e">
            <v>#N/A</v>
          </cell>
          <cell r="Z224" t="e">
            <v>#N/A</v>
          </cell>
          <cell r="AA224" t="e">
            <v>#N/A</v>
          </cell>
          <cell r="AB224" t="e">
            <v>#N/A</v>
          </cell>
          <cell r="AC224" t="e">
            <v>#N/A</v>
          </cell>
          <cell r="AE224">
            <v>130</v>
          </cell>
          <cell r="AF224" t="e">
            <v>#N/A</v>
          </cell>
          <cell r="AG224" t="e">
            <v>#N/A</v>
          </cell>
          <cell r="AH224" t="e">
            <v>#N/A</v>
          </cell>
          <cell r="AI224" t="e">
            <v>#N/A</v>
          </cell>
          <cell r="AJ224" t="e">
            <v>#N/A</v>
          </cell>
          <cell r="AK224" t="e">
            <v>#N/A</v>
          </cell>
          <cell r="AL224" t="e">
            <v>#N/A</v>
          </cell>
          <cell r="AM224" t="e">
            <v>#N/A</v>
          </cell>
          <cell r="AN224">
            <v>0</v>
          </cell>
          <cell r="AR224" t="e">
            <v>#N/A</v>
          </cell>
          <cell r="AS224">
            <v>61</v>
          </cell>
          <cell r="AT224" t="e">
            <v>#N/A</v>
          </cell>
          <cell r="AU224">
            <v>39</v>
          </cell>
          <cell r="AY224" t="e">
            <v>#N/A</v>
          </cell>
          <cell r="BD224" t="e">
            <v>#N/A</v>
          </cell>
          <cell r="BE224" t="e">
            <v>#N/A</v>
          </cell>
          <cell r="BF224" t="e">
            <v>#N/A</v>
          </cell>
          <cell r="BI224">
            <v>11</v>
          </cell>
          <cell r="BL224">
            <v>11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>
            <v>-0.38784232365145227</v>
          </cell>
          <cell r="BT224">
            <v>-0.38784232365145227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str">
            <v>CDD</v>
          </cell>
          <cell r="CC224" t="str">
            <v>BANQUE</v>
          </cell>
          <cell r="CD224" t="str">
            <v>281-Kitchen</v>
          </cell>
          <cell r="CE224">
            <v>281</v>
          </cell>
        </row>
        <row r="225">
          <cell r="B225" t="str">
            <v>07305</v>
          </cell>
          <cell r="C225" t="str">
            <v>BOMONGO BOLAYA DORCAS</v>
          </cell>
          <cell r="D225" t="str">
            <v>Front Office</v>
          </cell>
          <cell r="E225" t="str">
            <v>00011050055200098511188</v>
          </cell>
          <cell r="F225" t="str">
            <v>21991420220F</v>
          </cell>
          <cell r="G225" t="str">
            <v>Telephone Operator</v>
          </cell>
          <cell r="H225">
            <v>0</v>
          </cell>
          <cell r="I225">
            <v>5</v>
          </cell>
          <cell r="J225">
            <v>5</v>
          </cell>
          <cell r="K225" t="str">
            <v>MAO1-1.I</v>
          </cell>
          <cell r="L225" t="str">
            <v>MANŒUVRE ORDINAIRE</v>
          </cell>
          <cell r="M225" t="str">
            <v>CATEGORIE 1 A 5</v>
          </cell>
          <cell r="N225" t="str">
            <v>MANŒUVRE ORDINAIRE (MO), Echellon 1, Classe 1</v>
          </cell>
          <cell r="P225">
            <v>45128</v>
          </cell>
          <cell r="Q225" t="e">
            <v>#N/A</v>
          </cell>
          <cell r="R225" t="e">
            <v>#N/A</v>
          </cell>
          <cell r="S225" t="e">
            <v>#N/A</v>
          </cell>
          <cell r="T225" t="e">
            <v>#N/A</v>
          </cell>
          <cell r="U225" t="e">
            <v>#N/A</v>
          </cell>
          <cell r="V225" t="e">
            <v>#N/A</v>
          </cell>
          <cell r="W225" t="e">
            <v>#N/A</v>
          </cell>
          <cell r="X225" t="e">
            <v>#N/A</v>
          </cell>
          <cell r="Y225" t="e">
            <v>#N/A</v>
          </cell>
          <cell r="Z225" t="e">
            <v>#N/A</v>
          </cell>
          <cell r="AA225" t="e">
            <v>#N/A</v>
          </cell>
          <cell r="AB225" t="e">
            <v>#N/A</v>
          </cell>
          <cell r="AC225" t="e">
            <v>#N/A</v>
          </cell>
          <cell r="AE225">
            <v>130</v>
          </cell>
          <cell r="AF225" t="e">
            <v>#N/A</v>
          </cell>
          <cell r="AG225" t="e">
            <v>#N/A</v>
          </cell>
          <cell r="AH225" t="e">
            <v>#N/A</v>
          </cell>
          <cell r="AI225" t="e">
            <v>#N/A</v>
          </cell>
          <cell r="AJ225" t="e">
            <v>#N/A</v>
          </cell>
          <cell r="AK225" t="e">
            <v>#N/A</v>
          </cell>
          <cell r="AL225" t="e">
            <v>#N/A</v>
          </cell>
          <cell r="AM225" t="e">
            <v>#N/A</v>
          </cell>
          <cell r="AN225">
            <v>0</v>
          </cell>
          <cell r="AR225" t="e">
            <v>#N/A</v>
          </cell>
          <cell r="AS225">
            <v>61</v>
          </cell>
          <cell r="AT225" t="e">
            <v>#N/A</v>
          </cell>
          <cell r="AU225">
            <v>39</v>
          </cell>
          <cell r="AY225" t="e">
            <v>#N/A</v>
          </cell>
          <cell r="BD225" t="e">
            <v>#N/A</v>
          </cell>
          <cell r="BE225" t="e">
            <v>#N/A</v>
          </cell>
          <cell r="BF225" t="e">
            <v>#N/A</v>
          </cell>
          <cell r="BL225">
            <v>0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>
            <v>-0.38784232365145227</v>
          </cell>
          <cell r="BT225">
            <v>-0.38784232365145227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str">
            <v>CDD</v>
          </cell>
          <cell r="CC225" t="str">
            <v>BANQUE</v>
          </cell>
          <cell r="CD225" t="str">
            <v>120-Front Office</v>
          </cell>
          <cell r="CE225">
            <v>120</v>
          </cell>
        </row>
        <row r="226">
          <cell r="B226" t="str">
            <v>07306</v>
          </cell>
          <cell r="C226" t="str">
            <v>KAYOMBO KIYAMA DIDIENCE</v>
          </cell>
          <cell r="D226" t="str">
            <v>Front Office</v>
          </cell>
          <cell r="E226" t="str">
            <v>00011050366200098417650</v>
          </cell>
          <cell r="F226" t="str">
            <v>11995640469O</v>
          </cell>
          <cell r="G226" t="str">
            <v>Driver</v>
          </cell>
          <cell r="H226">
            <v>0</v>
          </cell>
          <cell r="I226">
            <v>5</v>
          </cell>
          <cell r="J226">
            <v>5</v>
          </cell>
          <cell r="K226" t="str">
            <v>MAO1-1.I</v>
          </cell>
          <cell r="L226" t="str">
            <v>MANŒUVRE ORDINAIRE</v>
          </cell>
          <cell r="M226" t="str">
            <v>CATEGORIE 1 A 5</v>
          </cell>
          <cell r="N226" t="str">
            <v>MANŒUVRE ORDINAIRE (MO), Echellon 1, Classe 1</v>
          </cell>
          <cell r="P226">
            <v>45128</v>
          </cell>
          <cell r="Q226" t="e">
            <v>#N/A</v>
          </cell>
          <cell r="R226" t="e">
            <v>#N/A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X226" t="e">
            <v>#N/A</v>
          </cell>
          <cell r="Y226" t="e">
            <v>#N/A</v>
          </cell>
          <cell r="Z226" t="e">
            <v>#N/A</v>
          </cell>
          <cell r="AA226" t="e">
            <v>#N/A</v>
          </cell>
          <cell r="AB226" t="e">
            <v>#N/A</v>
          </cell>
          <cell r="AC226" t="e">
            <v>#N/A</v>
          </cell>
          <cell r="AE226">
            <v>130</v>
          </cell>
          <cell r="AF226" t="e">
            <v>#N/A</v>
          </cell>
          <cell r="AG226" t="e">
            <v>#N/A</v>
          </cell>
          <cell r="AH226" t="e">
            <v>#N/A</v>
          </cell>
          <cell r="AI226" t="e">
            <v>#N/A</v>
          </cell>
          <cell r="AJ226" t="e">
            <v>#N/A</v>
          </cell>
          <cell r="AK226" t="e">
            <v>#N/A</v>
          </cell>
          <cell r="AL226" t="e">
            <v>#N/A</v>
          </cell>
          <cell r="AM226" t="e">
            <v>#N/A</v>
          </cell>
          <cell r="AN226">
            <v>0</v>
          </cell>
          <cell r="AR226" t="e">
            <v>#N/A</v>
          </cell>
          <cell r="AS226">
            <v>61</v>
          </cell>
          <cell r="AT226" t="e">
            <v>#N/A</v>
          </cell>
          <cell r="AU226">
            <v>39</v>
          </cell>
          <cell r="AY226" t="e">
            <v>#N/A</v>
          </cell>
          <cell r="BD226" t="e">
            <v>#N/A</v>
          </cell>
          <cell r="BE226" t="e">
            <v>#N/A</v>
          </cell>
          <cell r="BF226" t="e">
            <v>#N/A</v>
          </cell>
          <cell r="BL226">
            <v>0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>
            <v>-0.38784232365145227</v>
          </cell>
          <cell r="BT226">
            <v>-0.38784232365145227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str">
            <v>CDD</v>
          </cell>
          <cell r="CC226" t="str">
            <v>BANQUE</v>
          </cell>
          <cell r="CD226" t="str">
            <v>120-Front Office</v>
          </cell>
          <cell r="CE226">
            <v>120</v>
          </cell>
        </row>
        <row r="227">
          <cell r="B227" t="str">
            <v>07307</v>
          </cell>
          <cell r="C227" t="str">
            <v>MAZULA KIESE FRANCOIS</v>
          </cell>
          <cell r="D227" t="str">
            <v>Front Office</v>
          </cell>
          <cell r="E227" t="str">
            <v>00011050366200098191349</v>
          </cell>
          <cell r="F227" t="str">
            <v>11986640356I</v>
          </cell>
          <cell r="G227" t="str">
            <v>Driver</v>
          </cell>
          <cell r="H227">
            <v>0</v>
          </cell>
          <cell r="I227">
            <v>5</v>
          </cell>
          <cell r="J227">
            <v>5</v>
          </cell>
          <cell r="K227" t="str">
            <v>MAO1-1.I</v>
          </cell>
          <cell r="L227" t="str">
            <v>MANŒUVRE ORDINAIRE</v>
          </cell>
          <cell r="M227" t="str">
            <v>CATEGORIE 1 A 5</v>
          </cell>
          <cell r="N227" t="str">
            <v>MANŒUVRE ORDINAIRE (MO), Echellon 1, Classe 1</v>
          </cell>
          <cell r="P227">
            <v>45128</v>
          </cell>
          <cell r="Q227" t="e">
            <v>#N/A</v>
          </cell>
          <cell r="R227" t="e">
            <v>#N/A</v>
          </cell>
          <cell r="S227" t="e">
            <v>#N/A</v>
          </cell>
          <cell r="T227" t="e">
            <v>#N/A</v>
          </cell>
          <cell r="U227" t="e">
            <v>#N/A</v>
          </cell>
          <cell r="V227" t="e">
            <v>#N/A</v>
          </cell>
          <cell r="W227" t="e">
            <v>#N/A</v>
          </cell>
          <cell r="X227" t="e">
            <v>#N/A</v>
          </cell>
          <cell r="Y227" t="e">
            <v>#N/A</v>
          </cell>
          <cell r="Z227" t="e">
            <v>#N/A</v>
          </cell>
          <cell r="AA227" t="e">
            <v>#N/A</v>
          </cell>
          <cell r="AB227" t="e">
            <v>#N/A</v>
          </cell>
          <cell r="AC227" t="e">
            <v>#N/A</v>
          </cell>
          <cell r="AE227">
            <v>130</v>
          </cell>
          <cell r="AF227" t="e">
            <v>#N/A</v>
          </cell>
          <cell r="AG227" t="e">
            <v>#N/A</v>
          </cell>
          <cell r="AH227" t="e">
            <v>#N/A</v>
          </cell>
          <cell r="AI227" t="e">
            <v>#N/A</v>
          </cell>
          <cell r="AJ227" t="e">
            <v>#N/A</v>
          </cell>
          <cell r="AK227" t="e">
            <v>#N/A</v>
          </cell>
          <cell r="AL227" t="e">
            <v>#N/A</v>
          </cell>
          <cell r="AM227" t="e">
            <v>#N/A</v>
          </cell>
          <cell r="AN227">
            <v>0</v>
          </cell>
          <cell r="AR227" t="e">
            <v>#N/A</v>
          </cell>
          <cell r="AS227">
            <v>61</v>
          </cell>
          <cell r="AT227" t="e">
            <v>#N/A</v>
          </cell>
          <cell r="AU227">
            <v>39</v>
          </cell>
          <cell r="AY227" t="e">
            <v>#N/A</v>
          </cell>
          <cell r="BD227" t="e">
            <v>#N/A</v>
          </cell>
          <cell r="BE227" t="e">
            <v>#N/A</v>
          </cell>
          <cell r="BF227" t="e">
            <v>#N/A</v>
          </cell>
          <cell r="BL227">
            <v>0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>
            <v>-0.38784232365145227</v>
          </cell>
          <cell r="BT227">
            <v>-0.38784232365145227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str">
            <v>CDD</v>
          </cell>
          <cell r="CC227" t="str">
            <v>BANQUE</v>
          </cell>
          <cell r="CD227" t="str">
            <v>120-Front Office</v>
          </cell>
          <cell r="CE227">
            <v>120</v>
          </cell>
        </row>
        <row r="228">
          <cell r="B228" t="str">
            <v>07310</v>
          </cell>
          <cell r="C228" t="str">
            <v>MFUNDU MOYO SARAH</v>
          </cell>
          <cell r="D228" t="str">
            <v>Housekeeping</v>
          </cell>
          <cell r="E228" t="str">
            <v>00011050055200098835071</v>
          </cell>
          <cell r="F228" t="str">
            <v>21995422476I</v>
          </cell>
          <cell r="G228" t="str">
            <v>Room Attendant</v>
          </cell>
          <cell r="H228">
            <v>0</v>
          </cell>
          <cell r="I228">
            <v>5</v>
          </cell>
          <cell r="J228">
            <v>5</v>
          </cell>
          <cell r="K228" t="str">
            <v>MAO1-1.I</v>
          </cell>
          <cell r="L228" t="str">
            <v>MANŒUVRE ORDINAIRE</v>
          </cell>
          <cell r="M228" t="str">
            <v>CATEGORIE 1 A 5</v>
          </cell>
          <cell r="N228" t="str">
            <v>MANŒUVRE ORDINAIRE (MO), Echellon 1, Classe 1</v>
          </cell>
          <cell r="P228">
            <v>45140</v>
          </cell>
          <cell r="Q228" t="e">
            <v>#N/A</v>
          </cell>
          <cell r="R228" t="e">
            <v>#N/A</v>
          </cell>
          <cell r="S228" t="e">
            <v>#N/A</v>
          </cell>
          <cell r="T228" t="e">
            <v>#N/A</v>
          </cell>
          <cell r="U228" t="e">
            <v>#N/A</v>
          </cell>
          <cell r="V228" t="e">
            <v>#N/A</v>
          </cell>
          <cell r="W228" t="e">
            <v>#N/A</v>
          </cell>
          <cell r="X228" t="e">
            <v>#N/A</v>
          </cell>
          <cell r="Y228" t="e">
            <v>#N/A</v>
          </cell>
          <cell r="Z228" t="e">
            <v>#N/A</v>
          </cell>
          <cell r="AA228" t="e">
            <v>#N/A</v>
          </cell>
          <cell r="AB228" t="e">
            <v>#N/A</v>
          </cell>
          <cell r="AC228" t="e">
            <v>#N/A</v>
          </cell>
          <cell r="AE228">
            <v>130</v>
          </cell>
          <cell r="AF228" t="e">
            <v>#N/A</v>
          </cell>
          <cell r="AG228" t="e">
            <v>#N/A</v>
          </cell>
          <cell r="AH228" t="e">
            <v>#N/A</v>
          </cell>
          <cell r="AI228" t="e">
            <v>#N/A</v>
          </cell>
          <cell r="AJ228" t="e">
            <v>#N/A</v>
          </cell>
          <cell r="AK228" t="e">
            <v>#N/A</v>
          </cell>
          <cell r="AL228" t="e">
            <v>#N/A</v>
          </cell>
          <cell r="AM228" t="e">
            <v>#N/A</v>
          </cell>
          <cell r="AN228">
            <v>0</v>
          </cell>
          <cell r="AR228" t="e">
            <v>#N/A</v>
          </cell>
          <cell r="AS228">
            <v>61</v>
          </cell>
          <cell r="AT228" t="e">
            <v>#N/A</v>
          </cell>
          <cell r="AU228">
            <v>39</v>
          </cell>
          <cell r="AY228" t="e">
            <v>#N/A</v>
          </cell>
          <cell r="BD228" t="e">
            <v>#N/A</v>
          </cell>
          <cell r="BE228" t="e">
            <v>#N/A</v>
          </cell>
          <cell r="BF228" t="e">
            <v>#N/A</v>
          </cell>
          <cell r="BL228">
            <v>0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>
            <v>-0.38784232365145227</v>
          </cell>
          <cell r="BT228">
            <v>-0.38784232365145227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str">
            <v>CDD</v>
          </cell>
          <cell r="CC228" t="str">
            <v>BANQUE</v>
          </cell>
          <cell r="CD228" t="str">
            <v>160-Housekeeping</v>
          </cell>
          <cell r="CE228">
            <v>160</v>
          </cell>
        </row>
        <row r="229">
          <cell r="B229" t="str">
            <v>07311</v>
          </cell>
          <cell r="C229" t="str">
            <v>KABANGU BOPE ODILON</v>
          </cell>
          <cell r="D229" t="str">
            <v>HEVEA</v>
          </cell>
          <cell r="E229" t="str">
            <v>00011050111100018181917</v>
          </cell>
          <cell r="F229" t="str">
            <v>11991665489J</v>
          </cell>
          <cell r="G229" t="str">
            <v>Commis de Service</v>
          </cell>
          <cell r="H229">
            <v>0</v>
          </cell>
          <cell r="I229">
            <v>5</v>
          </cell>
          <cell r="J229">
            <v>5</v>
          </cell>
          <cell r="K229" t="str">
            <v>MAO1-1.I</v>
          </cell>
          <cell r="L229" t="str">
            <v>MANŒUVRE ORDINAIRE</v>
          </cell>
          <cell r="M229" t="str">
            <v>CATEGORIE 1 A 5</v>
          </cell>
          <cell r="N229" t="str">
            <v>MANŒUVRE ORDINAIRE (MO), Echellon 1, Classe 1</v>
          </cell>
          <cell r="P229">
            <v>45140</v>
          </cell>
          <cell r="Q229" t="e">
            <v>#N/A</v>
          </cell>
          <cell r="R229" t="e">
            <v>#N/A</v>
          </cell>
          <cell r="S229" t="e">
            <v>#N/A</v>
          </cell>
          <cell r="T229" t="e">
            <v>#N/A</v>
          </cell>
          <cell r="U229" t="e">
            <v>#N/A</v>
          </cell>
          <cell r="V229" t="e">
            <v>#N/A</v>
          </cell>
          <cell r="W229" t="e">
            <v>#N/A</v>
          </cell>
          <cell r="X229" t="e">
            <v>#N/A</v>
          </cell>
          <cell r="Y229" t="e">
            <v>#N/A</v>
          </cell>
          <cell r="Z229" t="e">
            <v>#N/A</v>
          </cell>
          <cell r="AA229" t="e">
            <v>#N/A</v>
          </cell>
          <cell r="AB229" t="e">
            <v>#N/A</v>
          </cell>
          <cell r="AC229" t="e">
            <v>#N/A</v>
          </cell>
          <cell r="AE229">
            <v>130</v>
          </cell>
          <cell r="AF229" t="e">
            <v>#N/A</v>
          </cell>
          <cell r="AG229" t="e">
            <v>#N/A</v>
          </cell>
          <cell r="AH229" t="e">
            <v>#N/A</v>
          </cell>
          <cell r="AI229" t="e">
            <v>#N/A</v>
          </cell>
          <cell r="AJ229" t="e">
            <v>#N/A</v>
          </cell>
          <cell r="AK229" t="e">
            <v>#N/A</v>
          </cell>
          <cell r="AL229" t="e">
            <v>#N/A</v>
          </cell>
          <cell r="AM229" t="e">
            <v>#N/A</v>
          </cell>
          <cell r="AN229">
            <v>0</v>
          </cell>
          <cell r="AR229" t="e">
            <v>#N/A</v>
          </cell>
          <cell r="AS229">
            <v>61</v>
          </cell>
          <cell r="AT229" t="e">
            <v>#N/A</v>
          </cell>
          <cell r="AU229">
            <v>39</v>
          </cell>
          <cell r="AY229" t="e">
            <v>#N/A</v>
          </cell>
          <cell r="BD229" t="e">
            <v>#N/A</v>
          </cell>
          <cell r="BE229" t="e">
            <v>#N/A</v>
          </cell>
          <cell r="BF229" t="e">
            <v>#N/A</v>
          </cell>
          <cell r="BL229">
            <v>0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>
            <v>-0.38784232365145227</v>
          </cell>
          <cell r="BT229">
            <v>-0.38784232365145227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str">
            <v>CDD</v>
          </cell>
          <cell r="CC229" t="str">
            <v>BANQUE</v>
          </cell>
          <cell r="CD229" t="str">
            <v>216-HEVEA</v>
          </cell>
          <cell r="CE229">
            <v>216</v>
          </cell>
        </row>
        <row r="230">
          <cell r="B230" t="str">
            <v>07312</v>
          </cell>
          <cell r="C230" t="str">
            <v>EKANDO YANDA NELLY</v>
          </cell>
          <cell r="D230" t="str">
            <v>HEVEA</v>
          </cell>
          <cell r="E230" t="str">
            <v>00011050366200102439076</v>
          </cell>
          <cell r="F230" t="str">
            <v>11990652741U</v>
          </cell>
          <cell r="G230" t="str">
            <v>Commis de Service</v>
          </cell>
          <cell r="H230">
            <v>0</v>
          </cell>
          <cell r="I230">
            <v>5</v>
          </cell>
          <cell r="J230">
            <v>5</v>
          </cell>
          <cell r="K230" t="str">
            <v>MAO1-1.I</v>
          </cell>
          <cell r="L230" t="str">
            <v>MANŒUVRE ORDINAIRE</v>
          </cell>
          <cell r="M230" t="str">
            <v>CATEGORIE 1 A 5</v>
          </cell>
          <cell r="N230" t="str">
            <v>MANŒUVRE ORDINAIRE (MO), Echellon 1, Classe 1</v>
          </cell>
          <cell r="P230">
            <v>45140</v>
          </cell>
          <cell r="Q230" t="e">
            <v>#N/A</v>
          </cell>
          <cell r="R230" t="e">
            <v>#N/A</v>
          </cell>
          <cell r="S230" t="e">
            <v>#N/A</v>
          </cell>
          <cell r="T230" t="e">
            <v>#N/A</v>
          </cell>
          <cell r="U230" t="e">
            <v>#N/A</v>
          </cell>
          <cell r="V230" t="e">
            <v>#N/A</v>
          </cell>
          <cell r="W230" t="e">
            <v>#N/A</v>
          </cell>
          <cell r="X230" t="e">
            <v>#N/A</v>
          </cell>
          <cell r="Y230" t="e">
            <v>#N/A</v>
          </cell>
          <cell r="Z230" t="e">
            <v>#N/A</v>
          </cell>
          <cell r="AA230" t="e">
            <v>#N/A</v>
          </cell>
          <cell r="AB230" t="e">
            <v>#N/A</v>
          </cell>
          <cell r="AC230" t="e">
            <v>#N/A</v>
          </cell>
          <cell r="AE230">
            <v>130</v>
          </cell>
          <cell r="AF230" t="e">
            <v>#N/A</v>
          </cell>
          <cell r="AG230" t="e">
            <v>#N/A</v>
          </cell>
          <cell r="AH230" t="e">
            <v>#N/A</v>
          </cell>
          <cell r="AI230" t="e">
            <v>#N/A</v>
          </cell>
          <cell r="AJ230" t="e">
            <v>#N/A</v>
          </cell>
          <cell r="AK230" t="e">
            <v>#N/A</v>
          </cell>
          <cell r="AL230" t="e">
            <v>#N/A</v>
          </cell>
          <cell r="AM230" t="e">
            <v>#N/A</v>
          </cell>
          <cell r="AN230">
            <v>0</v>
          </cell>
          <cell r="AR230" t="e">
            <v>#N/A</v>
          </cell>
          <cell r="AS230">
            <v>61</v>
          </cell>
          <cell r="AT230" t="e">
            <v>#N/A</v>
          </cell>
          <cell r="AU230">
            <v>39</v>
          </cell>
          <cell r="AV230">
            <v>1</v>
          </cell>
          <cell r="AY230" t="e">
            <v>#N/A</v>
          </cell>
          <cell r="BD230" t="e">
            <v>#N/A</v>
          </cell>
          <cell r="BE230" t="e">
            <v>#N/A</v>
          </cell>
          <cell r="BF230" t="e">
            <v>#N/A</v>
          </cell>
          <cell r="BL230">
            <v>0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>
            <v>-0.38784232365145227</v>
          </cell>
          <cell r="BT230">
            <v>-0.38784232365145227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str">
            <v>CDD</v>
          </cell>
          <cell r="CC230" t="str">
            <v>BANQUE</v>
          </cell>
          <cell r="CD230" t="str">
            <v>216-HEVEA</v>
          </cell>
          <cell r="CE230">
            <v>216</v>
          </cell>
        </row>
        <row r="231">
          <cell r="B231" t="str">
            <v>07313</v>
          </cell>
          <cell r="C231" t="str">
            <v>BOLONGA BALILO BENJAMIN</v>
          </cell>
          <cell r="D231" t="str">
            <v>Security</v>
          </cell>
          <cell r="E231" t="str">
            <v>00011050366200100100891</v>
          </cell>
          <cell r="F231" t="str">
            <v>11985649693B</v>
          </cell>
          <cell r="G231" t="str">
            <v>Agent de la Securite</v>
          </cell>
          <cell r="H231">
            <v>0</v>
          </cell>
          <cell r="I231">
            <v>5</v>
          </cell>
          <cell r="J231">
            <v>5</v>
          </cell>
          <cell r="K231" t="str">
            <v>MAO1-1.I</v>
          </cell>
          <cell r="L231" t="str">
            <v>MANŒUVRE ORDINAIRE</v>
          </cell>
          <cell r="M231" t="str">
            <v>CATEGORIE 1 A 5</v>
          </cell>
          <cell r="N231" t="str">
            <v>MANŒUVRE ORDINAIRE (MO), Echellon 1, Classe 1</v>
          </cell>
          <cell r="P231">
            <v>45140</v>
          </cell>
          <cell r="Q231" t="e">
            <v>#N/A</v>
          </cell>
          <cell r="R231" t="e">
            <v>#N/A</v>
          </cell>
          <cell r="S231" t="e">
            <v>#N/A</v>
          </cell>
          <cell r="T231" t="e">
            <v>#N/A</v>
          </cell>
          <cell r="U231" t="e">
            <v>#N/A</v>
          </cell>
          <cell r="V231" t="e">
            <v>#N/A</v>
          </cell>
          <cell r="W231" t="e">
            <v>#N/A</v>
          </cell>
          <cell r="X231" t="e">
            <v>#N/A</v>
          </cell>
          <cell r="Y231" t="e">
            <v>#N/A</v>
          </cell>
          <cell r="Z231" t="e">
            <v>#N/A</v>
          </cell>
          <cell r="AA231" t="e">
            <v>#N/A</v>
          </cell>
          <cell r="AB231" t="e">
            <v>#N/A</v>
          </cell>
          <cell r="AC231" t="e">
            <v>#N/A</v>
          </cell>
          <cell r="AE231">
            <v>130</v>
          </cell>
          <cell r="AF231" t="e">
            <v>#N/A</v>
          </cell>
          <cell r="AG231" t="e">
            <v>#N/A</v>
          </cell>
          <cell r="AH231" t="e">
            <v>#N/A</v>
          </cell>
          <cell r="AI231" t="e">
            <v>#N/A</v>
          </cell>
          <cell r="AJ231" t="e">
            <v>#N/A</v>
          </cell>
          <cell r="AK231" t="e">
            <v>#N/A</v>
          </cell>
          <cell r="AL231" t="e">
            <v>#N/A</v>
          </cell>
          <cell r="AM231" t="e">
            <v>#N/A</v>
          </cell>
          <cell r="AN231">
            <v>0</v>
          </cell>
          <cell r="AR231" t="e">
            <v>#N/A</v>
          </cell>
          <cell r="AS231">
            <v>61</v>
          </cell>
          <cell r="AT231" t="e">
            <v>#N/A</v>
          </cell>
          <cell r="AU231">
            <v>39</v>
          </cell>
          <cell r="AV231">
            <v>3</v>
          </cell>
          <cell r="AY231" t="e">
            <v>#N/A</v>
          </cell>
          <cell r="BD231" t="e">
            <v>#N/A</v>
          </cell>
          <cell r="BE231" t="e">
            <v>#N/A</v>
          </cell>
          <cell r="BF231" t="e">
            <v>#N/A</v>
          </cell>
          <cell r="BL231">
            <v>0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>
            <v>-0.38784232365145227</v>
          </cell>
          <cell r="BT231">
            <v>-0.38784232365145227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str">
            <v>CDD</v>
          </cell>
          <cell r="CC231" t="str">
            <v>BANQUE</v>
          </cell>
          <cell r="CD231" t="str">
            <v>650-Security</v>
          </cell>
          <cell r="CE231">
            <v>650</v>
          </cell>
        </row>
        <row r="232">
          <cell r="B232" t="str">
            <v>07314</v>
          </cell>
          <cell r="C232" t="str">
            <v>KABEMBA KABONGO CELESTIN</v>
          </cell>
          <cell r="D232" t="str">
            <v>Reservations</v>
          </cell>
          <cell r="E232" t="str">
            <v>00011050144100072633254</v>
          </cell>
          <cell r="F232" t="str">
            <v>11992649695W</v>
          </cell>
          <cell r="G232" t="str">
            <v>Agent de Reservation</v>
          </cell>
          <cell r="H232">
            <v>7.7</v>
          </cell>
          <cell r="I232">
            <v>8.9</v>
          </cell>
          <cell r="J232">
            <v>8.9</v>
          </cell>
          <cell r="K232" t="str">
            <v>TSQ2-5.III</v>
          </cell>
          <cell r="L232" t="str">
            <v>TRAVAILLEUR SEMI QUALIFIE</v>
          </cell>
          <cell r="M232" t="str">
            <v>CATEGORIE 1 A 5</v>
          </cell>
          <cell r="N232" t="str">
            <v>TRAVAILLEUR SEMI QUALIFIE (TSQ), Echellon 2, Classe 5</v>
          </cell>
          <cell r="P232">
            <v>45142</v>
          </cell>
          <cell r="Q232" t="e">
            <v>#N/A</v>
          </cell>
          <cell r="R232" t="e">
            <v>#N/A</v>
          </cell>
          <cell r="S232" t="e">
            <v>#N/A</v>
          </cell>
          <cell r="T232" t="e">
            <v>#N/A</v>
          </cell>
          <cell r="U232" t="e">
            <v>#N/A</v>
          </cell>
          <cell r="V232" t="e">
            <v>#N/A</v>
          </cell>
          <cell r="W232" t="e">
            <v>#N/A</v>
          </cell>
          <cell r="X232" t="e">
            <v>#N/A</v>
          </cell>
          <cell r="Y232" t="e">
            <v>#N/A</v>
          </cell>
          <cell r="Z232" t="e">
            <v>#N/A</v>
          </cell>
          <cell r="AA232" t="e">
            <v>#N/A</v>
          </cell>
          <cell r="AB232" t="e">
            <v>#N/A</v>
          </cell>
          <cell r="AC232" t="e">
            <v>#N/A</v>
          </cell>
          <cell r="AE232">
            <v>231.4</v>
          </cell>
          <cell r="AF232" t="e">
            <v>#N/A</v>
          </cell>
          <cell r="AG232" t="e">
            <v>#N/A</v>
          </cell>
          <cell r="AH232" t="e">
            <v>#N/A</v>
          </cell>
          <cell r="AI232" t="e">
            <v>#N/A</v>
          </cell>
          <cell r="AJ232" t="e">
            <v>#N/A</v>
          </cell>
          <cell r="AK232" t="e">
            <v>#N/A</v>
          </cell>
          <cell r="AL232" t="e">
            <v>#N/A</v>
          </cell>
          <cell r="AM232" t="e">
            <v>#N/A</v>
          </cell>
          <cell r="AN232">
            <v>0</v>
          </cell>
          <cell r="AR232" t="e">
            <v>#N/A</v>
          </cell>
          <cell r="AS232">
            <v>61</v>
          </cell>
          <cell r="AT232" t="e">
            <v>#N/A</v>
          </cell>
          <cell r="AU232">
            <v>39</v>
          </cell>
          <cell r="AV232">
            <v>1</v>
          </cell>
          <cell r="AY232" t="e">
            <v>#N/A</v>
          </cell>
          <cell r="BD232" t="e">
            <v>#N/A</v>
          </cell>
          <cell r="BE232" t="e">
            <v>#N/A</v>
          </cell>
          <cell r="BF232" t="e">
            <v>#N/A</v>
          </cell>
          <cell r="BL232">
            <v>0</v>
          </cell>
          <cell r="BM232" t="e">
            <v>#N/A</v>
          </cell>
          <cell r="BN232" t="e">
            <v>#N/A</v>
          </cell>
          <cell r="BO232" t="e">
            <v>#N/A</v>
          </cell>
          <cell r="BP232" t="e">
            <v>#N/A</v>
          </cell>
          <cell r="BQ232" t="e">
            <v>#N/A</v>
          </cell>
          <cell r="BR232">
            <v>-0.38784232365145227</v>
          </cell>
          <cell r="BT232">
            <v>-0.38784232365145227</v>
          </cell>
          <cell r="BU232" t="e">
            <v>#N/A</v>
          </cell>
          <cell r="BV232" t="e">
            <v>#N/A</v>
          </cell>
          <cell r="BW232" t="e">
            <v>#N/A</v>
          </cell>
          <cell r="BX232" t="e">
            <v>#N/A</v>
          </cell>
          <cell r="BY232" t="e">
            <v>#N/A</v>
          </cell>
          <cell r="BZ232" t="str">
            <v>CDD</v>
          </cell>
          <cell r="CC232" t="str">
            <v>BANQUE</v>
          </cell>
          <cell r="CD232" t="str">
            <v>140-Reservations</v>
          </cell>
          <cell r="CE232">
            <v>140</v>
          </cell>
        </row>
        <row r="233">
          <cell r="B233" t="str">
            <v>07320</v>
          </cell>
          <cell r="C233" t="str">
            <v>TEKILA MBUNDU PIERRETTE</v>
          </cell>
          <cell r="D233" t="str">
            <v>Front Office</v>
          </cell>
          <cell r="E233" t="str">
            <v>00011050366200115299627</v>
          </cell>
          <cell r="F233" t="str">
            <v>21993423775H</v>
          </cell>
          <cell r="G233" t="str">
            <v>Receptionniste</v>
          </cell>
          <cell r="H233">
            <v>0</v>
          </cell>
          <cell r="I233">
            <v>5</v>
          </cell>
          <cell r="J233">
            <v>5</v>
          </cell>
          <cell r="K233" t="str">
            <v>MAO1-1.I</v>
          </cell>
          <cell r="L233" t="str">
            <v>MANŒUVRE ORDINAIRE</v>
          </cell>
          <cell r="M233" t="str">
            <v>CATEGORIE 1 A 5</v>
          </cell>
          <cell r="N233" t="str">
            <v>MANŒUVRE ORDINAIRE (MO), Echellon 1, Classe 1</v>
          </cell>
          <cell r="P233">
            <v>45273</v>
          </cell>
          <cell r="Q233" t="e">
            <v>#N/A</v>
          </cell>
          <cell r="R233" t="e">
            <v>#N/A</v>
          </cell>
          <cell r="S233" t="e">
            <v>#N/A</v>
          </cell>
          <cell r="T233" t="e">
            <v>#N/A</v>
          </cell>
          <cell r="U233" t="e">
            <v>#N/A</v>
          </cell>
          <cell r="V233" t="e">
            <v>#N/A</v>
          </cell>
          <cell r="W233" t="e">
            <v>#N/A</v>
          </cell>
          <cell r="X233" t="e">
            <v>#N/A</v>
          </cell>
          <cell r="Y233" t="e">
            <v>#N/A</v>
          </cell>
          <cell r="Z233" t="e">
            <v>#N/A</v>
          </cell>
          <cell r="AA233" t="e">
            <v>#N/A</v>
          </cell>
          <cell r="AB233" t="e">
            <v>#N/A</v>
          </cell>
          <cell r="AC233" t="e">
            <v>#N/A</v>
          </cell>
          <cell r="AE233">
            <v>130</v>
          </cell>
          <cell r="AF233" t="e">
            <v>#N/A</v>
          </cell>
          <cell r="AG233" t="e">
            <v>#N/A</v>
          </cell>
          <cell r="AH233" t="e">
            <v>#N/A</v>
          </cell>
          <cell r="AI233" t="e">
            <v>#N/A</v>
          </cell>
          <cell r="AJ233" t="e">
            <v>#N/A</v>
          </cell>
          <cell r="AK233" t="e">
            <v>#N/A</v>
          </cell>
          <cell r="AL233" t="e">
            <v>#N/A</v>
          </cell>
          <cell r="AM233" t="e">
            <v>#N/A</v>
          </cell>
          <cell r="AN233">
            <v>0</v>
          </cell>
          <cell r="AO233">
            <v>30</v>
          </cell>
          <cell r="AR233" t="e">
            <v>#N/A</v>
          </cell>
          <cell r="AS233">
            <v>61</v>
          </cell>
          <cell r="AT233" t="e">
            <v>#N/A</v>
          </cell>
          <cell r="AU233">
            <v>39</v>
          </cell>
          <cell r="AY233" t="e">
            <v>#N/A</v>
          </cell>
          <cell r="BD233" t="e">
            <v>#N/A</v>
          </cell>
          <cell r="BE233" t="e">
            <v>#N/A</v>
          </cell>
          <cell r="BF233" t="e">
            <v>#N/A</v>
          </cell>
          <cell r="BL233">
            <v>0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>
            <v>-0.38784232365145227</v>
          </cell>
          <cell r="BT233">
            <v>-0.38784232365145227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str">
            <v>CDD</v>
          </cell>
          <cell r="CC233" t="str">
            <v>BANQUE</v>
          </cell>
          <cell r="CD233" t="str">
            <v>120-Front Office</v>
          </cell>
          <cell r="CE233">
            <v>120</v>
          </cell>
        </row>
        <row r="234">
          <cell r="B234" t="str">
            <v>07321</v>
          </cell>
          <cell r="C234" t="str">
            <v>LINGBONGI ALUNGABILA BENIT</v>
          </cell>
          <cell r="D234" t="str">
            <v>Housekeeping</v>
          </cell>
          <cell r="E234" t="str">
            <v>00011150055200121325006</v>
          </cell>
          <cell r="F234" t="str">
            <v>11999687904B</v>
          </cell>
          <cell r="G234" t="str">
            <v>Order Taker</v>
          </cell>
          <cell r="H234">
            <v>8.9</v>
          </cell>
          <cell r="I234">
            <v>10.3</v>
          </cell>
          <cell r="J234">
            <v>8.9003846153846151</v>
          </cell>
          <cell r="K234" t="str">
            <v>TSQ3-6.III</v>
          </cell>
          <cell r="L234" t="str">
            <v>TRAVAILLEUR SEMI QUALIFIE</v>
          </cell>
          <cell r="M234" t="str">
            <v>CATEGORIE 1 A 5</v>
          </cell>
          <cell r="N234" t="str">
            <v>TRAVAILLEUR SEMI QUALIFIE (TSQ), Echellon 3, Classe 6</v>
          </cell>
          <cell r="P234">
            <v>45349</v>
          </cell>
          <cell r="Q234" t="e">
            <v>#N/A</v>
          </cell>
          <cell r="R234" t="e">
            <v>#N/A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X234" t="e">
            <v>#N/A</v>
          </cell>
          <cell r="Y234" t="e">
            <v>#N/A</v>
          </cell>
          <cell r="Z234" t="e">
            <v>#N/A</v>
          </cell>
          <cell r="AA234" t="e">
            <v>#N/A</v>
          </cell>
          <cell r="AB234" t="e">
            <v>#N/A</v>
          </cell>
          <cell r="AC234" t="e">
            <v>#N/A</v>
          </cell>
          <cell r="AE234">
            <v>231.41</v>
          </cell>
          <cell r="AF234" t="e">
            <v>#N/A</v>
          </cell>
          <cell r="AG234" t="e">
            <v>#N/A</v>
          </cell>
          <cell r="AH234" t="e">
            <v>#N/A</v>
          </cell>
          <cell r="AI234" t="e">
            <v>#N/A</v>
          </cell>
          <cell r="AJ234" t="e">
            <v>#N/A</v>
          </cell>
          <cell r="AK234" t="e">
            <v>#N/A</v>
          </cell>
          <cell r="AL234" t="e">
            <v>#N/A</v>
          </cell>
          <cell r="AM234" t="e">
            <v>#N/A</v>
          </cell>
          <cell r="AN234">
            <v>0</v>
          </cell>
          <cell r="AR234" t="e">
            <v>#N/A</v>
          </cell>
          <cell r="AS234">
            <v>60</v>
          </cell>
          <cell r="AT234" t="e">
            <v>#N/A</v>
          </cell>
          <cell r="AU234">
            <v>34.4</v>
          </cell>
          <cell r="AY234" t="e">
            <v>#N/A</v>
          </cell>
          <cell r="BD234" t="e">
            <v>#N/A</v>
          </cell>
          <cell r="BE234" t="e">
            <v>#N/A</v>
          </cell>
          <cell r="BF234" t="e">
            <v>#N/A</v>
          </cell>
          <cell r="BL234">
            <v>0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>
            <v>-0.38784232365145227</v>
          </cell>
          <cell r="BT234">
            <v>-0.38784232365145227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str">
            <v>CDD</v>
          </cell>
          <cell r="CC234" t="str">
            <v>BANQUE</v>
          </cell>
          <cell r="CD234" t="str">
            <v>160-Housekeeping</v>
          </cell>
          <cell r="CE234">
            <v>160</v>
          </cell>
        </row>
        <row r="235">
          <cell r="B235" t="str">
            <v>07323</v>
          </cell>
          <cell r="C235" t="str">
            <v>NSIMBA BOLA JONATHAN</v>
          </cell>
          <cell r="D235" t="str">
            <v>Kitchen</v>
          </cell>
          <cell r="E235" t="str">
            <v>00011050344200121508436</v>
          </cell>
          <cell r="F235" t="str">
            <v>11996668085N</v>
          </cell>
          <cell r="G235" t="str">
            <v>Commis de Cuisine</v>
          </cell>
          <cell r="H235">
            <v>0</v>
          </cell>
          <cell r="I235">
            <v>5</v>
          </cell>
          <cell r="J235">
            <v>5</v>
          </cell>
          <cell r="K235" t="str">
            <v>MAO1-1.I</v>
          </cell>
          <cell r="L235" t="str">
            <v>MANŒUVRE ORDINAIRE</v>
          </cell>
          <cell r="M235" t="str">
            <v>CATEGORIE 1 A 5</v>
          </cell>
          <cell r="N235" t="str">
            <v>MANŒUVRE ORDINAIRE (MO), Echellon 1, Classe 1</v>
          </cell>
          <cell r="P235">
            <v>45350</v>
          </cell>
          <cell r="Q235" t="e">
            <v>#N/A</v>
          </cell>
          <cell r="R235" t="e">
            <v>#N/A</v>
          </cell>
          <cell r="S235" t="e">
            <v>#N/A</v>
          </cell>
          <cell r="T235" t="e">
            <v>#N/A</v>
          </cell>
          <cell r="U235" t="e">
            <v>#N/A</v>
          </cell>
          <cell r="V235" t="e">
            <v>#N/A</v>
          </cell>
          <cell r="W235" t="e">
            <v>#N/A</v>
          </cell>
          <cell r="X235" t="e">
            <v>#N/A</v>
          </cell>
          <cell r="Y235" t="e">
            <v>#N/A</v>
          </cell>
          <cell r="Z235" t="e">
            <v>#N/A</v>
          </cell>
          <cell r="AA235" t="e">
            <v>#N/A</v>
          </cell>
          <cell r="AB235" t="e">
            <v>#N/A</v>
          </cell>
          <cell r="AC235" t="e">
            <v>#N/A</v>
          </cell>
          <cell r="AE235">
            <v>130</v>
          </cell>
          <cell r="AF235" t="e">
            <v>#N/A</v>
          </cell>
          <cell r="AG235" t="e">
            <v>#N/A</v>
          </cell>
          <cell r="AH235" t="e">
            <v>#N/A</v>
          </cell>
          <cell r="AI235" t="e">
            <v>#N/A</v>
          </cell>
          <cell r="AJ235" t="e">
            <v>#N/A</v>
          </cell>
          <cell r="AK235" t="e">
            <v>#N/A</v>
          </cell>
          <cell r="AL235" t="e">
            <v>#N/A</v>
          </cell>
          <cell r="AM235" t="e">
            <v>#N/A</v>
          </cell>
          <cell r="AN235">
            <v>0</v>
          </cell>
          <cell r="AR235" t="e">
            <v>#N/A</v>
          </cell>
          <cell r="AS235">
            <v>61</v>
          </cell>
          <cell r="AT235" t="e">
            <v>#N/A</v>
          </cell>
          <cell r="AU235">
            <v>39</v>
          </cell>
          <cell r="AY235" t="e">
            <v>#N/A</v>
          </cell>
          <cell r="BD235" t="e">
            <v>#N/A</v>
          </cell>
          <cell r="BE235" t="e">
            <v>#N/A</v>
          </cell>
          <cell r="BF235" t="e">
            <v>#N/A</v>
          </cell>
          <cell r="BL235">
            <v>0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>
            <v>-0.38784232365145227</v>
          </cell>
          <cell r="BT235">
            <v>-0.38784232365145227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str">
            <v>CDD</v>
          </cell>
          <cell r="CC235" t="str">
            <v>BANQUE</v>
          </cell>
          <cell r="CD235" t="str">
            <v>281-Kitchen</v>
          </cell>
          <cell r="CE235">
            <v>281</v>
          </cell>
        </row>
        <row r="236">
          <cell r="B236" t="str">
            <v>07324</v>
          </cell>
          <cell r="C236" t="str">
            <v>LIYONGO MPELA JOSE</v>
          </cell>
          <cell r="D236" t="str">
            <v>Kitchen</v>
          </cell>
          <cell r="E236" t="str">
            <v>00011050388100121425828</v>
          </cell>
          <cell r="F236" t="str">
            <v>11994213554T</v>
          </cell>
          <cell r="G236" t="str">
            <v>Commis de Cuisine</v>
          </cell>
          <cell r="H236">
            <v>0</v>
          </cell>
          <cell r="I236">
            <v>5</v>
          </cell>
          <cell r="J236">
            <v>5</v>
          </cell>
          <cell r="K236" t="str">
            <v>MAO1-1.I</v>
          </cell>
          <cell r="L236" t="str">
            <v>MANŒUVRE ORDINAIRE</v>
          </cell>
          <cell r="M236" t="str">
            <v>CATEGORIE 1 A 5</v>
          </cell>
          <cell r="N236" t="str">
            <v>MANŒUVRE ORDINAIRE (MO), Echellon 1, Classe 1</v>
          </cell>
          <cell r="P236">
            <v>45350</v>
          </cell>
          <cell r="Q236" t="e">
            <v>#N/A</v>
          </cell>
          <cell r="R236" t="e">
            <v>#N/A</v>
          </cell>
          <cell r="S236" t="e">
            <v>#N/A</v>
          </cell>
          <cell r="T236" t="e">
            <v>#N/A</v>
          </cell>
          <cell r="U236" t="e">
            <v>#N/A</v>
          </cell>
          <cell r="V236" t="e">
            <v>#N/A</v>
          </cell>
          <cell r="W236" t="e">
            <v>#N/A</v>
          </cell>
          <cell r="X236" t="e">
            <v>#N/A</v>
          </cell>
          <cell r="Y236" t="e">
            <v>#N/A</v>
          </cell>
          <cell r="Z236" t="e">
            <v>#N/A</v>
          </cell>
          <cell r="AA236" t="e">
            <v>#N/A</v>
          </cell>
          <cell r="AB236" t="e">
            <v>#N/A</v>
          </cell>
          <cell r="AC236" t="e">
            <v>#N/A</v>
          </cell>
          <cell r="AE236">
            <v>130</v>
          </cell>
          <cell r="AF236" t="e">
            <v>#N/A</v>
          </cell>
          <cell r="AG236" t="e">
            <v>#N/A</v>
          </cell>
          <cell r="AH236" t="e">
            <v>#N/A</v>
          </cell>
          <cell r="AI236" t="e">
            <v>#N/A</v>
          </cell>
          <cell r="AJ236" t="e">
            <v>#N/A</v>
          </cell>
          <cell r="AK236" t="e">
            <v>#N/A</v>
          </cell>
          <cell r="AL236" t="e">
            <v>#N/A</v>
          </cell>
          <cell r="AM236" t="e">
            <v>#N/A</v>
          </cell>
          <cell r="AN236">
            <v>0</v>
          </cell>
          <cell r="AR236" t="e">
            <v>#N/A</v>
          </cell>
          <cell r="AS236">
            <v>61</v>
          </cell>
          <cell r="AT236" t="e">
            <v>#N/A</v>
          </cell>
          <cell r="AU236">
            <v>39</v>
          </cell>
          <cell r="AV236">
            <v>1</v>
          </cell>
          <cell r="AY236" t="e">
            <v>#N/A</v>
          </cell>
          <cell r="BD236" t="e">
            <v>#N/A</v>
          </cell>
          <cell r="BE236" t="e">
            <v>#N/A</v>
          </cell>
          <cell r="BF236" t="e">
            <v>#N/A</v>
          </cell>
          <cell r="BL236">
            <v>0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>
            <v>-0.38784232365145227</v>
          </cell>
          <cell r="BT236">
            <v>-0.38784232365145227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str">
            <v>CDD</v>
          </cell>
          <cell r="CC236" t="str">
            <v>BANQUE</v>
          </cell>
          <cell r="CD236" t="str">
            <v>281-Kitchen</v>
          </cell>
          <cell r="CE236">
            <v>281</v>
          </cell>
        </row>
        <row r="237">
          <cell r="B237" t="str">
            <v>07325</v>
          </cell>
          <cell r="C237" t="str">
            <v>NSENDULA KONGOLO DANIEL</v>
          </cell>
          <cell r="D237" t="str">
            <v>Hevea</v>
          </cell>
          <cell r="E237" t="str">
            <v>00011050399100117026231</v>
          </cell>
          <cell r="F237" t="str">
            <v>12000668074D</v>
          </cell>
          <cell r="G237" t="str">
            <v>Waiter</v>
          </cell>
          <cell r="H237">
            <v>0</v>
          </cell>
          <cell r="I237">
            <v>5</v>
          </cell>
          <cell r="J237">
            <v>5</v>
          </cell>
          <cell r="K237" t="str">
            <v>MAO1-1.I</v>
          </cell>
          <cell r="L237" t="str">
            <v>MANŒUVRE ORDINAIRE</v>
          </cell>
          <cell r="M237" t="str">
            <v>CATEGORIE 1 A 5</v>
          </cell>
          <cell r="N237" t="str">
            <v>MANŒUVRE ORDINAIRE (MO), Echellon 1, Classe 1</v>
          </cell>
          <cell r="P237">
            <v>45350</v>
          </cell>
          <cell r="Q237" t="e">
            <v>#N/A</v>
          </cell>
          <cell r="R237" t="e">
            <v>#N/A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X237" t="e">
            <v>#N/A</v>
          </cell>
          <cell r="Y237" t="e">
            <v>#N/A</v>
          </cell>
          <cell r="Z237" t="e">
            <v>#N/A</v>
          </cell>
          <cell r="AA237" t="e">
            <v>#N/A</v>
          </cell>
          <cell r="AB237" t="e">
            <v>#N/A</v>
          </cell>
          <cell r="AC237" t="e">
            <v>#N/A</v>
          </cell>
          <cell r="AE237">
            <v>130</v>
          </cell>
          <cell r="AF237" t="e">
            <v>#N/A</v>
          </cell>
          <cell r="AG237" t="e">
            <v>#N/A</v>
          </cell>
          <cell r="AH237" t="e">
            <v>#N/A</v>
          </cell>
          <cell r="AI237" t="e">
            <v>#N/A</v>
          </cell>
          <cell r="AJ237" t="e">
            <v>#N/A</v>
          </cell>
          <cell r="AK237" t="e">
            <v>#N/A</v>
          </cell>
          <cell r="AL237" t="e">
            <v>#N/A</v>
          </cell>
          <cell r="AM237" t="e">
            <v>#N/A</v>
          </cell>
          <cell r="AN237">
            <v>0</v>
          </cell>
          <cell r="AR237" t="e">
            <v>#N/A</v>
          </cell>
          <cell r="AS237">
            <v>61</v>
          </cell>
          <cell r="AT237" t="e">
            <v>#N/A</v>
          </cell>
          <cell r="AU237">
            <v>39</v>
          </cell>
          <cell r="AY237" t="e">
            <v>#N/A</v>
          </cell>
          <cell r="BD237" t="e">
            <v>#N/A</v>
          </cell>
          <cell r="BE237" t="e">
            <v>#N/A</v>
          </cell>
          <cell r="BF237" t="e">
            <v>#N/A</v>
          </cell>
          <cell r="BL237">
            <v>0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>
            <v>-0.38784232365145227</v>
          </cell>
          <cell r="BT237">
            <v>-0.38784232365145227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str">
            <v>CDD</v>
          </cell>
          <cell r="CC237" t="str">
            <v>BANQUE</v>
          </cell>
          <cell r="CD237" t="str">
            <v>216-Hevea</v>
          </cell>
          <cell r="CE237">
            <v>216</v>
          </cell>
        </row>
        <row r="238">
          <cell r="B238" t="str">
            <v>07327</v>
          </cell>
          <cell r="C238" t="str">
            <v>KABANGU LOMAMI TRESOR</v>
          </cell>
          <cell r="D238" t="str">
            <v>Stewarding</v>
          </cell>
          <cell r="E238" t="str">
            <v>00011050366200121891165</v>
          </cell>
          <cell r="F238" t="str">
            <v>11991668053U</v>
          </cell>
          <cell r="G238" t="str">
            <v>Steward</v>
          </cell>
          <cell r="H238">
            <v>0</v>
          </cell>
          <cell r="I238">
            <v>5</v>
          </cell>
          <cell r="J238">
            <v>5</v>
          </cell>
          <cell r="K238" t="str">
            <v>MAO1-1.I</v>
          </cell>
          <cell r="L238" t="str">
            <v>MANŒUVRE ORDINAIRE</v>
          </cell>
          <cell r="M238" t="str">
            <v>CATEGORIE 1 A 5</v>
          </cell>
          <cell r="N238" t="str">
            <v>MANŒUVRE ORDINAIRE (MO), Echellon 1, Classe 1</v>
          </cell>
          <cell r="P238">
            <v>45355</v>
          </cell>
          <cell r="Q238" t="e">
            <v>#N/A</v>
          </cell>
          <cell r="R238" t="e">
            <v>#N/A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X238" t="e">
            <v>#N/A</v>
          </cell>
          <cell r="Y238" t="e">
            <v>#N/A</v>
          </cell>
          <cell r="Z238" t="e">
            <v>#N/A</v>
          </cell>
          <cell r="AA238" t="e">
            <v>#N/A</v>
          </cell>
          <cell r="AB238" t="e">
            <v>#N/A</v>
          </cell>
          <cell r="AC238" t="e">
            <v>#N/A</v>
          </cell>
          <cell r="AE238">
            <v>130</v>
          </cell>
          <cell r="AF238" t="e">
            <v>#N/A</v>
          </cell>
          <cell r="AG238" t="e">
            <v>#N/A</v>
          </cell>
          <cell r="AH238" t="e">
            <v>#N/A</v>
          </cell>
          <cell r="AI238" t="e">
            <v>#N/A</v>
          </cell>
          <cell r="AJ238" t="e">
            <v>#N/A</v>
          </cell>
          <cell r="AK238" t="e">
            <v>#N/A</v>
          </cell>
          <cell r="AL238" t="e">
            <v>#N/A</v>
          </cell>
          <cell r="AM238" t="e">
            <v>#N/A</v>
          </cell>
          <cell r="AN238">
            <v>0</v>
          </cell>
          <cell r="AR238" t="e">
            <v>#N/A</v>
          </cell>
          <cell r="AS238">
            <v>61</v>
          </cell>
          <cell r="AT238" t="e">
            <v>#N/A</v>
          </cell>
          <cell r="AU238">
            <v>39</v>
          </cell>
          <cell r="AY238" t="e">
            <v>#N/A</v>
          </cell>
          <cell r="BD238" t="e">
            <v>#N/A</v>
          </cell>
          <cell r="BE238" t="e">
            <v>#N/A</v>
          </cell>
          <cell r="BF238" t="e">
            <v>#N/A</v>
          </cell>
          <cell r="BL238">
            <v>0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>
            <v>-0.38784232365145227</v>
          </cell>
          <cell r="BT238">
            <v>-0.38784232365145227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str">
            <v>CDD</v>
          </cell>
          <cell r="CC238" t="str">
            <v>BANQUE</v>
          </cell>
          <cell r="CD238" t="str">
            <v>282-Stewarding</v>
          </cell>
          <cell r="CE238">
            <v>282</v>
          </cell>
        </row>
        <row r="239">
          <cell r="B239" t="str">
            <v>07328</v>
          </cell>
          <cell r="C239" t="str">
            <v>NTUMBA HOMA HOMERE</v>
          </cell>
          <cell r="D239" t="str">
            <v>Purchasing and Receiving</v>
          </cell>
          <cell r="E239" t="str">
            <v>00011050366200135466703</v>
          </cell>
          <cell r="F239" t="str">
            <v>106438211140K</v>
          </cell>
          <cell r="G239" t="str">
            <v xml:space="preserve">Purchasing Manager </v>
          </cell>
          <cell r="H239">
            <v>37.6</v>
          </cell>
          <cell r="I239">
            <v>43.4</v>
          </cell>
          <cell r="J239">
            <v>43.384615384615387</v>
          </cell>
          <cell r="K239" t="str">
            <v>CAC3-16.CC</v>
          </cell>
          <cell r="L239" t="str">
            <v>CADRE DE COLLABORATION</v>
          </cell>
          <cell r="M239" t="str">
            <v>CADRE DE COLLABORATION</v>
          </cell>
          <cell r="N239" t="str">
            <v>CADRE DE COLLABORATION, Echellon 3, Classe 16</v>
          </cell>
          <cell r="P239">
            <v>45446</v>
          </cell>
          <cell r="Q239" t="e">
            <v>#N/A</v>
          </cell>
          <cell r="R239" t="e">
            <v>#N/A</v>
          </cell>
          <cell r="S239" t="e">
            <v>#N/A</v>
          </cell>
          <cell r="T239" t="e">
            <v>#N/A</v>
          </cell>
          <cell r="U239" t="e">
            <v>#N/A</v>
          </cell>
          <cell r="V239" t="e">
            <v>#N/A</v>
          </cell>
          <cell r="W239" t="e">
            <v>#N/A</v>
          </cell>
          <cell r="X239" t="e">
            <v>#N/A</v>
          </cell>
          <cell r="Y239" t="e">
            <v>#N/A</v>
          </cell>
          <cell r="Z239" t="e">
            <v>#N/A</v>
          </cell>
          <cell r="AA239" t="e">
            <v>#N/A</v>
          </cell>
          <cell r="AB239" t="e">
            <v>#N/A</v>
          </cell>
          <cell r="AC239" t="e">
            <v>#N/A</v>
          </cell>
          <cell r="AE239">
            <v>1128</v>
          </cell>
          <cell r="AF239" t="e">
            <v>#N/A</v>
          </cell>
          <cell r="AG239" t="e">
            <v>#N/A</v>
          </cell>
          <cell r="AH239" t="e">
            <v>#N/A</v>
          </cell>
          <cell r="AI239" t="e">
            <v>#N/A</v>
          </cell>
          <cell r="AJ239" t="e">
            <v>#N/A</v>
          </cell>
          <cell r="AK239" t="e">
            <v>#N/A</v>
          </cell>
          <cell r="AL239" t="e">
            <v>#N/A</v>
          </cell>
          <cell r="AM239" t="e">
            <v>#N/A</v>
          </cell>
          <cell r="AN239">
            <v>0</v>
          </cell>
          <cell r="AR239" t="e">
            <v>#N/A</v>
          </cell>
          <cell r="AS239">
            <v>192</v>
          </cell>
          <cell r="AT239" t="e">
            <v>#N/A</v>
          </cell>
          <cell r="AU239">
            <v>338.4</v>
          </cell>
          <cell r="AV239">
            <v>1</v>
          </cell>
          <cell r="AY239" t="e">
            <v>#N/A</v>
          </cell>
          <cell r="AZ239">
            <v>100</v>
          </cell>
          <cell r="BC239">
            <v>50</v>
          </cell>
          <cell r="BD239" t="e">
            <v>#N/A</v>
          </cell>
          <cell r="BE239" t="e">
            <v>#N/A</v>
          </cell>
          <cell r="BF239" t="e">
            <v>#N/A</v>
          </cell>
          <cell r="BL239">
            <v>0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>
            <v>-0.38784232365145227</v>
          </cell>
          <cell r="BT239">
            <v>-0.38784232365145227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str">
            <v>CDD</v>
          </cell>
          <cell r="CC239" t="str">
            <v>BANQUE</v>
          </cell>
          <cell r="CD239" t="str">
            <v>640-Purchasing and Receiving</v>
          </cell>
          <cell r="CE239">
            <v>640</v>
          </cell>
        </row>
        <row r="240">
          <cell r="B240" t="str">
            <v>07329</v>
          </cell>
          <cell r="C240" t="str">
            <v>KABUYA DISSANA ISRAEL</v>
          </cell>
          <cell r="D240" t="str">
            <v>Accounting</v>
          </cell>
          <cell r="E240" t="str">
            <v>00011050366200135454772</v>
          </cell>
          <cell r="F240" t="str">
            <v>12000682996V</v>
          </cell>
          <cell r="G240" t="str">
            <v>Income Auditor</v>
          </cell>
          <cell r="H240">
            <v>10.3</v>
          </cell>
          <cell r="I240">
            <v>11.85</v>
          </cell>
          <cell r="J240">
            <v>11.846153846153847</v>
          </cell>
          <cell r="K240" t="str">
            <v>TRQ1-7.IV</v>
          </cell>
          <cell r="L240" t="str">
            <v>TRAVAILLEUR QUALIFIE</v>
          </cell>
          <cell r="M240" t="str">
            <v>CATEGORIE 1 A 5</v>
          </cell>
          <cell r="N240" t="str">
            <v>TRAVAILLEUR QUALIFIE (TQ), Echellon 1, Classe 7</v>
          </cell>
          <cell r="P240">
            <v>45446</v>
          </cell>
          <cell r="Q240" t="e">
            <v>#N/A</v>
          </cell>
          <cell r="R240" t="e">
            <v>#N/A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X240" t="e">
            <v>#N/A</v>
          </cell>
          <cell r="Y240" t="e">
            <v>#N/A</v>
          </cell>
          <cell r="Z240" t="e">
            <v>#N/A</v>
          </cell>
          <cell r="AA240" t="e">
            <v>#N/A</v>
          </cell>
          <cell r="AB240" t="e">
            <v>#N/A</v>
          </cell>
          <cell r="AC240" t="e">
            <v>#N/A</v>
          </cell>
          <cell r="AE240">
            <v>308</v>
          </cell>
          <cell r="AF240" t="e">
            <v>#N/A</v>
          </cell>
          <cell r="AG240" t="e">
            <v>#N/A</v>
          </cell>
          <cell r="AH240" t="e">
            <v>#N/A</v>
          </cell>
          <cell r="AI240" t="e">
            <v>#N/A</v>
          </cell>
          <cell r="AJ240" t="e">
            <v>#N/A</v>
          </cell>
          <cell r="AK240" t="e">
            <v>#N/A</v>
          </cell>
          <cell r="AL240" t="e">
            <v>#N/A</v>
          </cell>
          <cell r="AM240" t="e">
            <v>#N/A</v>
          </cell>
          <cell r="AN240">
            <v>0</v>
          </cell>
          <cell r="AR240" t="e">
            <v>#N/A</v>
          </cell>
          <cell r="AS240">
            <v>65</v>
          </cell>
          <cell r="AT240" t="e">
            <v>#N/A</v>
          </cell>
          <cell r="AU240">
            <v>77</v>
          </cell>
          <cell r="AY240" t="e">
            <v>#N/A</v>
          </cell>
          <cell r="BD240" t="e">
            <v>#N/A</v>
          </cell>
          <cell r="BE240" t="e">
            <v>#N/A</v>
          </cell>
          <cell r="BF240" t="e">
            <v>#N/A</v>
          </cell>
          <cell r="BL240">
            <v>0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>
            <v>-0.38784232365145227</v>
          </cell>
          <cell r="BT240">
            <v>-0.38784232365145227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str">
            <v>CDD</v>
          </cell>
          <cell r="CC240" t="str">
            <v>BANQUE</v>
          </cell>
          <cell r="CD240" t="str">
            <v>620-Accounting</v>
          </cell>
          <cell r="CE240">
            <v>620</v>
          </cell>
        </row>
        <row r="241">
          <cell r="B241" t="str">
            <v>07331</v>
          </cell>
          <cell r="C241" t="str">
            <v>MBO EVRA ERIC</v>
          </cell>
          <cell r="D241" t="str">
            <v>Purchasing and Receiving</v>
          </cell>
          <cell r="E241" t="str">
            <v>00011050366200159766464</v>
          </cell>
          <cell r="F241" t="str">
            <v>11989690309A</v>
          </cell>
          <cell r="G241" t="str">
            <v>Receiving Clerck</v>
          </cell>
          <cell r="H241">
            <v>15.85</v>
          </cell>
          <cell r="I241">
            <v>18.3</v>
          </cell>
          <cell r="J241">
            <v>18.3</v>
          </cell>
          <cell r="K241" t="str">
            <v>MAT1-10.M</v>
          </cell>
          <cell r="L241" t="str">
            <v>MAITRISE</v>
          </cell>
          <cell r="M241" t="str">
            <v>MAITRISE</v>
          </cell>
          <cell r="N241" t="str">
            <v>MAITRISES, Echellon 1, Classe 10</v>
          </cell>
          <cell r="P241">
            <v>45495</v>
          </cell>
          <cell r="Q241" t="e">
            <v>#N/A</v>
          </cell>
          <cell r="R241" t="e">
            <v>#N/A</v>
          </cell>
          <cell r="S241" t="e">
            <v>#N/A</v>
          </cell>
          <cell r="T241" t="e">
            <v>#N/A</v>
          </cell>
          <cell r="U241" t="e">
            <v>#N/A</v>
          </cell>
          <cell r="V241" t="e">
            <v>#N/A</v>
          </cell>
          <cell r="W241" t="e">
            <v>#N/A</v>
          </cell>
          <cell r="X241" t="e">
            <v>#N/A</v>
          </cell>
          <cell r="Y241" t="e">
            <v>#N/A</v>
          </cell>
          <cell r="Z241" t="e">
            <v>#N/A</v>
          </cell>
          <cell r="AA241" t="e">
            <v>#N/A</v>
          </cell>
          <cell r="AB241" t="e">
            <v>#N/A</v>
          </cell>
          <cell r="AC241" t="e">
            <v>#N/A</v>
          </cell>
          <cell r="AE241">
            <v>475.8</v>
          </cell>
          <cell r="AF241" t="e">
            <v>#N/A</v>
          </cell>
          <cell r="AG241" t="e">
            <v>#N/A</v>
          </cell>
          <cell r="AH241" t="e">
            <v>#N/A</v>
          </cell>
          <cell r="AI241" t="e">
            <v>#N/A</v>
          </cell>
          <cell r="AJ241" t="e">
            <v>#N/A</v>
          </cell>
          <cell r="AK241" t="e">
            <v>#N/A</v>
          </cell>
          <cell r="AL241" t="e">
            <v>#N/A</v>
          </cell>
          <cell r="AM241" t="e">
            <v>#N/A</v>
          </cell>
          <cell r="AN241">
            <v>0</v>
          </cell>
          <cell r="AR241" t="e">
            <v>#N/A</v>
          </cell>
          <cell r="AS241">
            <v>95</v>
          </cell>
          <cell r="AT241" t="e">
            <v>#N/A</v>
          </cell>
          <cell r="AU241">
            <v>142.4</v>
          </cell>
          <cell r="AY241" t="e">
            <v>#N/A</v>
          </cell>
          <cell r="BD241" t="e">
            <v>#N/A</v>
          </cell>
          <cell r="BE241" t="e">
            <v>#N/A</v>
          </cell>
          <cell r="BF241" t="e">
            <v>#N/A</v>
          </cell>
          <cell r="BL241">
            <v>0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>
            <v>-0.38784232365145227</v>
          </cell>
          <cell r="BT241">
            <v>-0.38784232365145227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str">
            <v>CDD</v>
          </cell>
          <cell r="CC241" t="str">
            <v>BANQUE</v>
          </cell>
          <cell r="CD241" t="str">
            <v>640-Purchasing and Receiving</v>
          </cell>
          <cell r="CE241">
            <v>640</v>
          </cell>
        </row>
        <row r="242">
          <cell r="B242" t="str">
            <v>07332</v>
          </cell>
          <cell r="C242" t="str">
            <v>MUKOKO MUANA MBEMBA MANASSE</v>
          </cell>
          <cell r="D242" t="str">
            <v>Hevea</v>
          </cell>
          <cell r="E242" t="str">
            <v>00011050399100157449138</v>
          </cell>
          <cell r="G242" t="str">
            <v>Waiter</v>
          </cell>
          <cell r="H242">
            <v>0</v>
          </cell>
          <cell r="I242">
            <v>5</v>
          </cell>
          <cell r="J242">
            <v>5</v>
          </cell>
          <cell r="K242" t="str">
            <v>MAO1-1.I</v>
          </cell>
          <cell r="L242" t="str">
            <v>MANŒUVRE ORDINAIRE</v>
          </cell>
          <cell r="M242" t="str">
            <v>CATEGORIE 1 A 5</v>
          </cell>
          <cell r="N242" t="str">
            <v>MANŒUVRE ORDINAIRE (MO), Echellon 1, Classe 1</v>
          </cell>
          <cell r="P242">
            <v>45525</v>
          </cell>
          <cell r="Q242" t="e">
            <v>#N/A</v>
          </cell>
          <cell r="R242" t="e">
            <v>#N/A</v>
          </cell>
          <cell r="S242" t="e">
            <v>#N/A</v>
          </cell>
          <cell r="T242" t="e">
            <v>#N/A</v>
          </cell>
          <cell r="U242" t="e">
            <v>#N/A</v>
          </cell>
          <cell r="V242" t="e">
            <v>#N/A</v>
          </cell>
          <cell r="W242" t="e">
            <v>#N/A</v>
          </cell>
          <cell r="X242" t="e">
            <v>#N/A</v>
          </cell>
          <cell r="Y242" t="e">
            <v>#N/A</v>
          </cell>
          <cell r="Z242" t="e">
            <v>#N/A</v>
          </cell>
          <cell r="AA242" t="e">
            <v>#N/A</v>
          </cell>
          <cell r="AB242" t="e">
            <v>#N/A</v>
          </cell>
          <cell r="AC242" t="e">
            <v>#N/A</v>
          </cell>
          <cell r="AE242">
            <v>130</v>
          </cell>
          <cell r="AF242" t="e">
            <v>#N/A</v>
          </cell>
          <cell r="AG242" t="e">
            <v>#N/A</v>
          </cell>
          <cell r="AH242" t="e">
            <v>#N/A</v>
          </cell>
          <cell r="AI242" t="e">
            <v>#N/A</v>
          </cell>
          <cell r="AJ242" t="e">
            <v>#N/A</v>
          </cell>
          <cell r="AK242" t="e">
            <v>#N/A</v>
          </cell>
          <cell r="AL242" t="e">
            <v>#N/A</v>
          </cell>
          <cell r="AM242" t="e">
            <v>#N/A</v>
          </cell>
          <cell r="AN242">
            <v>0</v>
          </cell>
          <cell r="AR242" t="e">
            <v>#N/A</v>
          </cell>
          <cell r="AS242">
            <v>61</v>
          </cell>
          <cell r="AT242" t="e">
            <v>#N/A</v>
          </cell>
          <cell r="AU242">
            <v>39</v>
          </cell>
          <cell r="AY242" t="e">
            <v>#N/A</v>
          </cell>
          <cell r="BD242" t="e">
            <v>#N/A</v>
          </cell>
          <cell r="BE242" t="e">
            <v>#N/A</v>
          </cell>
          <cell r="BF242" t="e">
            <v>#N/A</v>
          </cell>
          <cell r="BL242">
            <v>0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>
            <v>-0.38784232365145227</v>
          </cell>
          <cell r="BT242">
            <v>-0.38784232365145227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str">
            <v>CDD</v>
          </cell>
          <cell r="CC242" t="str">
            <v>BANQUE</v>
          </cell>
          <cell r="CD242" t="str">
            <v>216-Hevea</v>
          </cell>
          <cell r="CE242">
            <v>216</v>
          </cell>
        </row>
        <row r="243">
          <cell r="B243" t="str">
            <v>07333</v>
          </cell>
          <cell r="C243" t="str">
            <v>NGITUNGU MALEBINGI DAVID</v>
          </cell>
          <cell r="D243" t="str">
            <v>La Riviera</v>
          </cell>
          <cell r="E243" t="str">
            <v>00011050399100123127046</v>
          </cell>
          <cell r="G243" t="str">
            <v>Barman</v>
          </cell>
          <cell r="H243">
            <v>0</v>
          </cell>
          <cell r="I243">
            <v>5</v>
          </cell>
          <cell r="J243">
            <v>5</v>
          </cell>
          <cell r="K243" t="str">
            <v>MAO1-1.I</v>
          </cell>
          <cell r="L243" t="str">
            <v>MANŒUVRE ORDINAIRE</v>
          </cell>
          <cell r="M243" t="str">
            <v>CATEGORIE 1 A 5</v>
          </cell>
          <cell r="N243" t="str">
            <v>MANŒUVRE ORDINAIRE (MO), Echellon 1, Classe 1</v>
          </cell>
          <cell r="P243">
            <v>45525</v>
          </cell>
          <cell r="Q243" t="e">
            <v>#N/A</v>
          </cell>
          <cell r="R243" t="e">
            <v>#N/A</v>
          </cell>
          <cell r="S243" t="e">
            <v>#N/A</v>
          </cell>
          <cell r="T243" t="e">
            <v>#N/A</v>
          </cell>
          <cell r="U243" t="e">
            <v>#N/A</v>
          </cell>
          <cell r="V243" t="e">
            <v>#N/A</v>
          </cell>
          <cell r="W243" t="e">
            <v>#N/A</v>
          </cell>
          <cell r="X243" t="e">
            <v>#N/A</v>
          </cell>
          <cell r="Y243" t="e">
            <v>#N/A</v>
          </cell>
          <cell r="Z243" t="e">
            <v>#N/A</v>
          </cell>
          <cell r="AA243" t="e">
            <v>#N/A</v>
          </cell>
          <cell r="AB243" t="e">
            <v>#N/A</v>
          </cell>
          <cell r="AC243" t="e">
            <v>#N/A</v>
          </cell>
          <cell r="AE243">
            <v>130</v>
          </cell>
          <cell r="AF243" t="e">
            <v>#N/A</v>
          </cell>
          <cell r="AG243" t="e">
            <v>#N/A</v>
          </cell>
          <cell r="AH243" t="e">
            <v>#N/A</v>
          </cell>
          <cell r="AI243" t="e">
            <v>#N/A</v>
          </cell>
          <cell r="AJ243" t="e">
            <v>#N/A</v>
          </cell>
          <cell r="AK243" t="e">
            <v>#N/A</v>
          </cell>
          <cell r="AL243" t="e">
            <v>#N/A</v>
          </cell>
          <cell r="AM243" t="e">
            <v>#N/A</v>
          </cell>
          <cell r="AN243">
            <v>0</v>
          </cell>
          <cell r="AR243" t="e">
            <v>#N/A</v>
          </cell>
          <cell r="AS243">
            <v>61</v>
          </cell>
          <cell r="AT243" t="e">
            <v>#N/A</v>
          </cell>
          <cell r="AU243">
            <v>39</v>
          </cell>
          <cell r="AV243">
            <v>1</v>
          </cell>
          <cell r="AY243" t="e">
            <v>#N/A</v>
          </cell>
          <cell r="BD243" t="e">
            <v>#N/A</v>
          </cell>
          <cell r="BE243" t="e">
            <v>#N/A</v>
          </cell>
          <cell r="BF243" t="e">
            <v>#N/A</v>
          </cell>
          <cell r="BL243">
            <v>0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>
            <v>-0.38784232365145227</v>
          </cell>
          <cell r="BT243">
            <v>-0.38784232365145227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str">
            <v>CDD</v>
          </cell>
          <cell r="CC243" t="str">
            <v>BANQUE</v>
          </cell>
          <cell r="CD243" t="str">
            <v>212-La Riviera</v>
          </cell>
          <cell r="CE243">
            <v>212</v>
          </cell>
        </row>
        <row r="244">
          <cell r="B244" t="str">
            <v>07334</v>
          </cell>
          <cell r="C244" t="str">
            <v>MUTOMBO RUBUZ CEDRIC</v>
          </cell>
          <cell r="D244" t="str">
            <v>Purchasing and Receiving</v>
          </cell>
          <cell r="E244" t="str">
            <v>00018000360001184120023</v>
          </cell>
          <cell r="F244" t="str">
            <v>105448605280Q</v>
          </cell>
          <cell r="G244" t="str">
            <v>Cost Control Clerck &amp;Store Supervisor</v>
          </cell>
          <cell r="H244">
            <v>15.85</v>
          </cell>
          <cell r="I244">
            <v>18.3</v>
          </cell>
          <cell r="J244">
            <v>18.3</v>
          </cell>
          <cell r="K244" t="str">
            <v>MAT1-10.M</v>
          </cell>
          <cell r="L244" t="str">
            <v>MAITRISE</v>
          </cell>
          <cell r="M244" t="str">
            <v>MAITRISE</v>
          </cell>
          <cell r="N244" t="str">
            <v>MAITRISES, Echellon 1, Classe 10</v>
          </cell>
          <cell r="P244">
            <v>45558</v>
          </cell>
          <cell r="Q244" t="e">
            <v>#N/A</v>
          </cell>
          <cell r="R244" t="e">
            <v>#N/A</v>
          </cell>
          <cell r="S244" t="e">
            <v>#N/A</v>
          </cell>
          <cell r="T244" t="e">
            <v>#N/A</v>
          </cell>
          <cell r="U244" t="e">
            <v>#N/A</v>
          </cell>
          <cell r="V244" t="e">
            <v>#N/A</v>
          </cell>
          <cell r="W244" t="e">
            <v>#N/A</v>
          </cell>
          <cell r="X244" t="e">
            <v>#N/A</v>
          </cell>
          <cell r="Y244" t="e">
            <v>#N/A</v>
          </cell>
          <cell r="Z244" t="e">
            <v>#N/A</v>
          </cell>
          <cell r="AA244" t="e">
            <v>#N/A</v>
          </cell>
          <cell r="AB244" t="e">
            <v>#N/A</v>
          </cell>
          <cell r="AC244" t="e">
            <v>#N/A</v>
          </cell>
          <cell r="AE244">
            <v>475.8</v>
          </cell>
          <cell r="AF244" t="e">
            <v>#N/A</v>
          </cell>
          <cell r="AG244" t="e">
            <v>#N/A</v>
          </cell>
          <cell r="AH244" t="e">
            <v>#N/A</v>
          </cell>
          <cell r="AI244" t="e">
            <v>#N/A</v>
          </cell>
          <cell r="AJ244" t="e">
            <v>#N/A</v>
          </cell>
          <cell r="AK244" t="e">
            <v>#N/A</v>
          </cell>
          <cell r="AL244" t="e">
            <v>#N/A</v>
          </cell>
          <cell r="AM244" t="e">
            <v>#N/A</v>
          </cell>
          <cell r="AN244">
            <v>0</v>
          </cell>
          <cell r="AR244" t="e">
            <v>#N/A</v>
          </cell>
          <cell r="AS244">
            <v>99</v>
          </cell>
          <cell r="AT244" t="e">
            <v>#N/A</v>
          </cell>
          <cell r="AU244">
            <v>100</v>
          </cell>
          <cell r="AV244">
            <v>1</v>
          </cell>
          <cell r="AY244" t="e">
            <v>#N/A</v>
          </cell>
          <cell r="AZ244">
            <v>200</v>
          </cell>
          <cell r="BA244">
            <v>24.2</v>
          </cell>
          <cell r="BD244" t="e">
            <v>#N/A</v>
          </cell>
          <cell r="BE244" t="e">
            <v>#N/A</v>
          </cell>
          <cell r="BF244" t="e">
            <v>#N/A</v>
          </cell>
          <cell r="BL244">
            <v>0</v>
          </cell>
          <cell r="BM244" t="e">
            <v>#N/A</v>
          </cell>
          <cell r="BN244" t="e">
            <v>#N/A</v>
          </cell>
          <cell r="BO244" t="e">
            <v>#N/A</v>
          </cell>
          <cell r="BP244" t="e">
            <v>#N/A</v>
          </cell>
          <cell r="BQ244" t="e">
            <v>#N/A</v>
          </cell>
          <cell r="BR244">
            <v>-0.38784232365145227</v>
          </cell>
          <cell r="BT244">
            <v>-0.38784232365145227</v>
          </cell>
          <cell r="BU244" t="e">
            <v>#N/A</v>
          </cell>
          <cell r="BV244" t="e">
            <v>#N/A</v>
          </cell>
          <cell r="BW244" t="e">
            <v>#N/A</v>
          </cell>
          <cell r="BX244" t="e">
            <v>#N/A</v>
          </cell>
          <cell r="BY244" t="e">
            <v>#N/A</v>
          </cell>
          <cell r="BZ244" t="str">
            <v>CDD</v>
          </cell>
          <cell r="CC244" t="str">
            <v>BANQUE</v>
          </cell>
          <cell r="CD244" t="str">
            <v>640-Purchasing and Receiving</v>
          </cell>
          <cell r="CE244">
            <v>640</v>
          </cell>
        </row>
        <row r="245">
          <cell r="B245" t="str">
            <v>07335</v>
          </cell>
          <cell r="C245" t="str">
            <v>KAMBALE SYLVAKETYA YANNICK</v>
          </cell>
          <cell r="D245" t="str">
            <v>Guest Transportation</v>
          </cell>
          <cell r="E245" t="str">
            <v>00011050366200171555553</v>
          </cell>
          <cell r="F245" t="str">
            <v>110028507250H</v>
          </cell>
          <cell r="G245" t="str">
            <v>DRIVER</v>
          </cell>
          <cell r="H245">
            <v>5</v>
          </cell>
          <cell r="I245">
            <v>5.8</v>
          </cell>
          <cell r="J245">
            <v>5.8000000000000007</v>
          </cell>
          <cell r="K245" t="str">
            <v>MAL1-2.I</v>
          </cell>
          <cell r="L245" t="str">
            <v>MANOEUVRE LOURD</v>
          </cell>
          <cell r="M245" t="str">
            <v>CATEGORIE 1 A 5</v>
          </cell>
          <cell r="N245" t="str">
            <v>MANŒUVRE LOURD (ML), Echellon 2, Classe 2</v>
          </cell>
          <cell r="P245">
            <v>45590</v>
          </cell>
          <cell r="Q245" t="e">
            <v>#N/A</v>
          </cell>
          <cell r="R245" t="e">
            <v>#N/A</v>
          </cell>
          <cell r="S245" t="e">
            <v>#N/A</v>
          </cell>
          <cell r="T245" t="e">
            <v>#N/A</v>
          </cell>
          <cell r="U245" t="e">
            <v>#N/A</v>
          </cell>
          <cell r="V245" t="e">
            <v>#N/A</v>
          </cell>
          <cell r="W245" t="e">
            <v>#N/A</v>
          </cell>
          <cell r="X245" t="e">
            <v>#N/A</v>
          </cell>
          <cell r="Y245" t="e">
            <v>#N/A</v>
          </cell>
          <cell r="Z245" t="e">
            <v>#N/A</v>
          </cell>
          <cell r="AA245" t="e">
            <v>#N/A</v>
          </cell>
          <cell r="AB245" t="e">
            <v>#N/A</v>
          </cell>
          <cell r="AC245" t="e">
            <v>#N/A</v>
          </cell>
          <cell r="AE245">
            <v>150.80000000000001</v>
          </cell>
          <cell r="AF245" t="e">
            <v>#N/A</v>
          </cell>
          <cell r="AG245" t="e">
            <v>#N/A</v>
          </cell>
          <cell r="AH245" t="e">
            <v>#N/A</v>
          </cell>
          <cell r="AI245" t="e">
            <v>#N/A</v>
          </cell>
          <cell r="AJ245" t="e">
            <v>#N/A</v>
          </cell>
          <cell r="AK245" t="e">
            <v>#N/A</v>
          </cell>
          <cell r="AL245" t="e">
            <v>#N/A</v>
          </cell>
          <cell r="AM245" t="e">
            <v>#N/A</v>
          </cell>
          <cell r="AN245">
            <v>0</v>
          </cell>
          <cell r="AR245" t="e">
            <v>#N/A</v>
          </cell>
          <cell r="AS245">
            <v>60</v>
          </cell>
          <cell r="AT245" t="e">
            <v>#N/A</v>
          </cell>
          <cell r="AU245">
            <v>44.2</v>
          </cell>
          <cell r="AY245" t="e">
            <v>#N/A</v>
          </cell>
          <cell r="BD245" t="e">
            <v>#N/A</v>
          </cell>
          <cell r="BE245" t="e">
            <v>#N/A</v>
          </cell>
          <cell r="BF245" t="e">
            <v>#N/A</v>
          </cell>
          <cell r="BL245">
            <v>0</v>
          </cell>
          <cell r="BM245" t="e">
            <v>#N/A</v>
          </cell>
          <cell r="BN245" t="e">
            <v>#N/A</v>
          </cell>
          <cell r="BO245" t="e">
            <v>#N/A</v>
          </cell>
          <cell r="BP245" t="e">
            <v>#N/A</v>
          </cell>
          <cell r="BQ245" t="e">
            <v>#N/A</v>
          </cell>
          <cell r="BR245">
            <v>-0.38784232365145227</v>
          </cell>
          <cell r="BT245">
            <v>-0.38784232365145227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str">
            <v>CDD</v>
          </cell>
          <cell r="CC245" t="str">
            <v>BANQUE</v>
          </cell>
          <cell r="CD245" t="str">
            <v>481-Guest Transportation</v>
          </cell>
          <cell r="CE245">
            <v>481</v>
          </cell>
        </row>
        <row r="246">
          <cell r="B246" t="str">
            <v>07336</v>
          </cell>
          <cell r="C246" t="str">
            <v>BARAKA MPELA MAKUNSI SARAH</v>
          </cell>
          <cell r="D246" t="str">
            <v>Front Office</v>
          </cell>
          <cell r="E246" t="str">
            <v>00011050399200174931055</v>
          </cell>
          <cell r="G246" t="str">
            <v>Executive Lounge Agent</v>
          </cell>
          <cell r="H246">
            <v>8.9</v>
          </cell>
          <cell r="I246">
            <v>10.3</v>
          </cell>
          <cell r="J246">
            <v>10.26923076923077</v>
          </cell>
          <cell r="K246" t="str">
            <v>TSQ3-6.III</v>
          </cell>
          <cell r="L246" t="str">
            <v>TRAVAILLEUR SEMI QUALIFIE</v>
          </cell>
          <cell r="M246" t="str">
            <v>CATEGORIE 1 A 5</v>
          </cell>
          <cell r="N246" t="str">
            <v>TRAVAILLEUR SEMI QUALIFIE (TSQ), Echellon 3, Classe 6</v>
          </cell>
          <cell r="P246">
            <v>45621</v>
          </cell>
          <cell r="Q246" t="e">
            <v>#N/A</v>
          </cell>
          <cell r="R246" t="e">
            <v>#N/A</v>
          </cell>
          <cell r="S246" t="e">
            <v>#N/A</v>
          </cell>
          <cell r="T246" t="e">
            <v>#N/A</v>
          </cell>
          <cell r="U246" t="e">
            <v>#N/A</v>
          </cell>
          <cell r="V246" t="e">
            <v>#N/A</v>
          </cell>
          <cell r="W246" t="e">
            <v>#N/A</v>
          </cell>
          <cell r="X246" t="e">
            <v>#N/A</v>
          </cell>
          <cell r="Y246" t="e">
            <v>#N/A</v>
          </cell>
          <cell r="Z246" t="e">
            <v>#N/A</v>
          </cell>
          <cell r="AA246" t="e">
            <v>#N/A</v>
          </cell>
          <cell r="AB246" t="e">
            <v>#N/A</v>
          </cell>
          <cell r="AC246" t="e">
            <v>#N/A</v>
          </cell>
          <cell r="AE246">
            <v>267</v>
          </cell>
          <cell r="AF246" t="e">
            <v>#N/A</v>
          </cell>
          <cell r="AG246" t="e">
            <v>#N/A</v>
          </cell>
          <cell r="AH246" t="e">
            <v>#N/A</v>
          </cell>
          <cell r="AI246" t="e">
            <v>#N/A</v>
          </cell>
          <cell r="AJ246" t="e">
            <v>#N/A</v>
          </cell>
          <cell r="AK246" t="e">
            <v>#N/A</v>
          </cell>
          <cell r="AL246" t="e">
            <v>#N/A</v>
          </cell>
          <cell r="AM246" t="e">
            <v>#N/A</v>
          </cell>
          <cell r="AN246">
            <v>0</v>
          </cell>
          <cell r="AR246" t="e">
            <v>#N/A</v>
          </cell>
          <cell r="AS246">
            <v>60</v>
          </cell>
          <cell r="AT246" t="e">
            <v>#N/A</v>
          </cell>
          <cell r="AU246">
            <v>80</v>
          </cell>
          <cell r="AY246" t="e">
            <v>#N/A</v>
          </cell>
          <cell r="BD246" t="e">
            <v>#N/A</v>
          </cell>
          <cell r="BE246" t="e">
            <v>#N/A</v>
          </cell>
          <cell r="BF246" t="e">
            <v>#N/A</v>
          </cell>
          <cell r="BL246">
            <v>0</v>
          </cell>
          <cell r="BM246" t="e">
            <v>#N/A</v>
          </cell>
          <cell r="BN246" t="e">
            <v>#N/A</v>
          </cell>
          <cell r="BO246" t="e">
            <v>#N/A</v>
          </cell>
          <cell r="BP246" t="e">
            <v>#N/A</v>
          </cell>
          <cell r="BQ246" t="e">
            <v>#N/A</v>
          </cell>
          <cell r="BR246">
            <v>-0.38784232365145227</v>
          </cell>
          <cell r="BT246">
            <v>-0.38784232365145227</v>
          </cell>
          <cell r="BU246" t="e">
            <v>#N/A</v>
          </cell>
          <cell r="BV246" t="e">
            <v>#N/A</v>
          </cell>
          <cell r="BW246" t="e">
            <v>#N/A</v>
          </cell>
          <cell r="BX246" t="e">
            <v>#N/A</v>
          </cell>
          <cell r="BY246" t="e">
            <v>#N/A</v>
          </cell>
          <cell r="BZ246" t="str">
            <v>CDD</v>
          </cell>
          <cell r="CC246" t="str">
            <v>BANQUE</v>
          </cell>
          <cell r="CD246" t="str">
            <v>120-Front Office</v>
          </cell>
          <cell r="CE246">
            <v>120</v>
          </cell>
        </row>
        <row r="247">
          <cell r="B247" t="str">
            <v>07338</v>
          </cell>
          <cell r="C247" t="str">
            <v>NGOMBO MANGOVO AUDREY</v>
          </cell>
          <cell r="D247" t="str">
            <v>Business Centre</v>
          </cell>
          <cell r="E247" t="str">
            <v>00011050366200177611069</v>
          </cell>
          <cell r="G247" t="str">
            <v>Business Center Agent</v>
          </cell>
          <cell r="H247">
            <v>0</v>
          </cell>
          <cell r="I247">
            <v>5</v>
          </cell>
          <cell r="J247">
            <v>5</v>
          </cell>
          <cell r="K247" t="str">
            <v>MAO1-1.I</v>
          </cell>
          <cell r="L247" t="str">
            <v>MANŒUVRE ORDINAIRE</v>
          </cell>
          <cell r="M247" t="str">
            <v>CATEGORIE 1 A 5</v>
          </cell>
          <cell r="N247" t="str">
            <v>MANŒUVRE ORDINAIRE (MO), Echellon 1, Classe 1</v>
          </cell>
          <cell r="P247">
            <v>45639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  <cell r="U247" t="e">
            <v>#N/A</v>
          </cell>
          <cell r="V247" t="e">
            <v>#N/A</v>
          </cell>
          <cell r="W247" t="e">
            <v>#N/A</v>
          </cell>
          <cell r="X247" t="e">
            <v>#N/A</v>
          </cell>
          <cell r="Y247" t="e">
            <v>#N/A</v>
          </cell>
          <cell r="Z247" t="e">
            <v>#N/A</v>
          </cell>
          <cell r="AA247" t="e">
            <v>#N/A</v>
          </cell>
          <cell r="AB247" t="e">
            <v>#N/A</v>
          </cell>
          <cell r="AC247" t="e">
            <v>#N/A</v>
          </cell>
          <cell r="AE247">
            <v>130</v>
          </cell>
          <cell r="AF247" t="e">
            <v>#N/A</v>
          </cell>
          <cell r="AG247" t="e">
            <v>#N/A</v>
          </cell>
          <cell r="AH247" t="e">
            <v>#N/A</v>
          </cell>
          <cell r="AI247" t="e">
            <v>#N/A</v>
          </cell>
          <cell r="AJ247" t="e">
            <v>#N/A</v>
          </cell>
          <cell r="AK247" t="e">
            <v>#N/A</v>
          </cell>
          <cell r="AL247" t="e">
            <v>#N/A</v>
          </cell>
          <cell r="AM247" t="e">
            <v>#N/A</v>
          </cell>
          <cell r="AN247">
            <v>0</v>
          </cell>
          <cell r="AR247" t="e">
            <v>#N/A</v>
          </cell>
          <cell r="AS247">
            <v>61</v>
          </cell>
          <cell r="AT247" t="e">
            <v>#N/A</v>
          </cell>
          <cell r="AU247">
            <v>39</v>
          </cell>
          <cell r="AY247" t="e">
            <v>#N/A</v>
          </cell>
          <cell r="BD247" t="e">
            <v>#N/A</v>
          </cell>
          <cell r="BE247" t="e">
            <v>#N/A</v>
          </cell>
          <cell r="BF247" t="e">
            <v>#N/A</v>
          </cell>
          <cell r="BL247">
            <v>0</v>
          </cell>
          <cell r="BM247" t="e">
            <v>#N/A</v>
          </cell>
          <cell r="BN247" t="e">
            <v>#N/A</v>
          </cell>
          <cell r="BO247" t="e">
            <v>#N/A</v>
          </cell>
          <cell r="BP247" t="e">
            <v>#N/A</v>
          </cell>
          <cell r="BQ247" t="e">
            <v>#N/A</v>
          </cell>
          <cell r="BR247">
            <v>0</v>
          </cell>
          <cell r="BT247">
            <v>0</v>
          </cell>
          <cell r="BU247" t="e">
            <v>#N/A</v>
          </cell>
          <cell r="BV247" t="e">
            <v>#N/A</v>
          </cell>
          <cell r="BW247" t="e">
            <v>#N/A</v>
          </cell>
          <cell r="BX247" t="e">
            <v>#N/A</v>
          </cell>
          <cell r="BY247" t="e">
            <v>#N/A</v>
          </cell>
          <cell r="BZ247" t="str">
            <v>CDD</v>
          </cell>
          <cell r="CC247" t="str">
            <v>BANQUE</v>
          </cell>
          <cell r="CD247" t="str">
            <v>420-Business Centre</v>
          </cell>
          <cell r="CE247">
            <v>420</v>
          </cell>
        </row>
        <row r="248">
          <cell r="B248" t="str">
            <v>07339</v>
          </cell>
          <cell r="C248" t="str">
            <v>LOKOMBE DIABANZA ELIE</v>
          </cell>
          <cell r="D248" t="str">
            <v>La Riviera</v>
          </cell>
          <cell r="E248" t="str">
            <v>00011050366200176954573</v>
          </cell>
          <cell r="G248" t="str">
            <v>Waiter</v>
          </cell>
          <cell r="H248">
            <v>0</v>
          </cell>
          <cell r="I248">
            <v>5</v>
          </cell>
          <cell r="J248">
            <v>5</v>
          </cell>
          <cell r="K248" t="str">
            <v>MAO1-1.I</v>
          </cell>
          <cell r="L248" t="str">
            <v>MANŒUVRE ORDINAIRE</v>
          </cell>
          <cell r="M248" t="str">
            <v>CATEGORIE 1 A 5</v>
          </cell>
          <cell r="N248" t="str">
            <v>MANŒUVRE ORDINAIRE (MO), Echellon 1, Classe 1</v>
          </cell>
          <cell r="P248">
            <v>45647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  <cell r="U248" t="e">
            <v>#N/A</v>
          </cell>
          <cell r="V248" t="e">
            <v>#N/A</v>
          </cell>
          <cell r="W248" t="e">
            <v>#N/A</v>
          </cell>
          <cell r="X248" t="e">
            <v>#N/A</v>
          </cell>
          <cell r="Y248" t="e">
            <v>#N/A</v>
          </cell>
          <cell r="Z248" t="e">
            <v>#N/A</v>
          </cell>
          <cell r="AA248" t="e">
            <v>#N/A</v>
          </cell>
          <cell r="AB248" t="e">
            <v>#N/A</v>
          </cell>
          <cell r="AC248" t="e">
            <v>#N/A</v>
          </cell>
          <cell r="AE248">
            <v>130</v>
          </cell>
          <cell r="AF248" t="e">
            <v>#N/A</v>
          </cell>
          <cell r="AG248" t="e">
            <v>#N/A</v>
          </cell>
          <cell r="AH248" t="e">
            <v>#N/A</v>
          </cell>
          <cell r="AI248" t="e">
            <v>#N/A</v>
          </cell>
          <cell r="AJ248" t="e">
            <v>#N/A</v>
          </cell>
          <cell r="AK248" t="e">
            <v>#N/A</v>
          </cell>
          <cell r="AL248" t="e">
            <v>#N/A</v>
          </cell>
          <cell r="AM248" t="e">
            <v>#N/A</v>
          </cell>
          <cell r="AN248">
            <v>0</v>
          </cell>
          <cell r="AR248" t="e">
            <v>#N/A</v>
          </cell>
          <cell r="AS248">
            <v>61</v>
          </cell>
          <cell r="AT248" t="e">
            <v>#N/A</v>
          </cell>
          <cell r="AU248">
            <v>39</v>
          </cell>
          <cell r="AV248">
            <v>1</v>
          </cell>
          <cell r="AY248" t="e">
            <v>#N/A</v>
          </cell>
          <cell r="BD248" t="e">
            <v>#N/A</v>
          </cell>
          <cell r="BE248" t="e">
            <v>#N/A</v>
          </cell>
          <cell r="BF248" t="e">
            <v>#N/A</v>
          </cell>
          <cell r="BL248">
            <v>0</v>
          </cell>
          <cell r="BM248" t="e">
            <v>#N/A</v>
          </cell>
          <cell r="BN248" t="e">
            <v>#N/A</v>
          </cell>
          <cell r="BO248" t="e">
            <v>#N/A</v>
          </cell>
          <cell r="BP248" t="e">
            <v>#N/A</v>
          </cell>
          <cell r="BQ248" t="e">
            <v>#N/A</v>
          </cell>
          <cell r="BR248">
            <v>0</v>
          </cell>
          <cell r="BT248">
            <v>0</v>
          </cell>
          <cell r="BU248" t="e">
            <v>#N/A</v>
          </cell>
          <cell r="BV248" t="e">
            <v>#N/A</v>
          </cell>
          <cell r="BW248" t="e">
            <v>#N/A</v>
          </cell>
          <cell r="BX248" t="e">
            <v>#N/A</v>
          </cell>
          <cell r="BY248" t="e">
            <v>#N/A</v>
          </cell>
          <cell r="BZ248" t="str">
            <v>CDD</v>
          </cell>
          <cell r="CC248" t="str">
            <v>BANQUE</v>
          </cell>
          <cell r="CD248" t="str">
            <v>212-La Riviera</v>
          </cell>
          <cell r="CE248">
            <v>212</v>
          </cell>
        </row>
        <row r="249">
          <cell r="B249" t="str">
            <v>07340</v>
          </cell>
          <cell r="C249" t="str">
            <v>ETUWE LOAMBO CHRISTIAN</v>
          </cell>
          <cell r="D249" t="str">
            <v>La Riviera</v>
          </cell>
          <cell r="E249" t="str">
            <v>00011050366200176936143</v>
          </cell>
          <cell r="G249" t="str">
            <v>Waiter</v>
          </cell>
          <cell r="H249">
            <v>0</v>
          </cell>
          <cell r="I249">
            <v>5</v>
          </cell>
          <cell r="J249">
            <v>5</v>
          </cell>
          <cell r="K249" t="str">
            <v>MAO1-1.I</v>
          </cell>
          <cell r="L249" t="str">
            <v>MANŒUVRE ORDINAIRE</v>
          </cell>
          <cell r="M249" t="str">
            <v>CATEGORIE 1 A 5</v>
          </cell>
          <cell r="N249" t="str">
            <v>MANŒUVRE ORDINAIRE (MO), Echellon 1, Classe 1</v>
          </cell>
          <cell r="P249">
            <v>45647</v>
          </cell>
          <cell r="Q249" t="e">
            <v>#N/A</v>
          </cell>
          <cell r="R249" t="e">
            <v>#N/A</v>
          </cell>
          <cell r="S249" t="e">
            <v>#N/A</v>
          </cell>
          <cell r="T249" t="e">
            <v>#N/A</v>
          </cell>
          <cell r="U249" t="e">
            <v>#N/A</v>
          </cell>
          <cell r="V249" t="e">
            <v>#N/A</v>
          </cell>
          <cell r="W249" t="e">
            <v>#N/A</v>
          </cell>
          <cell r="X249" t="e">
            <v>#N/A</v>
          </cell>
          <cell r="Y249" t="e">
            <v>#N/A</v>
          </cell>
          <cell r="Z249" t="e">
            <v>#N/A</v>
          </cell>
          <cell r="AA249" t="e">
            <v>#N/A</v>
          </cell>
          <cell r="AB249" t="e">
            <v>#N/A</v>
          </cell>
          <cell r="AC249" t="e">
            <v>#N/A</v>
          </cell>
          <cell r="AE249">
            <v>130</v>
          </cell>
          <cell r="AF249" t="e">
            <v>#N/A</v>
          </cell>
          <cell r="AG249" t="e">
            <v>#N/A</v>
          </cell>
          <cell r="AH249" t="e">
            <v>#N/A</v>
          </cell>
          <cell r="AI249" t="e">
            <v>#N/A</v>
          </cell>
          <cell r="AJ249" t="e">
            <v>#N/A</v>
          </cell>
          <cell r="AK249" t="e">
            <v>#N/A</v>
          </cell>
          <cell r="AL249" t="e">
            <v>#N/A</v>
          </cell>
          <cell r="AM249" t="e">
            <v>#N/A</v>
          </cell>
          <cell r="AN249">
            <v>0</v>
          </cell>
          <cell r="AR249" t="e">
            <v>#N/A</v>
          </cell>
          <cell r="AS249">
            <v>61</v>
          </cell>
          <cell r="AT249" t="e">
            <v>#N/A</v>
          </cell>
          <cell r="AU249">
            <v>39</v>
          </cell>
          <cell r="AY249" t="e">
            <v>#N/A</v>
          </cell>
          <cell r="BD249" t="e">
            <v>#N/A</v>
          </cell>
          <cell r="BE249" t="e">
            <v>#N/A</v>
          </cell>
          <cell r="BF249" t="e">
            <v>#N/A</v>
          </cell>
          <cell r="BL249">
            <v>0</v>
          </cell>
          <cell r="BM249" t="e">
            <v>#N/A</v>
          </cell>
          <cell r="BN249" t="e">
            <v>#N/A</v>
          </cell>
          <cell r="BO249" t="e">
            <v>#N/A</v>
          </cell>
          <cell r="BP249" t="e">
            <v>#N/A</v>
          </cell>
          <cell r="BQ249" t="e">
            <v>#N/A</v>
          </cell>
          <cell r="BR249">
            <v>0</v>
          </cell>
          <cell r="BT249">
            <v>0</v>
          </cell>
          <cell r="BU249" t="e">
            <v>#N/A</v>
          </cell>
          <cell r="BV249" t="e">
            <v>#N/A</v>
          </cell>
          <cell r="BW249" t="e">
            <v>#N/A</v>
          </cell>
          <cell r="BX249" t="e">
            <v>#N/A</v>
          </cell>
          <cell r="BY249" t="e">
            <v>#N/A</v>
          </cell>
          <cell r="BZ249" t="str">
            <v>CDD</v>
          </cell>
          <cell r="CC249" t="str">
            <v>BANQUE</v>
          </cell>
          <cell r="CD249" t="str">
            <v>212-La Riviera</v>
          </cell>
          <cell r="CE249">
            <v>212</v>
          </cell>
        </row>
        <row r="250">
          <cell r="B250" t="str">
            <v>07341</v>
          </cell>
          <cell r="C250" t="str">
            <v>KALAMBAY WA KALAMBAY JUNIOR</v>
          </cell>
          <cell r="D250" t="str">
            <v>La Riviera</v>
          </cell>
          <cell r="E250" t="str">
            <v>00011050399100110256116</v>
          </cell>
          <cell r="G250" t="str">
            <v>Waiter</v>
          </cell>
          <cell r="H250">
            <v>0</v>
          </cell>
          <cell r="I250">
            <v>5</v>
          </cell>
          <cell r="J250">
            <v>5</v>
          </cell>
          <cell r="K250" t="str">
            <v>MAO1-1.I</v>
          </cell>
          <cell r="L250" t="str">
            <v>MANŒUVRE ORDINAIRE</v>
          </cell>
          <cell r="M250" t="str">
            <v>CATEGORIE 1 A 5</v>
          </cell>
          <cell r="N250" t="str">
            <v>MANŒUVRE ORDINAIRE (MO), Echellon 1, Classe 1</v>
          </cell>
          <cell r="P250">
            <v>45647</v>
          </cell>
          <cell r="Q250" t="e">
            <v>#N/A</v>
          </cell>
          <cell r="R250" t="e">
            <v>#N/A</v>
          </cell>
          <cell r="S250" t="e">
            <v>#N/A</v>
          </cell>
          <cell r="T250" t="e">
            <v>#N/A</v>
          </cell>
          <cell r="U250" t="e">
            <v>#N/A</v>
          </cell>
          <cell r="V250" t="e">
            <v>#N/A</v>
          </cell>
          <cell r="W250" t="e">
            <v>#N/A</v>
          </cell>
          <cell r="X250" t="e">
            <v>#N/A</v>
          </cell>
          <cell r="Y250" t="e">
            <v>#N/A</v>
          </cell>
          <cell r="Z250" t="e">
            <v>#N/A</v>
          </cell>
          <cell r="AA250" t="e">
            <v>#N/A</v>
          </cell>
          <cell r="AB250" t="e">
            <v>#N/A</v>
          </cell>
          <cell r="AC250" t="e">
            <v>#N/A</v>
          </cell>
          <cell r="AE250">
            <v>130</v>
          </cell>
          <cell r="AF250" t="e">
            <v>#N/A</v>
          </cell>
          <cell r="AG250" t="e">
            <v>#N/A</v>
          </cell>
          <cell r="AH250" t="e">
            <v>#N/A</v>
          </cell>
          <cell r="AI250" t="e">
            <v>#N/A</v>
          </cell>
          <cell r="AJ250" t="e">
            <v>#N/A</v>
          </cell>
          <cell r="AK250" t="e">
            <v>#N/A</v>
          </cell>
          <cell r="AL250" t="e">
            <v>#N/A</v>
          </cell>
          <cell r="AM250" t="e">
            <v>#N/A</v>
          </cell>
          <cell r="AN250">
            <v>0</v>
          </cell>
          <cell r="AR250" t="e">
            <v>#N/A</v>
          </cell>
          <cell r="AS250">
            <v>61</v>
          </cell>
          <cell r="AT250" t="e">
            <v>#N/A</v>
          </cell>
          <cell r="AU250">
            <v>39</v>
          </cell>
          <cell r="AY250" t="e">
            <v>#N/A</v>
          </cell>
          <cell r="BD250" t="e">
            <v>#N/A</v>
          </cell>
          <cell r="BE250" t="e">
            <v>#N/A</v>
          </cell>
          <cell r="BF250" t="e">
            <v>#N/A</v>
          </cell>
          <cell r="BL250">
            <v>0</v>
          </cell>
          <cell r="BM250" t="e">
            <v>#N/A</v>
          </cell>
          <cell r="BN250" t="e">
            <v>#N/A</v>
          </cell>
          <cell r="BO250" t="e">
            <v>#N/A</v>
          </cell>
          <cell r="BP250" t="e">
            <v>#N/A</v>
          </cell>
          <cell r="BQ250" t="e">
            <v>#N/A</v>
          </cell>
          <cell r="BR250">
            <v>0</v>
          </cell>
          <cell r="BT250">
            <v>0</v>
          </cell>
          <cell r="BU250" t="e">
            <v>#N/A</v>
          </cell>
          <cell r="BV250" t="e">
            <v>#N/A</v>
          </cell>
          <cell r="BW250" t="e">
            <v>#N/A</v>
          </cell>
          <cell r="BX250" t="e">
            <v>#N/A</v>
          </cell>
          <cell r="BY250" t="e">
            <v>#N/A</v>
          </cell>
          <cell r="BZ250" t="str">
            <v>CDD</v>
          </cell>
          <cell r="CC250" t="str">
            <v>BANQUE</v>
          </cell>
          <cell r="CD250" t="str">
            <v>212-La Riviera</v>
          </cell>
          <cell r="CE250">
            <v>212</v>
          </cell>
        </row>
        <row r="251">
          <cell r="B251" t="str">
            <v>07342</v>
          </cell>
          <cell r="C251" t="str">
            <v>MBULI LOLA CHRISTENVIE</v>
          </cell>
          <cell r="D251" t="str">
            <v>La Riviera</v>
          </cell>
          <cell r="E251" t="str">
            <v>00011050055200176234766</v>
          </cell>
          <cell r="G251" t="str">
            <v>Waiter</v>
          </cell>
          <cell r="H251">
            <v>0</v>
          </cell>
          <cell r="I251">
            <v>5</v>
          </cell>
          <cell r="J251">
            <v>5</v>
          </cell>
          <cell r="K251" t="str">
            <v>MAO1-1.I</v>
          </cell>
          <cell r="L251" t="str">
            <v>MANŒUVRE ORDINAIRE</v>
          </cell>
          <cell r="M251" t="str">
            <v>CATEGORIE 1 A 5</v>
          </cell>
          <cell r="N251" t="str">
            <v>MANŒUVRE ORDINAIRE (MO), Echellon 1, Classe 1</v>
          </cell>
          <cell r="P251">
            <v>45647</v>
          </cell>
          <cell r="Q251" t="e">
            <v>#N/A</v>
          </cell>
          <cell r="R251" t="e">
            <v>#N/A</v>
          </cell>
          <cell r="S251" t="e">
            <v>#N/A</v>
          </cell>
          <cell r="T251" t="e">
            <v>#N/A</v>
          </cell>
          <cell r="U251" t="e">
            <v>#N/A</v>
          </cell>
          <cell r="V251" t="e">
            <v>#N/A</v>
          </cell>
          <cell r="W251" t="e">
            <v>#N/A</v>
          </cell>
          <cell r="X251" t="e">
            <v>#N/A</v>
          </cell>
          <cell r="Y251" t="e">
            <v>#N/A</v>
          </cell>
          <cell r="Z251" t="e">
            <v>#N/A</v>
          </cell>
          <cell r="AA251" t="e">
            <v>#N/A</v>
          </cell>
          <cell r="AB251" t="e">
            <v>#N/A</v>
          </cell>
          <cell r="AC251" t="e">
            <v>#N/A</v>
          </cell>
          <cell r="AE251">
            <v>130</v>
          </cell>
          <cell r="AF251" t="e">
            <v>#N/A</v>
          </cell>
          <cell r="AG251" t="e">
            <v>#N/A</v>
          </cell>
          <cell r="AH251" t="e">
            <v>#N/A</v>
          </cell>
          <cell r="AI251" t="e">
            <v>#N/A</v>
          </cell>
          <cell r="AJ251" t="e">
            <v>#N/A</v>
          </cell>
          <cell r="AK251" t="e">
            <v>#N/A</v>
          </cell>
          <cell r="AL251" t="e">
            <v>#N/A</v>
          </cell>
          <cell r="AM251" t="e">
            <v>#N/A</v>
          </cell>
          <cell r="AN251">
            <v>0</v>
          </cell>
          <cell r="AR251" t="e">
            <v>#N/A</v>
          </cell>
          <cell r="AS251">
            <v>61</v>
          </cell>
          <cell r="AT251" t="e">
            <v>#N/A</v>
          </cell>
          <cell r="AU251">
            <v>39</v>
          </cell>
          <cell r="AY251" t="e">
            <v>#N/A</v>
          </cell>
          <cell r="BD251" t="e">
            <v>#N/A</v>
          </cell>
          <cell r="BE251" t="e">
            <v>#N/A</v>
          </cell>
          <cell r="BF251" t="e">
            <v>#N/A</v>
          </cell>
          <cell r="BL251">
            <v>0</v>
          </cell>
          <cell r="BM251" t="e">
            <v>#N/A</v>
          </cell>
          <cell r="BN251" t="e">
            <v>#N/A</v>
          </cell>
          <cell r="BO251" t="e">
            <v>#N/A</v>
          </cell>
          <cell r="BP251" t="e">
            <v>#N/A</v>
          </cell>
          <cell r="BQ251" t="e">
            <v>#N/A</v>
          </cell>
          <cell r="BR251">
            <v>0</v>
          </cell>
          <cell r="BT251">
            <v>0</v>
          </cell>
          <cell r="BU251" t="e">
            <v>#N/A</v>
          </cell>
          <cell r="BV251" t="e">
            <v>#N/A</v>
          </cell>
          <cell r="BW251" t="e">
            <v>#N/A</v>
          </cell>
          <cell r="BX251" t="e">
            <v>#N/A</v>
          </cell>
          <cell r="BY251" t="e">
            <v>#N/A</v>
          </cell>
          <cell r="BZ251" t="str">
            <v>CDD</v>
          </cell>
          <cell r="CC251" t="str">
            <v>BANQUE</v>
          </cell>
          <cell r="CD251" t="str">
            <v>212-La Riviera</v>
          </cell>
          <cell r="CE251">
            <v>212</v>
          </cell>
        </row>
        <row r="252">
          <cell r="B252" t="str">
            <v>07343</v>
          </cell>
          <cell r="C252" t="str">
            <v>NKOSO BONKANGU JULES</v>
          </cell>
          <cell r="D252" t="str">
            <v>La Riviera</v>
          </cell>
          <cell r="E252" t="str">
            <v>00011050011200181057866</v>
          </cell>
          <cell r="G252" t="str">
            <v>Cashier</v>
          </cell>
          <cell r="H252">
            <v>5</v>
          </cell>
          <cell r="I252">
            <v>5.8</v>
          </cell>
          <cell r="J252">
            <v>5.7692307692307692</v>
          </cell>
          <cell r="K252" t="str">
            <v>MAL1-2.I</v>
          </cell>
          <cell r="L252" t="str">
            <v>MANOEUVRE LOURD</v>
          </cell>
          <cell r="M252" t="str">
            <v>CATEGORIE 1 A 5</v>
          </cell>
          <cell r="N252" t="str">
            <v>MANŒUVRE LOURD (ML), Echellon 2, Classe 2</v>
          </cell>
          <cell r="P252">
            <v>45658</v>
          </cell>
          <cell r="Q252" t="e">
            <v>#N/A</v>
          </cell>
          <cell r="R252" t="e">
            <v>#N/A</v>
          </cell>
          <cell r="S252" t="e">
            <v>#N/A</v>
          </cell>
          <cell r="T252" t="e">
            <v>#N/A</v>
          </cell>
          <cell r="U252" t="e">
            <v>#N/A</v>
          </cell>
          <cell r="V252" t="e">
            <v>#N/A</v>
          </cell>
          <cell r="W252" t="e">
            <v>#N/A</v>
          </cell>
          <cell r="X252" t="e">
            <v>#N/A</v>
          </cell>
          <cell r="Y252" t="e">
            <v>#N/A</v>
          </cell>
          <cell r="Z252" t="e">
            <v>#N/A</v>
          </cell>
          <cell r="AA252" t="e">
            <v>#N/A</v>
          </cell>
          <cell r="AB252" t="e">
            <v>#N/A</v>
          </cell>
          <cell r="AC252" t="e">
            <v>#N/A</v>
          </cell>
          <cell r="AE252">
            <v>150</v>
          </cell>
          <cell r="AF252" t="e">
            <v>#N/A</v>
          </cell>
          <cell r="AG252" t="e">
            <v>#N/A</v>
          </cell>
          <cell r="AH252" t="e">
            <v>#N/A</v>
          </cell>
          <cell r="AI252" t="e">
            <v>#N/A</v>
          </cell>
          <cell r="AJ252" t="e">
            <v>#N/A</v>
          </cell>
          <cell r="AK252" t="e">
            <v>#N/A</v>
          </cell>
          <cell r="AL252" t="e">
            <v>#N/A</v>
          </cell>
          <cell r="AM252" t="e">
            <v>#N/A</v>
          </cell>
          <cell r="AN252">
            <v>0</v>
          </cell>
          <cell r="AO252">
            <v>30</v>
          </cell>
          <cell r="AR252" t="e">
            <v>#N/A</v>
          </cell>
          <cell r="AS252">
            <v>60</v>
          </cell>
          <cell r="AT252" t="e">
            <v>#N/A</v>
          </cell>
          <cell r="AU252">
            <v>30</v>
          </cell>
          <cell r="AY252" t="e">
            <v>#N/A</v>
          </cell>
          <cell r="BD252" t="e">
            <v>#N/A</v>
          </cell>
          <cell r="BE252" t="e">
            <v>#N/A</v>
          </cell>
          <cell r="BF252" t="e">
            <v>#N/A</v>
          </cell>
          <cell r="BL252">
            <v>0</v>
          </cell>
          <cell r="BM252" t="e">
            <v>#N/A</v>
          </cell>
          <cell r="BN252" t="e">
            <v>#N/A</v>
          </cell>
          <cell r="BO252" t="e">
            <v>#N/A</v>
          </cell>
          <cell r="BP252" t="e">
            <v>#N/A</v>
          </cell>
          <cell r="BQ252" t="e">
            <v>#N/A</v>
          </cell>
          <cell r="BR252">
            <v>0</v>
          </cell>
          <cell r="BT252">
            <v>0</v>
          </cell>
          <cell r="BU252" t="e">
            <v>#N/A</v>
          </cell>
          <cell r="BV252" t="e">
            <v>#N/A</v>
          </cell>
          <cell r="BW252" t="e">
            <v>#N/A</v>
          </cell>
          <cell r="BX252" t="e">
            <v>#N/A</v>
          </cell>
          <cell r="BY252" t="e">
            <v>#N/A</v>
          </cell>
          <cell r="BZ252" t="str">
            <v>CDD</v>
          </cell>
          <cell r="CC252" t="str">
            <v>BANQUE</v>
          </cell>
          <cell r="CD252" t="str">
            <v>212-La Riviera</v>
          </cell>
          <cell r="CE252">
            <v>212</v>
          </cell>
        </row>
        <row r="253">
          <cell r="B253" t="str">
            <v>07344</v>
          </cell>
          <cell r="C253" t="str">
            <v>BADIABIOKO VITA ROCHETO</v>
          </cell>
          <cell r="D253" t="str">
            <v>Kitchen</v>
          </cell>
          <cell r="E253" t="str">
            <v>00011050377200182902839</v>
          </cell>
          <cell r="G253" t="str">
            <v>Commis de Boucherie</v>
          </cell>
          <cell r="H253">
            <v>0</v>
          </cell>
          <cell r="I253">
            <v>5</v>
          </cell>
          <cell r="J253">
            <v>5</v>
          </cell>
          <cell r="K253" t="str">
            <v>MAO1-1.I</v>
          </cell>
          <cell r="L253" t="str">
            <v>MANŒUVRE ORDINAIRE</v>
          </cell>
          <cell r="M253" t="str">
            <v>CATEGORIE 1 A 5</v>
          </cell>
          <cell r="N253" t="str">
            <v>MANŒUVRE ORDINAIRE (MO), Echellon 1, Classe 1</v>
          </cell>
          <cell r="P253">
            <v>45678</v>
          </cell>
          <cell r="Q253" t="e">
            <v>#N/A</v>
          </cell>
          <cell r="R253" t="e">
            <v>#N/A</v>
          </cell>
          <cell r="S253" t="e">
            <v>#N/A</v>
          </cell>
          <cell r="T253" t="e">
            <v>#N/A</v>
          </cell>
          <cell r="U253" t="e">
            <v>#N/A</v>
          </cell>
          <cell r="V253" t="e">
            <v>#N/A</v>
          </cell>
          <cell r="W253" t="e">
            <v>#N/A</v>
          </cell>
          <cell r="X253" t="e">
            <v>#N/A</v>
          </cell>
          <cell r="Y253" t="e">
            <v>#N/A</v>
          </cell>
          <cell r="Z253" t="e">
            <v>#N/A</v>
          </cell>
          <cell r="AA253" t="e">
            <v>#N/A</v>
          </cell>
          <cell r="AB253" t="e">
            <v>#N/A</v>
          </cell>
          <cell r="AC253" t="e">
            <v>#N/A</v>
          </cell>
          <cell r="AE253">
            <v>130</v>
          </cell>
          <cell r="AF253" t="e">
            <v>#N/A</v>
          </cell>
          <cell r="AG253" t="e">
            <v>#N/A</v>
          </cell>
          <cell r="AH253" t="e">
            <v>#N/A</v>
          </cell>
          <cell r="AI253" t="e">
            <v>#N/A</v>
          </cell>
          <cell r="AJ253" t="e">
            <v>#N/A</v>
          </cell>
          <cell r="AK253" t="e">
            <v>#N/A</v>
          </cell>
          <cell r="AL253" t="e">
            <v>#N/A</v>
          </cell>
          <cell r="AM253" t="e">
            <v>#N/A</v>
          </cell>
          <cell r="AN253">
            <v>0</v>
          </cell>
          <cell r="AR253" t="e">
            <v>#N/A</v>
          </cell>
          <cell r="AS253">
            <v>61</v>
          </cell>
          <cell r="AT253" t="e">
            <v>#N/A</v>
          </cell>
          <cell r="AU253">
            <v>39</v>
          </cell>
          <cell r="AY253" t="e">
            <v>#N/A</v>
          </cell>
          <cell r="BD253" t="e">
            <v>#N/A</v>
          </cell>
          <cell r="BE253" t="e">
            <v>#N/A</v>
          </cell>
          <cell r="BF253" t="e">
            <v>#N/A</v>
          </cell>
          <cell r="BL253">
            <v>0</v>
          </cell>
          <cell r="BM253" t="e">
            <v>#N/A</v>
          </cell>
          <cell r="BN253" t="e">
            <v>#N/A</v>
          </cell>
          <cell r="BO253" t="e">
            <v>#N/A</v>
          </cell>
          <cell r="BP253" t="e">
            <v>#N/A</v>
          </cell>
          <cell r="BQ253" t="e">
            <v>#N/A</v>
          </cell>
          <cell r="BR253">
            <v>0</v>
          </cell>
          <cell r="BT253">
            <v>0</v>
          </cell>
          <cell r="BU253" t="e">
            <v>#N/A</v>
          </cell>
          <cell r="BV253" t="e">
            <v>#N/A</v>
          </cell>
          <cell r="BW253" t="e">
            <v>#N/A</v>
          </cell>
          <cell r="BX253" t="e">
            <v>#N/A</v>
          </cell>
          <cell r="BY253" t="e">
            <v>#N/A</v>
          </cell>
          <cell r="BZ253" t="str">
            <v>CDD</v>
          </cell>
          <cell r="CC253" t="str">
            <v>BANQUE</v>
          </cell>
          <cell r="CD253" t="str">
            <v>281-Kitchen</v>
          </cell>
          <cell r="CE253">
            <v>281</v>
          </cell>
        </row>
        <row r="254">
          <cell r="B254" t="str">
            <v>07345</v>
          </cell>
          <cell r="C254" t="str">
            <v>IPAN MALU SEDIANCE</v>
          </cell>
          <cell r="D254" t="str">
            <v>Kitchen</v>
          </cell>
          <cell r="E254" t="str">
            <v>00011050311200182497478</v>
          </cell>
          <cell r="G254" t="str">
            <v>Commis de Patissier</v>
          </cell>
          <cell r="H254">
            <v>0</v>
          </cell>
          <cell r="I254">
            <v>5</v>
          </cell>
          <cell r="J254">
            <v>5</v>
          </cell>
          <cell r="K254" t="str">
            <v>MAO1-1.I</v>
          </cell>
          <cell r="L254" t="str">
            <v>MANŒUVRE ORDINAIRE</v>
          </cell>
          <cell r="M254" t="str">
            <v>CATEGORIE 1 A 5</v>
          </cell>
          <cell r="N254" t="str">
            <v>MANŒUVRE ORDINAIRE (MO), Echellon 1, Classe 1</v>
          </cell>
          <cell r="P254">
            <v>45678</v>
          </cell>
          <cell r="Q254" t="e">
            <v>#N/A</v>
          </cell>
          <cell r="R254" t="e">
            <v>#N/A</v>
          </cell>
          <cell r="S254" t="e">
            <v>#N/A</v>
          </cell>
          <cell r="T254" t="e">
            <v>#N/A</v>
          </cell>
          <cell r="U254" t="e">
            <v>#N/A</v>
          </cell>
          <cell r="V254" t="e">
            <v>#N/A</v>
          </cell>
          <cell r="W254" t="e">
            <v>#N/A</v>
          </cell>
          <cell r="X254" t="e">
            <v>#N/A</v>
          </cell>
          <cell r="Y254" t="e">
            <v>#N/A</v>
          </cell>
          <cell r="Z254" t="e">
            <v>#N/A</v>
          </cell>
          <cell r="AA254" t="e">
            <v>#N/A</v>
          </cell>
          <cell r="AB254" t="e">
            <v>#N/A</v>
          </cell>
          <cell r="AC254" t="e">
            <v>#N/A</v>
          </cell>
          <cell r="AE254">
            <v>130</v>
          </cell>
          <cell r="AF254" t="e">
            <v>#N/A</v>
          </cell>
          <cell r="AG254" t="e">
            <v>#N/A</v>
          </cell>
          <cell r="AH254" t="e">
            <v>#N/A</v>
          </cell>
          <cell r="AI254" t="e">
            <v>#N/A</v>
          </cell>
          <cell r="AJ254" t="e">
            <v>#N/A</v>
          </cell>
          <cell r="AK254" t="e">
            <v>#N/A</v>
          </cell>
          <cell r="AL254" t="e">
            <v>#N/A</v>
          </cell>
          <cell r="AM254" t="e">
            <v>#N/A</v>
          </cell>
          <cell r="AN254">
            <v>0</v>
          </cell>
          <cell r="AR254" t="e">
            <v>#N/A</v>
          </cell>
          <cell r="AS254">
            <v>61</v>
          </cell>
          <cell r="AT254" t="e">
            <v>#N/A</v>
          </cell>
          <cell r="AU254">
            <v>39</v>
          </cell>
          <cell r="AY254" t="e">
            <v>#N/A</v>
          </cell>
          <cell r="BD254" t="e">
            <v>#N/A</v>
          </cell>
          <cell r="BE254" t="e">
            <v>#N/A</v>
          </cell>
          <cell r="BF254" t="e">
            <v>#N/A</v>
          </cell>
          <cell r="BL254">
            <v>0</v>
          </cell>
          <cell r="BM254" t="e">
            <v>#N/A</v>
          </cell>
          <cell r="BN254" t="e">
            <v>#N/A</v>
          </cell>
          <cell r="BO254" t="e">
            <v>#N/A</v>
          </cell>
          <cell r="BP254" t="e">
            <v>#N/A</v>
          </cell>
          <cell r="BQ254" t="e">
            <v>#N/A</v>
          </cell>
          <cell r="BR254">
            <v>0</v>
          </cell>
          <cell r="BT254">
            <v>0</v>
          </cell>
          <cell r="BU254" t="e">
            <v>#N/A</v>
          </cell>
          <cell r="BV254" t="e">
            <v>#N/A</v>
          </cell>
          <cell r="BW254" t="e">
            <v>#N/A</v>
          </cell>
          <cell r="BX254" t="e">
            <v>#N/A</v>
          </cell>
          <cell r="BY254" t="e">
            <v>#N/A</v>
          </cell>
          <cell r="BZ254" t="str">
            <v>CDD</v>
          </cell>
          <cell r="CC254" t="str">
            <v>BANQUE</v>
          </cell>
          <cell r="CD254" t="str">
            <v>281-Kitchen</v>
          </cell>
          <cell r="CE254">
            <v>281</v>
          </cell>
        </row>
        <row r="258">
          <cell r="B258" t="str">
            <v>00</v>
          </cell>
          <cell r="C258" t="str">
            <v>MINLA JENNIFER MADO</v>
          </cell>
          <cell r="D258" t="str">
            <v>Front Office</v>
          </cell>
          <cell r="AM258">
            <v>0</v>
          </cell>
          <cell r="BR258">
            <v>-0.38784232365145227</v>
          </cell>
          <cell r="BT258">
            <v>-0.38784232365145227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CD258" t="str">
            <v>120-Front Office</v>
          </cell>
          <cell r="CE258">
            <v>120</v>
          </cell>
        </row>
        <row r="259">
          <cell r="B259" t="str">
            <v>0</v>
          </cell>
          <cell r="C259" t="str">
            <v>DIANA HYPPOLITE</v>
          </cell>
          <cell r="D259" t="str">
            <v>Property Operation and Maintenance</v>
          </cell>
          <cell r="A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-0.38784232365145227</v>
          </cell>
          <cell r="BT259">
            <v>-0.38784232365145227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CD259" t="str">
            <v>810-Property Operation and Maintenance</v>
          </cell>
          <cell r="CE259">
            <v>810</v>
          </cell>
        </row>
        <row r="260">
          <cell r="O260">
            <v>0</v>
          </cell>
          <cell r="Q260" t="e">
            <v>#N/A</v>
          </cell>
          <cell r="R260" t="e">
            <v>#N/A</v>
          </cell>
          <cell r="S260" t="e">
            <v>#N/A</v>
          </cell>
          <cell r="T260" t="e">
            <v>#N/A</v>
          </cell>
          <cell r="U260" t="e">
            <v>#N/A</v>
          </cell>
          <cell r="V260" t="e">
            <v>#N/A</v>
          </cell>
          <cell r="W260" t="e">
            <v>#N/A</v>
          </cell>
          <cell r="X260" t="e">
            <v>#N/A</v>
          </cell>
          <cell r="Y260" t="e">
            <v>#N/A</v>
          </cell>
          <cell r="Z260" t="e">
            <v>#N/A</v>
          </cell>
          <cell r="AA260" t="e">
            <v>#N/A</v>
          </cell>
          <cell r="AB260" t="e">
            <v>#N/A</v>
          </cell>
          <cell r="AC260" t="e">
            <v>#N/A</v>
          </cell>
          <cell r="AD260">
            <v>0</v>
          </cell>
          <cell r="AE260">
            <v>66807.409999999945</v>
          </cell>
          <cell r="AF260" t="e">
            <v>#N/A</v>
          </cell>
          <cell r="AG260" t="e">
            <v>#N/A</v>
          </cell>
          <cell r="AH260" t="e">
            <v>#N/A</v>
          </cell>
          <cell r="AI260" t="e">
            <v>#N/A</v>
          </cell>
          <cell r="AJ260" t="e">
            <v>#N/A</v>
          </cell>
          <cell r="AK260" t="e">
            <v>#N/A</v>
          </cell>
          <cell r="AL260" t="e">
            <v>#N/A</v>
          </cell>
          <cell r="AM260" t="e">
            <v>#N/A</v>
          </cell>
          <cell r="AN260">
            <v>0</v>
          </cell>
          <cell r="AO260">
            <v>1040</v>
          </cell>
          <cell r="AP260">
            <v>0</v>
          </cell>
          <cell r="AQ260">
            <v>0</v>
          </cell>
          <cell r="AR260" t="e">
            <v>#N/A</v>
          </cell>
          <cell r="AS260">
            <v>16503.029999999995</v>
          </cell>
          <cell r="AT260" t="e">
            <v>#N/A</v>
          </cell>
          <cell r="AU260">
            <v>13729.869999999986</v>
          </cell>
          <cell r="AV260">
            <v>395</v>
          </cell>
          <cell r="AW260">
            <v>0</v>
          </cell>
          <cell r="AX260">
            <v>260</v>
          </cell>
          <cell r="AY260" t="e">
            <v>#N/A</v>
          </cell>
          <cell r="AZ260">
            <v>2601.12</v>
          </cell>
          <cell r="BA260">
            <v>752.90000000000168</v>
          </cell>
          <cell r="BB260" t="e">
            <v>#N/A</v>
          </cell>
          <cell r="BC260">
            <v>800</v>
          </cell>
          <cell r="BD260" t="e">
            <v>#N/A</v>
          </cell>
          <cell r="BE260" t="e">
            <v>#N/A</v>
          </cell>
          <cell r="BF260" t="e">
            <v>#N/A</v>
          </cell>
          <cell r="BG260">
            <v>364.89</v>
          </cell>
          <cell r="BH260">
            <v>0</v>
          </cell>
          <cell r="BI260">
            <v>366.5</v>
          </cell>
          <cell r="BJ260">
            <v>0</v>
          </cell>
          <cell r="BK260">
            <v>0</v>
          </cell>
          <cell r="BL260">
            <v>731.39</v>
          </cell>
          <cell r="BM260" t="e">
            <v>#N/A</v>
          </cell>
          <cell r="BN260" t="e">
            <v>#N/A</v>
          </cell>
          <cell r="BO260" t="e">
            <v>#N/A</v>
          </cell>
          <cell r="BP260" t="e">
            <v>#N/A</v>
          </cell>
          <cell r="BQ260" t="e">
            <v>#N/A</v>
          </cell>
          <cell r="BR260">
            <v>1.5513692946057054</v>
          </cell>
          <cell r="BS260">
            <v>0</v>
          </cell>
          <cell r="BT260">
            <v>1.5513692946057054</v>
          </cell>
          <cell r="BU260" t="e">
            <v>#N/A</v>
          </cell>
          <cell r="BV260" t="e">
            <v>#N/A</v>
          </cell>
          <cell r="BW260" t="e">
            <v>#N/A</v>
          </cell>
          <cell r="BX260" t="e">
            <v>#N/A</v>
          </cell>
          <cell r="BY260" t="e">
            <v>#N/A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94202</v>
          </cell>
        </row>
        <row r="261">
          <cell r="R261" t="e">
            <v>#N/A</v>
          </cell>
          <cell r="T261" t="e">
            <v>#N/A</v>
          </cell>
          <cell r="V261" t="e">
            <v>#N/A</v>
          </cell>
          <cell r="W261" t="e">
            <v>#N/A</v>
          </cell>
          <cell r="X261" t="e">
            <v>#N/A</v>
          </cell>
          <cell r="Y261" t="e">
            <v>#N/A</v>
          </cell>
          <cell r="Z261" t="e">
            <v>#N/A</v>
          </cell>
          <cell r="AA261" t="e">
            <v>#N/A</v>
          </cell>
          <cell r="AB261" t="e">
            <v>#N/A</v>
          </cell>
          <cell r="AC261" t="e">
            <v>#N/A</v>
          </cell>
        </row>
        <row r="262">
          <cell r="S262" t="e">
            <v>#N/A</v>
          </cell>
          <cell r="T262" t="e">
            <v>#N/A</v>
          </cell>
          <cell r="U262" t="e">
            <v>#N/A</v>
          </cell>
          <cell r="V262" t="e">
            <v>#N/A</v>
          </cell>
          <cell r="W262" t="e">
            <v>#N/A</v>
          </cell>
          <cell r="X262" t="e">
            <v>#N/A</v>
          </cell>
          <cell r="Y262" t="e">
            <v>#N/A</v>
          </cell>
          <cell r="Z262" t="e">
            <v>#N/A</v>
          </cell>
          <cell r="AA262" t="e">
            <v>#N/A</v>
          </cell>
          <cell r="AB262" t="e">
            <v>#N/A</v>
          </cell>
          <cell r="AC262" t="e">
            <v>#N/A</v>
          </cell>
          <cell r="AD262">
            <v>0</v>
          </cell>
        </row>
        <row r="263">
          <cell r="S263" t="e">
            <v>#N/A</v>
          </cell>
          <cell r="T263" t="e">
            <v>#N/A</v>
          </cell>
          <cell r="U263" t="e">
            <v>#N/A</v>
          </cell>
          <cell r="V263" t="e">
            <v>#N/A</v>
          </cell>
          <cell r="W263" t="e">
            <v>#N/A</v>
          </cell>
          <cell r="X263" t="e">
            <v>#N/A</v>
          </cell>
          <cell r="Y263" t="e">
            <v>#N/A</v>
          </cell>
          <cell r="Z263" t="e">
            <v>#N/A</v>
          </cell>
          <cell r="AA263" t="e">
            <v>#N/A</v>
          </cell>
          <cell r="AB263" t="e">
            <v>#N/A</v>
          </cell>
          <cell r="AC263" t="e">
            <v>#N/A</v>
          </cell>
          <cell r="AD263">
            <v>0</v>
          </cell>
        </row>
        <row r="264">
          <cell r="AE264">
            <v>119605306.12299989</v>
          </cell>
          <cell r="AF264" t="e">
            <v>#N/A</v>
          </cell>
          <cell r="AG264" t="e">
            <v>#N/A</v>
          </cell>
          <cell r="AH264" t="e">
            <v>#N/A</v>
          </cell>
          <cell r="AI264" t="e">
            <v>#N/A</v>
          </cell>
          <cell r="AJ264" t="e">
            <v>#N/A</v>
          </cell>
          <cell r="AK264" t="e">
            <v>#N/A</v>
          </cell>
          <cell r="AL264" t="e">
            <v>#N/A</v>
          </cell>
          <cell r="AM264" t="e">
            <v>#N/A</v>
          </cell>
          <cell r="AN264">
            <v>0</v>
          </cell>
          <cell r="AO264">
            <v>1861912</v>
          </cell>
          <cell r="AP264">
            <v>0</v>
          </cell>
          <cell r="AQ264">
            <v>0</v>
          </cell>
          <cell r="AR264" t="e">
            <v>#N/A</v>
          </cell>
          <cell r="BE264" t="e">
            <v>#N/A</v>
          </cell>
          <cell r="BF264" t="e">
            <v>#N/A</v>
          </cell>
          <cell r="BG264">
            <v>653262.56699999992</v>
          </cell>
          <cell r="BH264">
            <v>0</v>
          </cell>
          <cell r="BI264">
            <v>656144.94999999995</v>
          </cell>
          <cell r="BR264">
            <v>1.5513692946058697</v>
          </cell>
        </row>
        <row r="265">
          <cell r="AG265" t="e">
            <v>#N/A</v>
          </cell>
          <cell r="AN265" t="e">
            <v>#N/A</v>
          </cell>
        </row>
        <row r="267">
          <cell r="AF267">
            <v>1790.3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AVRIL 25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15C5-C8C0-4270-91B7-5023EB482F3B}">
  <sheetPr>
    <tabColor rgb="FFFFFF00"/>
    <pageSetUpPr fitToPage="1"/>
  </sheetPr>
  <dimension ref="A1:CP286"/>
  <sheetViews>
    <sheetView topLeftCell="BH1" zoomScale="73" zoomScaleNormal="73" zoomScaleSheetLayoutView="78" workbookViewId="0">
      <pane ySplit="7" topLeftCell="A262" activePane="bottomLeft" state="frozen"/>
      <selection activeCell="BR291" sqref="BR291"/>
      <selection pane="bottomLeft" activeCell="BP283" sqref="BP283"/>
    </sheetView>
  </sheetViews>
  <sheetFormatPr defaultColWidth="9.140625" defaultRowHeight="20.25" customHeight="1" outlineLevelCol="1"/>
  <cols>
    <col min="1" max="1" width="15.42578125" style="1" customWidth="1"/>
    <col min="2" max="2" width="46" style="1" customWidth="1"/>
    <col min="3" max="3" width="39.28515625" style="1" customWidth="1"/>
    <col min="4" max="4" width="15.42578125" style="1" customWidth="1"/>
    <col min="5" max="5" width="15.42578125" style="3" customWidth="1" outlineLevel="1" collapsed="1"/>
    <col min="6" max="6" width="15.42578125" style="3" customWidth="1" outlineLevel="1"/>
    <col min="7" max="7" width="15.42578125" style="4" customWidth="1" outlineLevel="1"/>
    <col min="8" max="8" width="15.42578125" style="4" customWidth="1" outlineLevel="1" collapsed="1"/>
    <col min="9" max="11" width="15.42578125" style="4" customWidth="1" outlineLevel="1"/>
    <col min="12" max="12" width="15.42578125" style="3" customWidth="1" outlineLevel="1"/>
    <col min="13" max="15" width="15.42578125" style="4" customWidth="1" outlineLevel="1"/>
    <col min="16" max="16" width="15.42578125" style="5" customWidth="1" outlineLevel="1"/>
    <col min="17" max="31" width="15.42578125" style="1" customWidth="1" outlineLevel="1"/>
    <col min="32" max="32" width="15.42578125" style="1" customWidth="1"/>
    <col min="33" max="33" width="14" style="1" customWidth="1"/>
    <col min="34" max="34" width="16.140625" style="1" customWidth="1" outlineLevel="1"/>
    <col min="35" max="35" width="16.140625" style="7" customWidth="1" outlineLevel="1"/>
    <col min="36" max="42" width="16.140625" style="1" customWidth="1" outlineLevel="1"/>
    <col min="43" max="43" width="16.140625" style="2" customWidth="1" outlineLevel="1"/>
    <col min="44" max="44" width="16.140625" style="7" customWidth="1" outlineLevel="1"/>
    <col min="45" max="45" width="12.85546875" style="5" customWidth="1"/>
    <col min="46" max="46" width="12.42578125" style="165" customWidth="1" outlineLevel="1"/>
    <col min="47" max="47" width="16.28515625" style="1" customWidth="1"/>
    <col min="48" max="48" width="15.7109375" style="1" customWidth="1"/>
    <col min="49" max="49" width="15.140625" style="1" customWidth="1"/>
    <col min="50" max="59" width="15.140625" style="1" customWidth="1" outlineLevel="1"/>
    <col min="60" max="60" width="18.28515625" style="1" customWidth="1" outlineLevel="1"/>
    <col min="61" max="61" width="15.7109375" style="1" customWidth="1"/>
    <col min="62" max="62" width="16.5703125" style="1" customWidth="1"/>
    <col min="63" max="65" width="17" style="1" customWidth="1"/>
    <col min="66" max="66" width="16.28515625" style="1" customWidth="1" outlineLevel="1"/>
    <col min="67" max="67" width="17.42578125" style="1" customWidth="1" outlineLevel="1"/>
    <col min="68" max="70" width="16.28515625" style="1" customWidth="1" outlineLevel="1"/>
    <col min="71" max="71" width="17.28515625" style="1" customWidth="1" outlineLevel="1"/>
    <col min="72" max="72" width="15.85546875" style="2" customWidth="1" outlineLevel="1"/>
    <col min="73" max="73" width="17.28515625" style="1" customWidth="1" outlineLevel="1"/>
    <col min="74" max="74" width="14.140625" style="5" customWidth="1"/>
    <col min="75" max="75" width="11.28515625" style="1" customWidth="1"/>
    <col min="76" max="76" width="14.5703125" style="1" customWidth="1"/>
    <col min="77" max="78" width="15.140625" style="1" customWidth="1"/>
    <col min="79" max="79" width="15.28515625" style="1" customWidth="1"/>
    <col min="80" max="80" width="13.140625" style="1" customWidth="1"/>
    <col min="81" max="82" width="15.28515625" style="1" customWidth="1"/>
    <col min="83" max="83" width="12.85546875" style="1" customWidth="1"/>
    <col min="84" max="84" width="14.5703125" style="1" customWidth="1"/>
    <col min="85" max="87" width="15.140625" style="1" customWidth="1"/>
    <col min="88" max="88" width="15.28515625" style="1" customWidth="1"/>
    <col min="89" max="89" width="13.28515625" style="17" customWidth="1"/>
    <col min="90" max="90" width="19" style="9" customWidth="1"/>
    <col min="91" max="91" width="21.5703125" style="10" customWidth="1"/>
    <col min="92" max="92" width="21.7109375" style="1" customWidth="1"/>
    <col min="93" max="93" width="15" style="11" customWidth="1"/>
    <col min="94" max="94" width="9.85546875" style="1" bestFit="1" customWidth="1"/>
    <col min="95" max="16384" width="9.140625" style="1"/>
  </cols>
  <sheetData>
    <row r="1" spans="1:94" ht="20.25" customHeight="1">
      <c r="B1" s="2" t="s">
        <v>0</v>
      </c>
      <c r="N1" s="3"/>
      <c r="P1" s="4"/>
      <c r="Q1" s="5"/>
      <c r="R1" s="6"/>
      <c r="S1" s="6"/>
      <c r="AG1" s="1">
        <v>9</v>
      </c>
      <c r="AH1" s="1">
        <f t="shared" ref="AH1:AS1" si="0">+AG1+1</f>
        <v>10</v>
      </c>
      <c r="AI1" s="7">
        <f t="shared" si="0"/>
        <v>11</v>
      </c>
      <c r="AJ1" s="1">
        <f t="shared" si="0"/>
        <v>12</v>
      </c>
      <c r="AK1" s="1">
        <f t="shared" si="0"/>
        <v>13</v>
      </c>
      <c r="AL1" s="1">
        <f t="shared" si="0"/>
        <v>14</v>
      </c>
      <c r="AM1" s="1">
        <f t="shared" si="0"/>
        <v>15</v>
      </c>
      <c r="AN1" s="1">
        <f t="shared" si="0"/>
        <v>16</v>
      </c>
      <c r="AO1" s="1">
        <f t="shared" si="0"/>
        <v>17</v>
      </c>
      <c r="AP1" s="1">
        <f t="shared" si="0"/>
        <v>18</v>
      </c>
      <c r="AQ1" s="1">
        <f t="shared" si="0"/>
        <v>19</v>
      </c>
      <c r="AR1" s="7">
        <f t="shared" si="0"/>
        <v>20</v>
      </c>
      <c r="AS1" s="1">
        <f t="shared" si="0"/>
        <v>21</v>
      </c>
      <c r="AT1" s="7"/>
      <c r="AU1" s="5"/>
      <c r="AV1" s="5"/>
      <c r="BT1" s="1"/>
      <c r="BV1" s="2"/>
      <c r="CJ1" s="5"/>
      <c r="CK1" s="8"/>
    </row>
    <row r="2" spans="1:94" ht="20.25" customHeight="1">
      <c r="B2" s="12" t="s">
        <v>1</v>
      </c>
      <c r="K2" s="13"/>
      <c r="M2" s="13"/>
      <c r="N2" s="3"/>
      <c r="P2" s="4"/>
      <c r="Q2" s="5"/>
      <c r="R2" s="6"/>
      <c r="S2" s="6"/>
      <c r="AG2" s="14"/>
      <c r="AH2" s="14"/>
      <c r="AI2" s="15"/>
      <c r="AJ2" s="14"/>
      <c r="AK2" s="14"/>
      <c r="AL2" s="14"/>
      <c r="AM2" s="14"/>
      <c r="AN2" s="14"/>
      <c r="AO2" s="14"/>
      <c r="AP2" s="14"/>
      <c r="AQ2" s="14"/>
      <c r="AR2" s="15"/>
      <c r="AS2" s="2"/>
      <c r="AT2" s="7"/>
      <c r="AU2" s="5"/>
      <c r="AV2" s="5"/>
      <c r="BT2" s="1"/>
      <c r="BV2" s="2"/>
      <c r="CJ2" s="5"/>
      <c r="CK2" s="8"/>
    </row>
    <row r="3" spans="1:94" ht="20.25" customHeight="1">
      <c r="A3" s="13">
        <v>1</v>
      </c>
      <c r="B3" s="13">
        <f>+A3+1</f>
        <v>2</v>
      </c>
      <c r="C3" s="13">
        <f t="shared" ref="C3:AD3" si="1">+B3+1</f>
        <v>3</v>
      </c>
      <c r="D3" s="13">
        <v>4</v>
      </c>
      <c r="E3" s="13">
        <f t="shared" si="1"/>
        <v>5</v>
      </c>
      <c r="F3" s="13"/>
      <c r="G3" s="13">
        <f>+E3+1</f>
        <v>6</v>
      </c>
      <c r="H3" s="13">
        <f t="shared" si="1"/>
        <v>7</v>
      </c>
      <c r="I3" s="13">
        <f t="shared" si="1"/>
        <v>8</v>
      </c>
      <c r="J3" s="13">
        <f t="shared" si="1"/>
        <v>9</v>
      </c>
      <c r="K3" s="13">
        <f t="shared" si="1"/>
        <v>10</v>
      </c>
      <c r="L3" s="13">
        <f t="shared" si="1"/>
        <v>11</v>
      </c>
      <c r="M3" s="13">
        <f t="shared" si="1"/>
        <v>12</v>
      </c>
      <c r="N3" s="13">
        <f t="shared" si="1"/>
        <v>13</v>
      </c>
      <c r="O3" s="13">
        <f t="shared" si="1"/>
        <v>14</v>
      </c>
      <c r="P3" s="13">
        <f t="shared" si="1"/>
        <v>15</v>
      </c>
      <c r="Q3" s="13">
        <f t="shared" si="1"/>
        <v>16</v>
      </c>
      <c r="R3" s="13">
        <f t="shared" si="1"/>
        <v>17</v>
      </c>
      <c r="S3" s="13">
        <f t="shared" si="1"/>
        <v>18</v>
      </c>
      <c r="T3" s="13">
        <f t="shared" si="1"/>
        <v>19</v>
      </c>
      <c r="U3" s="13">
        <f t="shared" si="1"/>
        <v>20</v>
      </c>
      <c r="V3" s="13">
        <f t="shared" si="1"/>
        <v>21</v>
      </c>
      <c r="W3" s="13">
        <f t="shared" si="1"/>
        <v>22</v>
      </c>
      <c r="X3" s="13">
        <f t="shared" si="1"/>
        <v>23</v>
      </c>
      <c r="Y3" s="13">
        <f t="shared" si="1"/>
        <v>24</v>
      </c>
      <c r="Z3" s="13">
        <f t="shared" si="1"/>
        <v>25</v>
      </c>
      <c r="AA3" s="13">
        <f t="shared" si="1"/>
        <v>26</v>
      </c>
      <c r="AB3" s="13">
        <f t="shared" si="1"/>
        <v>27</v>
      </c>
      <c r="AC3" s="13">
        <f t="shared" si="1"/>
        <v>28</v>
      </c>
      <c r="AD3" s="13">
        <f t="shared" si="1"/>
        <v>29</v>
      </c>
      <c r="AF3" s="13">
        <f>+AD3+1</f>
        <v>30</v>
      </c>
      <c r="AG3" s="13">
        <f t="shared" ref="AG3:CJ3" si="2">+AF3+1</f>
        <v>31</v>
      </c>
      <c r="AH3" s="13">
        <f t="shared" si="2"/>
        <v>32</v>
      </c>
      <c r="AI3" s="16">
        <f t="shared" si="2"/>
        <v>33</v>
      </c>
      <c r="AJ3" s="13">
        <f t="shared" si="2"/>
        <v>34</v>
      </c>
      <c r="AK3" s="13">
        <f t="shared" si="2"/>
        <v>35</v>
      </c>
      <c r="AL3" s="13">
        <f t="shared" si="2"/>
        <v>36</v>
      </c>
      <c r="AM3" s="13">
        <f t="shared" si="2"/>
        <v>37</v>
      </c>
      <c r="AN3" s="13">
        <f t="shared" si="2"/>
        <v>38</v>
      </c>
      <c r="AO3" s="13">
        <f t="shared" si="2"/>
        <v>39</v>
      </c>
      <c r="AP3" s="13">
        <f t="shared" si="2"/>
        <v>40</v>
      </c>
      <c r="AQ3" s="13">
        <f t="shared" si="2"/>
        <v>41</v>
      </c>
      <c r="AR3" s="16">
        <f t="shared" si="2"/>
        <v>42</v>
      </c>
      <c r="AS3" s="13">
        <f t="shared" si="2"/>
        <v>43</v>
      </c>
      <c r="AT3" s="16">
        <f t="shared" si="2"/>
        <v>44</v>
      </c>
      <c r="AU3" s="13">
        <f t="shared" si="2"/>
        <v>45</v>
      </c>
      <c r="AV3" s="13">
        <f t="shared" si="2"/>
        <v>46</v>
      </c>
      <c r="AW3" s="13">
        <f t="shared" si="2"/>
        <v>47</v>
      </c>
      <c r="AX3" s="13">
        <f t="shared" si="2"/>
        <v>48</v>
      </c>
      <c r="AY3" s="13">
        <f t="shared" si="2"/>
        <v>49</v>
      </c>
      <c r="AZ3" s="13">
        <f t="shared" si="2"/>
        <v>50</v>
      </c>
      <c r="BA3" s="13">
        <f t="shared" si="2"/>
        <v>51</v>
      </c>
      <c r="BB3" s="13">
        <f t="shared" si="2"/>
        <v>52</v>
      </c>
      <c r="BC3" s="13">
        <f t="shared" si="2"/>
        <v>53</v>
      </c>
      <c r="BD3" s="13">
        <f t="shared" si="2"/>
        <v>54</v>
      </c>
      <c r="BE3" s="13">
        <f t="shared" si="2"/>
        <v>55</v>
      </c>
      <c r="BF3" s="13">
        <f t="shared" si="2"/>
        <v>56</v>
      </c>
      <c r="BG3" s="13">
        <f t="shared" si="2"/>
        <v>57</v>
      </c>
      <c r="BH3" s="13">
        <f t="shared" si="2"/>
        <v>58</v>
      </c>
      <c r="BI3" s="13">
        <f t="shared" si="2"/>
        <v>59</v>
      </c>
      <c r="BJ3" s="13">
        <f t="shared" si="2"/>
        <v>60</v>
      </c>
      <c r="BK3" s="13">
        <f t="shared" si="2"/>
        <v>61</v>
      </c>
      <c r="BL3" s="13">
        <f t="shared" si="2"/>
        <v>62</v>
      </c>
      <c r="BM3" s="13">
        <f t="shared" si="2"/>
        <v>63</v>
      </c>
      <c r="BN3" s="13">
        <f t="shared" si="2"/>
        <v>64</v>
      </c>
      <c r="BO3" s="13">
        <f t="shared" si="2"/>
        <v>65</v>
      </c>
      <c r="BP3" s="13">
        <f t="shared" si="2"/>
        <v>66</v>
      </c>
      <c r="BQ3" s="13">
        <f t="shared" si="2"/>
        <v>67</v>
      </c>
      <c r="BR3" s="13">
        <f t="shared" si="2"/>
        <v>68</v>
      </c>
      <c r="BS3" s="13">
        <f t="shared" si="2"/>
        <v>69</v>
      </c>
      <c r="BT3" s="13">
        <f t="shared" si="2"/>
        <v>70</v>
      </c>
      <c r="BU3" s="13">
        <f t="shared" si="2"/>
        <v>71</v>
      </c>
      <c r="BV3" s="13">
        <f t="shared" si="2"/>
        <v>72</v>
      </c>
      <c r="BW3" s="13">
        <f t="shared" si="2"/>
        <v>73</v>
      </c>
      <c r="BX3" s="13">
        <f t="shared" si="2"/>
        <v>74</v>
      </c>
      <c r="BY3" s="13">
        <f t="shared" si="2"/>
        <v>75</v>
      </c>
      <c r="BZ3" s="13">
        <f t="shared" si="2"/>
        <v>76</v>
      </c>
      <c r="CA3" s="13">
        <f t="shared" si="2"/>
        <v>77</v>
      </c>
      <c r="CB3" s="13">
        <f t="shared" si="2"/>
        <v>78</v>
      </c>
      <c r="CC3" s="13">
        <f t="shared" si="2"/>
        <v>79</v>
      </c>
      <c r="CD3" s="13">
        <f t="shared" si="2"/>
        <v>80</v>
      </c>
      <c r="CE3" s="13">
        <f t="shared" si="2"/>
        <v>81</v>
      </c>
      <c r="CF3" s="13">
        <f t="shared" si="2"/>
        <v>82</v>
      </c>
      <c r="CG3" s="13">
        <f t="shared" si="2"/>
        <v>83</v>
      </c>
      <c r="CH3" s="13">
        <f t="shared" si="2"/>
        <v>84</v>
      </c>
      <c r="CI3" s="13">
        <f t="shared" si="2"/>
        <v>85</v>
      </c>
      <c r="CJ3" s="13">
        <f t="shared" si="2"/>
        <v>86</v>
      </c>
    </row>
    <row r="4" spans="1:94" ht="20.25" customHeight="1">
      <c r="A4" s="1">
        <v>1</v>
      </c>
      <c r="B4" s="14" t="s">
        <v>2</v>
      </c>
      <c r="H4" s="4">
        <v>45647</v>
      </c>
      <c r="N4" s="3"/>
      <c r="P4" s="4"/>
      <c r="Q4" s="5"/>
      <c r="R4" s="5" t="s">
        <v>3</v>
      </c>
      <c r="S4" s="18">
        <f>+DAY(S6-S5)</f>
        <v>30</v>
      </c>
      <c r="T4" s="18">
        <f t="shared" ref="T4:AD4" si="3">+DAY(T6-T5)</f>
        <v>30</v>
      </c>
      <c r="U4" s="18">
        <f t="shared" si="3"/>
        <v>27</v>
      </c>
      <c r="V4" s="18">
        <f t="shared" si="3"/>
        <v>30</v>
      </c>
      <c r="W4" s="18">
        <f t="shared" si="3"/>
        <v>29</v>
      </c>
      <c r="X4" s="18">
        <f t="shared" si="3"/>
        <v>30</v>
      </c>
      <c r="Y4" s="18">
        <f>+DAY(Y6-Y5)</f>
        <v>29</v>
      </c>
      <c r="Z4" s="18">
        <f t="shared" si="3"/>
        <v>30</v>
      </c>
      <c r="AA4" s="18">
        <f t="shared" si="3"/>
        <v>30</v>
      </c>
      <c r="AB4" s="18">
        <f t="shared" si="3"/>
        <v>29</v>
      </c>
      <c r="AC4" s="18">
        <f t="shared" si="3"/>
        <v>30</v>
      </c>
      <c r="AD4" s="18">
        <f t="shared" si="3"/>
        <v>29</v>
      </c>
      <c r="AQ4" s="1"/>
      <c r="AS4" s="2"/>
      <c r="AT4" s="7"/>
      <c r="AU4" s="5"/>
      <c r="AV4" s="5"/>
      <c r="AW4" s="19">
        <f t="shared" ref="AW4:BH4" si="4">+MONTH(AW5)</f>
        <v>12</v>
      </c>
      <c r="AX4" s="19">
        <f t="shared" si="4"/>
        <v>1</v>
      </c>
      <c r="AY4" s="19">
        <f t="shared" si="4"/>
        <v>2</v>
      </c>
      <c r="AZ4" s="19">
        <f t="shared" si="4"/>
        <v>3</v>
      </c>
      <c r="BA4" s="19">
        <f t="shared" si="4"/>
        <v>4</v>
      </c>
      <c r="BB4" s="19">
        <f t="shared" si="4"/>
        <v>5</v>
      </c>
      <c r="BC4" s="19">
        <f t="shared" si="4"/>
        <v>6</v>
      </c>
      <c r="BD4" s="19">
        <f t="shared" si="4"/>
        <v>7</v>
      </c>
      <c r="BE4" s="19">
        <f t="shared" si="4"/>
        <v>8</v>
      </c>
      <c r="BF4" s="19">
        <f t="shared" si="4"/>
        <v>9</v>
      </c>
      <c r="BG4" s="19">
        <f t="shared" si="4"/>
        <v>10</v>
      </c>
      <c r="BH4" s="19">
        <f t="shared" si="4"/>
        <v>11</v>
      </c>
      <c r="BI4" s="2"/>
      <c r="BJ4" s="19">
        <f t="shared" ref="BJ4:BU4" si="5">+MONTH(BJ5)</f>
        <v>12</v>
      </c>
      <c r="BK4" s="19">
        <f t="shared" si="5"/>
        <v>1</v>
      </c>
      <c r="BL4" s="19">
        <f t="shared" si="5"/>
        <v>2</v>
      </c>
      <c r="BM4" s="19">
        <f t="shared" si="5"/>
        <v>3</v>
      </c>
      <c r="BN4" s="19">
        <f t="shared" si="5"/>
        <v>4</v>
      </c>
      <c r="BO4" s="19">
        <f t="shared" si="5"/>
        <v>5</v>
      </c>
      <c r="BP4" s="19">
        <f t="shared" si="5"/>
        <v>6</v>
      </c>
      <c r="BQ4" s="19">
        <f t="shared" si="5"/>
        <v>7</v>
      </c>
      <c r="BR4" s="19">
        <f t="shared" si="5"/>
        <v>8</v>
      </c>
      <c r="BS4" s="19">
        <f t="shared" si="5"/>
        <v>9</v>
      </c>
      <c r="BT4" s="19">
        <f t="shared" si="5"/>
        <v>10</v>
      </c>
      <c r="BU4" s="19">
        <f t="shared" si="5"/>
        <v>11</v>
      </c>
      <c r="BV4" s="2"/>
      <c r="CJ4" s="5"/>
      <c r="CK4" s="8"/>
    </row>
    <row r="5" spans="1:94" ht="20.25" customHeight="1">
      <c r="B5" s="14" t="s">
        <v>4</v>
      </c>
      <c r="H5" s="4">
        <v>45677</v>
      </c>
      <c r="N5" s="3"/>
      <c r="P5" s="4"/>
      <c r="Q5" s="5"/>
      <c r="R5" s="5"/>
      <c r="S5" s="4">
        <v>45647</v>
      </c>
      <c r="T5" s="4">
        <v>45678</v>
      </c>
      <c r="U5" s="4">
        <v>45709</v>
      </c>
      <c r="V5" s="4">
        <v>45737</v>
      </c>
      <c r="W5" s="4">
        <v>45768</v>
      </c>
      <c r="X5" s="4">
        <v>45798</v>
      </c>
      <c r="Y5" s="4">
        <v>45829</v>
      </c>
      <c r="Z5" s="4">
        <v>45859</v>
      </c>
      <c r="AA5" s="4">
        <v>45890</v>
      </c>
      <c r="AB5" s="4">
        <v>45921</v>
      </c>
      <c r="AC5" s="4">
        <v>45951</v>
      </c>
      <c r="AD5" s="4">
        <v>45982</v>
      </c>
      <c r="AG5" s="4">
        <f t="shared" ref="AG5:AI6" si="6">S5</f>
        <v>45647</v>
      </c>
      <c r="AH5" s="4">
        <f t="shared" si="6"/>
        <v>45678</v>
      </c>
      <c r="AI5" s="4">
        <f t="shared" si="6"/>
        <v>45709</v>
      </c>
      <c r="AJ5" s="4">
        <v>45737</v>
      </c>
      <c r="AK5" s="4">
        <f t="shared" ref="AK5:AQ6" si="7">W5</f>
        <v>45768</v>
      </c>
      <c r="AL5" s="4">
        <f t="shared" si="7"/>
        <v>45798</v>
      </c>
      <c r="AM5" s="4">
        <f t="shared" si="7"/>
        <v>45829</v>
      </c>
      <c r="AN5" s="4">
        <f t="shared" si="7"/>
        <v>45859</v>
      </c>
      <c r="AO5" s="4">
        <f t="shared" si="7"/>
        <v>45890</v>
      </c>
      <c r="AP5" s="4">
        <f t="shared" si="7"/>
        <v>45921</v>
      </c>
      <c r="AQ5" s="4">
        <f t="shared" si="7"/>
        <v>45951</v>
      </c>
      <c r="AR5" s="20">
        <f>AD5</f>
        <v>45982</v>
      </c>
      <c r="AS5" s="2"/>
      <c r="AT5" s="7"/>
      <c r="AU5" s="5"/>
      <c r="AV5" s="5"/>
      <c r="AW5" s="4">
        <f t="shared" ref="AW5:BH6" si="8">S5</f>
        <v>45647</v>
      </c>
      <c r="AX5" s="4">
        <f t="shared" si="8"/>
        <v>45678</v>
      </c>
      <c r="AY5" s="4">
        <f t="shared" si="8"/>
        <v>45709</v>
      </c>
      <c r="AZ5" s="4">
        <f t="shared" si="8"/>
        <v>45737</v>
      </c>
      <c r="BA5" s="4">
        <f t="shared" si="8"/>
        <v>45768</v>
      </c>
      <c r="BB5" s="4">
        <f t="shared" si="8"/>
        <v>45798</v>
      </c>
      <c r="BC5" s="4">
        <f t="shared" si="8"/>
        <v>45829</v>
      </c>
      <c r="BD5" s="4">
        <f t="shared" si="8"/>
        <v>45859</v>
      </c>
      <c r="BE5" s="4">
        <f t="shared" si="8"/>
        <v>45890</v>
      </c>
      <c r="BF5" s="4">
        <f t="shared" si="8"/>
        <v>45921</v>
      </c>
      <c r="BG5" s="4">
        <f t="shared" si="8"/>
        <v>45951</v>
      </c>
      <c r="BH5" s="4">
        <f t="shared" si="8"/>
        <v>45982</v>
      </c>
      <c r="BJ5" s="4">
        <f t="shared" ref="BJ5:BU6" si="9">S5</f>
        <v>45647</v>
      </c>
      <c r="BK5" s="4">
        <f t="shared" si="9"/>
        <v>45678</v>
      </c>
      <c r="BL5" s="4">
        <f t="shared" si="9"/>
        <v>45709</v>
      </c>
      <c r="BM5" s="4">
        <f t="shared" si="9"/>
        <v>45737</v>
      </c>
      <c r="BN5" s="4">
        <f t="shared" si="9"/>
        <v>45768</v>
      </c>
      <c r="BO5" s="4">
        <f t="shared" si="9"/>
        <v>45798</v>
      </c>
      <c r="BP5" s="4">
        <f t="shared" si="9"/>
        <v>45829</v>
      </c>
      <c r="BQ5" s="4">
        <f t="shared" si="9"/>
        <v>45859</v>
      </c>
      <c r="BR5" s="4">
        <f t="shared" si="9"/>
        <v>45890</v>
      </c>
      <c r="BS5" s="4">
        <f t="shared" si="9"/>
        <v>45921</v>
      </c>
      <c r="BT5" s="4">
        <f t="shared" si="9"/>
        <v>45951</v>
      </c>
      <c r="BU5" s="4">
        <f t="shared" si="9"/>
        <v>45982</v>
      </c>
      <c r="BV5" s="2"/>
      <c r="BX5" s="4">
        <v>45658</v>
      </c>
      <c r="BY5" s="4">
        <v>45689</v>
      </c>
      <c r="BZ5" s="4">
        <v>45717</v>
      </c>
      <c r="CA5" s="4">
        <v>45748</v>
      </c>
      <c r="CB5" s="4">
        <v>45778</v>
      </c>
      <c r="CC5" s="4">
        <v>45809</v>
      </c>
      <c r="CD5" s="4">
        <v>45839</v>
      </c>
      <c r="CE5" s="4">
        <v>45870</v>
      </c>
      <c r="CF5" s="4">
        <v>45901</v>
      </c>
      <c r="CG5" s="4">
        <v>45931</v>
      </c>
      <c r="CH5" s="4">
        <v>45962</v>
      </c>
      <c r="CI5" s="4">
        <v>45992</v>
      </c>
      <c r="CJ5" s="5"/>
      <c r="CK5" s="8"/>
    </row>
    <row r="6" spans="1:94" ht="20.25" customHeight="1" thickBot="1">
      <c r="A6" s="21" t="s">
        <v>5</v>
      </c>
      <c r="B6" s="21" t="s">
        <v>5</v>
      </c>
      <c r="C6" s="21" t="s">
        <v>5</v>
      </c>
      <c r="D6" s="21"/>
      <c r="E6" s="22" t="s">
        <v>5</v>
      </c>
      <c r="F6" s="22"/>
      <c r="G6" s="23" t="s">
        <v>5</v>
      </c>
      <c r="H6" s="24"/>
      <c r="I6" s="24"/>
      <c r="J6" s="24"/>
      <c r="K6" s="24"/>
      <c r="L6" s="22" t="s">
        <v>5</v>
      </c>
      <c r="M6" s="24"/>
      <c r="N6" s="22"/>
      <c r="O6" s="23" t="s">
        <v>5</v>
      </c>
      <c r="P6" s="23">
        <v>45658</v>
      </c>
      <c r="Q6" s="5"/>
      <c r="R6" s="5"/>
      <c r="S6" s="25">
        <v>45677</v>
      </c>
      <c r="T6" s="25">
        <v>45708</v>
      </c>
      <c r="U6" s="25">
        <v>45736</v>
      </c>
      <c r="V6" s="25">
        <v>45767</v>
      </c>
      <c r="W6" s="25">
        <v>45797</v>
      </c>
      <c r="X6" s="25">
        <v>45828</v>
      </c>
      <c r="Y6" s="25">
        <v>45858</v>
      </c>
      <c r="Z6" s="25">
        <v>45889</v>
      </c>
      <c r="AA6" s="25">
        <v>45920</v>
      </c>
      <c r="AB6" s="25">
        <v>45950</v>
      </c>
      <c r="AC6" s="25">
        <v>45981</v>
      </c>
      <c r="AD6" s="25">
        <v>46011</v>
      </c>
      <c r="AG6" s="25">
        <f t="shared" si="6"/>
        <v>45677</v>
      </c>
      <c r="AH6" s="25">
        <f t="shared" si="6"/>
        <v>45708</v>
      </c>
      <c r="AI6" s="25">
        <f t="shared" si="6"/>
        <v>45736</v>
      </c>
      <c r="AJ6" s="25">
        <v>43941</v>
      </c>
      <c r="AK6" s="25">
        <f t="shared" si="7"/>
        <v>45797</v>
      </c>
      <c r="AL6" s="25">
        <f t="shared" si="7"/>
        <v>45828</v>
      </c>
      <c r="AM6" s="25">
        <f t="shared" si="7"/>
        <v>45858</v>
      </c>
      <c r="AN6" s="25">
        <f t="shared" si="7"/>
        <v>45889</v>
      </c>
      <c r="AO6" s="25">
        <f t="shared" si="7"/>
        <v>45920</v>
      </c>
      <c r="AP6" s="25">
        <f t="shared" si="7"/>
        <v>45950</v>
      </c>
      <c r="AQ6" s="25">
        <f t="shared" si="7"/>
        <v>45981</v>
      </c>
      <c r="AR6" s="26">
        <f>AD6</f>
        <v>46011</v>
      </c>
      <c r="AS6" s="2"/>
      <c r="AT6" s="7"/>
      <c r="AU6" s="21">
        <v>231330</v>
      </c>
      <c r="AV6" s="5"/>
      <c r="AW6" s="25">
        <f t="shared" si="8"/>
        <v>45677</v>
      </c>
      <c r="AX6" s="25">
        <f t="shared" si="8"/>
        <v>45708</v>
      </c>
      <c r="AY6" s="25">
        <f t="shared" si="8"/>
        <v>45736</v>
      </c>
      <c r="AZ6" s="25">
        <f t="shared" si="8"/>
        <v>45767</v>
      </c>
      <c r="BA6" s="25">
        <f t="shared" si="8"/>
        <v>45797</v>
      </c>
      <c r="BB6" s="25">
        <f t="shared" si="8"/>
        <v>45828</v>
      </c>
      <c r="BC6" s="25">
        <f t="shared" si="8"/>
        <v>45858</v>
      </c>
      <c r="BD6" s="25">
        <f t="shared" si="8"/>
        <v>45889</v>
      </c>
      <c r="BE6" s="25">
        <f t="shared" si="8"/>
        <v>45920</v>
      </c>
      <c r="BF6" s="25">
        <f t="shared" si="8"/>
        <v>45950</v>
      </c>
      <c r="BG6" s="25">
        <f t="shared" si="8"/>
        <v>45981</v>
      </c>
      <c r="BH6" s="25">
        <f t="shared" si="8"/>
        <v>46011</v>
      </c>
      <c r="BI6" s="27">
        <v>231330</v>
      </c>
      <c r="BJ6" s="4">
        <f t="shared" si="9"/>
        <v>45677</v>
      </c>
      <c r="BK6" s="4">
        <f t="shared" si="9"/>
        <v>45708</v>
      </c>
      <c r="BL6" s="4">
        <f t="shared" si="9"/>
        <v>45736</v>
      </c>
      <c r="BM6" s="4">
        <f t="shared" si="9"/>
        <v>45767</v>
      </c>
      <c r="BN6" s="4">
        <f t="shared" si="9"/>
        <v>45797</v>
      </c>
      <c r="BO6" s="4">
        <f t="shared" si="9"/>
        <v>45828</v>
      </c>
      <c r="BP6" s="4">
        <f t="shared" si="9"/>
        <v>45858</v>
      </c>
      <c r="BQ6" s="4">
        <f t="shared" si="9"/>
        <v>45889</v>
      </c>
      <c r="BR6" s="4">
        <f t="shared" si="9"/>
        <v>45920</v>
      </c>
      <c r="BS6" s="4">
        <f t="shared" si="9"/>
        <v>45950</v>
      </c>
      <c r="BT6" s="4">
        <f t="shared" si="9"/>
        <v>45981</v>
      </c>
      <c r="BU6" s="4">
        <f t="shared" si="9"/>
        <v>46011</v>
      </c>
      <c r="BV6" s="2"/>
      <c r="BW6" s="4"/>
      <c r="BX6" s="25">
        <v>45688</v>
      </c>
      <c r="BY6" s="25">
        <v>45716</v>
      </c>
      <c r="BZ6" s="25">
        <v>45747</v>
      </c>
      <c r="CA6" s="25">
        <v>45777</v>
      </c>
      <c r="CB6" s="25">
        <v>45808</v>
      </c>
      <c r="CC6" s="25">
        <v>45838</v>
      </c>
      <c r="CD6" s="25">
        <v>45869</v>
      </c>
      <c r="CE6" s="25">
        <v>45900</v>
      </c>
      <c r="CF6" s="25">
        <v>45930</v>
      </c>
      <c r="CG6" s="25">
        <v>45961</v>
      </c>
      <c r="CH6" s="25">
        <v>45991</v>
      </c>
      <c r="CI6" s="25">
        <v>46022</v>
      </c>
      <c r="CJ6" s="27">
        <v>231120</v>
      </c>
    </row>
    <row r="7" spans="1:94" s="44" customFormat="1" ht="75" customHeight="1">
      <c r="A7" s="28" t="s">
        <v>6</v>
      </c>
      <c r="B7" s="28" t="s">
        <v>7</v>
      </c>
      <c r="C7" s="28" t="s">
        <v>8</v>
      </c>
      <c r="D7" s="28" t="s">
        <v>9</v>
      </c>
      <c r="E7" s="29" t="s">
        <v>10</v>
      </c>
      <c r="F7" s="29"/>
      <c r="G7" s="30" t="s">
        <v>11</v>
      </c>
      <c r="H7" s="31" t="s">
        <v>12</v>
      </c>
      <c r="I7" s="31" t="s">
        <v>13</v>
      </c>
      <c r="J7" s="31" t="s">
        <v>14</v>
      </c>
      <c r="K7" s="30" t="s">
        <v>15</v>
      </c>
      <c r="L7" s="29" t="s">
        <v>16</v>
      </c>
      <c r="M7" s="32" t="s">
        <v>17</v>
      </c>
      <c r="N7" s="33" t="s">
        <v>18</v>
      </c>
      <c r="O7" s="30" t="s">
        <v>19</v>
      </c>
      <c r="P7" s="34" t="s">
        <v>20</v>
      </c>
      <c r="Q7" s="35" t="s">
        <v>21</v>
      </c>
      <c r="R7" s="35" t="s">
        <v>22</v>
      </c>
      <c r="S7" s="36" t="s">
        <v>23</v>
      </c>
      <c r="T7" s="36" t="s">
        <v>24</v>
      </c>
      <c r="U7" s="36" t="s">
        <v>25</v>
      </c>
      <c r="V7" s="36" t="s">
        <v>26</v>
      </c>
      <c r="W7" s="36" t="s">
        <v>27</v>
      </c>
      <c r="X7" s="36" t="s">
        <v>28</v>
      </c>
      <c r="Y7" s="36" t="s">
        <v>29</v>
      </c>
      <c r="Z7" s="36" t="s">
        <v>30</v>
      </c>
      <c r="AA7" s="36" t="s">
        <v>31</v>
      </c>
      <c r="AB7" s="36" t="s">
        <v>32</v>
      </c>
      <c r="AC7" s="36" t="s">
        <v>33</v>
      </c>
      <c r="AD7" s="36" t="s">
        <v>34</v>
      </c>
      <c r="AE7" s="1">
        <v>1</v>
      </c>
      <c r="AF7" s="37" t="s">
        <v>35</v>
      </c>
      <c r="AG7" s="36" t="s">
        <v>23</v>
      </c>
      <c r="AH7" s="36" t="s">
        <v>24</v>
      </c>
      <c r="AI7" s="38" t="s">
        <v>25</v>
      </c>
      <c r="AJ7" s="36" t="s">
        <v>26</v>
      </c>
      <c r="AK7" s="36" t="s">
        <v>27</v>
      </c>
      <c r="AL7" s="36" t="s">
        <v>28</v>
      </c>
      <c r="AM7" s="36" t="s">
        <v>29</v>
      </c>
      <c r="AN7" s="36" t="s">
        <v>30</v>
      </c>
      <c r="AO7" s="36" t="s">
        <v>31</v>
      </c>
      <c r="AP7" s="36" t="s">
        <v>32</v>
      </c>
      <c r="AQ7" s="36" t="s">
        <v>33</v>
      </c>
      <c r="AR7" s="38" t="s">
        <v>34</v>
      </c>
      <c r="AS7" s="39" t="s">
        <v>36</v>
      </c>
      <c r="AT7" s="40"/>
      <c r="AU7" s="41" t="s">
        <v>37</v>
      </c>
      <c r="AV7" s="35" t="s">
        <v>38</v>
      </c>
      <c r="AW7" s="36" t="s">
        <v>23</v>
      </c>
      <c r="AX7" s="36" t="s">
        <v>24</v>
      </c>
      <c r="AY7" s="36" t="s">
        <v>25</v>
      </c>
      <c r="AZ7" s="36" t="s">
        <v>26</v>
      </c>
      <c r="BA7" s="36" t="s">
        <v>27</v>
      </c>
      <c r="BB7" s="36" t="s">
        <v>28</v>
      </c>
      <c r="BC7" s="36" t="s">
        <v>29</v>
      </c>
      <c r="BD7" s="36" t="s">
        <v>30</v>
      </c>
      <c r="BE7" s="36" t="s">
        <v>31</v>
      </c>
      <c r="BF7" s="36" t="s">
        <v>32</v>
      </c>
      <c r="BG7" s="36" t="s">
        <v>33</v>
      </c>
      <c r="BH7" s="36" t="s">
        <v>34</v>
      </c>
      <c r="BI7" s="37" t="s">
        <v>39</v>
      </c>
      <c r="BJ7" s="42" t="s">
        <v>23</v>
      </c>
      <c r="BK7" s="43" t="s">
        <v>24</v>
      </c>
      <c r="BL7" s="43" t="s">
        <v>25</v>
      </c>
      <c r="BM7" s="43" t="s">
        <v>26</v>
      </c>
      <c r="BN7" s="43" t="s">
        <v>27</v>
      </c>
      <c r="BO7" s="43" t="s">
        <v>28</v>
      </c>
      <c r="BP7" s="43" t="s">
        <v>29</v>
      </c>
      <c r="BQ7" s="43" t="s">
        <v>30</v>
      </c>
      <c r="BR7" s="43" t="s">
        <v>31</v>
      </c>
      <c r="BS7" s="43" t="s">
        <v>32</v>
      </c>
      <c r="BT7" s="43" t="s">
        <v>33</v>
      </c>
      <c r="BU7" s="43" t="s">
        <v>34</v>
      </c>
      <c r="BV7" s="39" t="s">
        <v>40</v>
      </c>
      <c r="BW7" s="44">
        <v>1</v>
      </c>
      <c r="BX7" s="45" t="s">
        <v>23</v>
      </c>
      <c r="BY7" s="46" t="s">
        <v>24</v>
      </c>
      <c r="BZ7" s="46" t="s">
        <v>25</v>
      </c>
      <c r="CA7" s="47" t="s">
        <v>26</v>
      </c>
      <c r="CB7" s="47" t="s">
        <v>27</v>
      </c>
      <c r="CC7" s="48" t="s">
        <v>28</v>
      </c>
      <c r="CD7" s="48" t="s">
        <v>29</v>
      </c>
      <c r="CE7" s="47" t="s">
        <v>30</v>
      </c>
      <c r="CF7" s="47" t="s">
        <v>31</v>
      </c>
      <c r="CG7" s="47" t="s">
        <v>32</v>
      </c>
      <c r="CH7" s="47" t="s">
        <v>33</v>
      </c>
      <c r="CI7" s="49" t="s">
        <v>34</v>
      </c>
      <c r="CJ7" s="50" t="s">
        <v>41</v>
      </c>
      <c r="CK7" s="51" t="s">
        <v>42</v>
      </c>
      <c r="CL7" s="52"/>
      <c r="CM7" s="53" t="s">
        <v>43</v>
      </c>
      <c r="CN7" s="54"/>
      <c r="CO7" s="55"/>
      <c r="CP7" s="56"/>
    </row>
    <row r="8" spans="1:94" s="58" customFormat="1" ht="20.25" customHeight="1">
      <c r="A8" s="57" t="s">
        <v>44</v>
      </c>
      <c r="B8" s="58" t="s">
        <v>45</v>
      </c>
      <c r="C8" s="58" t="s">
        <v>46</v>
      </c>
      <c r="D8" s="58">
        <f>+VLOOKUP(A8,'[1]BDD-Avk Tx'!B:CE,82,0)</f>
        <v>620</v>
      </c>
      <c r="E8" s="59">
        <v>634.4</v>
      </c>
      <c r="F8" s="59"/>
      <c r="G8" s="60">
        <v>41563</v>
      </c>
      <c r="H8" s="60">
        <f t="shared" ref="H8:H71" si="10">+IF(YEAR(G8)&lt;YEAR($H$5),$H$4,G8)</f>
        <v>45647</v>
      </c>
      <c r="I8" s="60" t="str">
        <f>+VLOOKUP(A8,'[1]BDD-Avk Tx'!B:BZ,77,0)</f>
        <v>CDI</v>
      </c>
      <c r="J8" s="60">
        <f t="shared" ref="J8:J71" si="11">+IF(I8="CDI",H8,H8+0)</f>
        <v>45647</v>
      </c>
      <c r="K8" s="4"/>
      <c r="L8" s="3"/>
      <c r="M8" s="60"/>
      <c r="N8" s="59"/>
      <c r="O8" s="60"/>
      <c r="P8" s="54">
        <f>DATEDIF(G8,$AD$6,"m")/12</f>
        <v>12.166666666666666</v>
      </c>
      <c r="Q8" s="61">
        <v>64</v>
      </c>
      <c r="R8" s="62">
        <f>SUM(S8:AD8)</f>
        <v>20</v>
      </c>
      <c r="S8" s="54">
        <f>+IF(AND(AND($O8="",$P8&gt;=10,MONTH($G8)=MONTH(S$5))),1.5+2,+IF(AND(AND($O8="",$P8&gt;=5,MONTH($G8)=MONTH(S$5))),1.5+1,+IF(AND(AND($P8=5,$O8="",MONTH($G8)=MONTH(S$5))),1.5,+IF(AND($H8&gt;S$5,MONTH($H8)=MONTH(S$5)),1.5/30*(S$4-DAY($H8)),+IF(AND(MONTH($H8)&lt;MONTH(S$5),$O8=""),1.5,+IF(AND($H8=$S$5,$O8=""),1.5,IF($O8&lt;S$5,0,IF(MONTH($O8)=MONTH(S$5),1.5/30*($O8-S$5),1.5))))))))</f>
        <v>1.5</v>
      </c>
      <c r="T8" s="54">
        <f t="shared" ref="T8:AD21" si="12">+IF(AND(AND($O8="",$P8&gt;=10,MONTH($G8)=MONTH(T$5))),1.5+2,+IF(AND(AND($O8="",$P8&gt;=5,MONTH($G8)=MONTH(T$5))),1.5+1,+IF(AND(AND($P8=5,$O8="",MONTH($G8)=MONTH(T$5))),1.5,+IF(AND($H8&gt;T$5,MONTH($H8)=MONTH(T$5)),1.5/30*(T$4-DAY($H8)),+IF(AND(MONTH($H8)&lt;MONTH(T$5),$O8=""),1.5,+IF(AND($H8=$S$5,$O8=""),1.5,IF($O8&lt;T$5,0,IF(MONTH($O8)=MONTH(T$5),1.5/30*($O8-T$5),1.5))))))))</f>
        <v>1.5</v>
      </c>
      <c r="U8" s="54">
        <f t="shared" si="12"/>
        <v>1.5</v>
      </c>
      <c r="V8" s="54">
        <f t="shared" si="12"/>
        <v>1.5</v>
      </c>
      <c r="W8" s="54">
        <f t="shared" si="12"/>
        <v>1.5</v>
      </c>
      <c r="X8" s="54">
        <f>+IF(AND(AND($O8="",$P8&gt;=10,MONTH($G8)=MONTH(X$5))),1.5+2,+IF(AND(AND($O8="",$P8&gt;=5,MONTH($G8)=MONTH(X$5))),1.5+1,+IF(AND(AND($P8=5,$O8="",MONTH($G8)=MONTH(X$5))),1.5,+IF(AND($H8&gt;X$5,MONTH($H8)=MONTH(X$5)),1.5/30*(X$4-DAY($H8)),+IF(AND(MONTH($H8)&lt;MONTH(X$5),$O8=""),1.5,+IF(AND($H8=$S$5,$O8=""),1.5,IF($O8&lt;X$5,0,IF(MONTH($O8)=MONTH(X$5),1.5/30*($O8-X$5),1.5))))))))</f>
        <v>1.5</v>
      </c>
      <c r="Y8" s="54">
        <f t="shared" si="12"/>
        <v>1.5</v>
      </c>
      <c r="Z8" s="54">
        <f t="shared" si="12"/>
        <v>1.5</v>
      </c>
      <c r="AA8" s="54">
        <f t="shared" si="12"/>
        <v>1.5</v>
      </c>
      <c r="AB8" s="54">
        <f t="shared" si="12"/>
        <v>1.5</v>
      </c>
      <c r="AC8" s="54">
        <f t="shared" si="12"/>
        <v>3.5</v>
      </c>
      <c r="AD8" s="54">
        <f t="shared" si="12"/>
        <v>1.5</v>
      </c>
      <c r="AF8" s="63">
        <f t="shared" ref="AF8:AF71" si="13">SUM(AG8:AR8)</f>
        <v>0</v>
      </c>
      <c r="AG8" s="64">
        <v>0</v>
      </c>
      <c r="AH8" s="64">
        <v>0</v>
      </c>
      <c r="AI8" s="65">
        <v>0</v>
      </c>
      <c r="AJ8" s="66"/>
      <c r="AK8" s="64"/>
      <c r="AL8" s="64"/>
      <c r="AM8" s="64"/>
      <c r="AN8" s="64"/>
      <c r="AO8" s="64"/>
      <c r="AP8" s="64"/>
      <c r="AQ8" s="64"/>
      <c r="AR8" s="64"/>
      <c r="AS8" s="67">
        <f t="shared" ref="AS8:AS71" si="14">+Q8+R8-AF8</f>
        <v>84</v>
      </c>
      <c r="AT8" s="68"/>
      <c r="AU8" s="69">
        <v>1223.4384615384611</v>
      </c>
      <c r="AV8" s="63">
        <f>SUM(AW8:BH8)</f>
        <v>488</v>
      </c>
      <c r="AW8" s="54">
        <f>+IF($K8="",$E8/26*S8,IF(MONTH($K8)=MONTH(AW$5),$L8/26*S8,IF(AND($K8&lt;AW$5,(MONTH($K8)&lt;&gt;MONTH(AW$5))),$L8/26*S8,$E8/26*S8)))</f>
        <v>36.599999999999994</v>
      </c>
      <c r="AX8" s="54">
        <f t="shared" ref="AX8:BH23" si="15">+IF($K8="",$E8/26*T8,IF(MONTH($K8)=MONTH(AX$5),$L8/26*T8,IF(AND($K8&lt;AX$5,(MONTH($K8)&lt;&gt;MONTH(AX$5))),$L8/26*T8,$E8/26*T8)))</f>
        <v>36.599999999999994</v>
      </c>
      <c r="AY8" s="54">
        <f t="shared" si="15"/>
        <v>36.599999999999994</v>
      </c>
      <c r="AZ8" s="54">
        <f t="shared" si="15"/>
        <v>36.599999999999994</v>
      </c>
      <c r="BA8" s="54">
        <f t="shared" si="15"/>
        <v>36.599999999999994</v>
      </c>
      <c r="BB8" s="54">
        <f t="shared" si="15"/>
        <v>36.599999999999994</v>
      </c>
      <c r="BC8" s="54">
        <f t="shared" si="15"/>
        <v>36.599999999999994</v>
      </c>
      <c r="BD8" s="54">
        <f t="shared" si="15"/>
        <v>36.599999999999994</v>
      </c>
      <c r="BE8" s="54">
        <f t="shared" si="15"/>
        <v>36.599999999999994</v>
      </c>
      <c r="BF8" s="54">
        <f t="shared" si="15"/>
        <v>36.599999999999994</v>
      </c>
      <c r="BG8" s="54">
        <f t="shared" si="15"/>
        <v>85.399999999999991</v>
      </c>
      <c r="BH8" s="54">
        <f t="shared" si="15"/>
        <v>36.599999999999994</v>
      </c>
      <c r="BI8" s="63">
        <f t="shared" ref="BI8:BI61" si="16">SUM(BJ8:BU8)</f>
        <v>0</v>
      </c>
      <c r="BJ8" s="59">
        <f t="shared" ref="BJ8:BU23" si="17">(+IF($K8="",$E8/26*AG8,IF(MONTH($K8)=MONTH(BJ$5),$L8/26*AG8,IF(AND($K8&lt;BJ$5,(MONTH($K8)&lt;&gt;MONTH(BJ$5))),$L8/26*AG8,$E8/26*AG8))))*-1</f>
        <v>0</v>
      </c>
      <c r="BK8" s="59">
        <f t="shared" si="17"/>
        <v>0</v>
      </c>
      <c r="BL8" s="59">
        <f t="shared" si="17"/>
        <v>0</v>
      </c>
      <c r="BM8" s="59">
        <f t="shared" si="17"/>
        <v>0</v>
      </c>
      <c r="BN8" s="59">
        <f t="shared" si="17"/>
        <v>0</v>
      </c>
      <c r="BO8" s="59">
        <f t="shared" si="17"/>
        <v>0</v>
      </c>
      <c r="BP8" s="59">
        <f t="shared" si="17"/>
        <v>0</v>
      </c>
      <c r="BQ8" s="59">
        <f t="shared" si="17"/>
        <v>0</v>
      </c>
      <c r="BR8" s="59">
        <f t="shared" si="17"/>
        <v>0</v>
      </c>
      <c r="BS8" s="59">
        <f t="shared" si="17"/>
        <v>0</v>
      </c>
      <c r="BT8" s="59">
        <f t="shared" si="17"/>
        <v>0</v>
      </c>
      <c r="BU8" s="59">
        <f t="shared" si="17"/>
        <v>0</v>
      </c>
      <c r="BV8" s="67">
        <f t="shared" ref="BV8:BV71" si="18">+AU8+AV8+BI8</f>
        <v>1711.4384615384611</v>
      </c>
      <c r="BX8" s="54">
        <f>+IF(AND($J8&gt;BX$5,MONTH($J8&lt;&gt;BX$5)),0,+IF(AND($J8&gt;BX$5,MONTH($J8=BX$5)),$E8/$R8*DAY($J8),IF(AND($O8&lt;&gt;"",$O8&lt;BX$5),0,IF($K8="",$E8/$R8*S8,IF(MONTH($K8)=MONTH(BX$5),$L8/$R8*S8,IF(AND($K8&lt;BX$5,(MONTH($K8)&lt;&gt;MONTH(BX$5))),$L8/$R8*S8,$E8/$R8*S8))))))</f>
        <v>47.58</v>
      </c>
      <c r="BY8" s="54">
        <f t="shared" ref="BX8:CI68" si="19">+IF(AND($J8&gt;BY$5,MONTH($J8&lt;&gt;BY$5)),0,+IF(AND($J8&gt;BY$5,MONTH($J8=BY$5)),$E8/$R8*DAY($J8),IF(AND($O8&lt;&gt;"",$O8&lt;BY$5),0,IF($K8="",$E8/$R8*T8,IF(MONTH($K8)=MONTH(BY$5),$L8/$R8*T8,IF(AND($K8&lt;BY$5,(MONTH($K8)&lt;&gt;MONTH(BY$5))),$L8/$R8*T8,$E8/$R8*T8))))))</f>
        <v>47.58</v>
      </c>
      <c r="BZ8" s="54">
        <f t="shared" si="19"/>
        <v>47.58</v>
      </c>
      <c r="CA8" s="54">
        <f t="shared" si="19"/>
        <v>47.58</v>
      </c>
      <c r="CB8" s="54">
        <f t="shared" si="19"/>
        <v>47.58</v>
      </c>
      <c r="CC8" s="54">
        <f t="shared" si="19"/>
        <v>47.58</v>
      </c>
      <c r="CD8" s="54">
        <f t="shared" si="19"/>
        <v>47.58</v>
      </c>
      <c r="CE8" s="54">
        <f t="shared" si="19"/>
        <v>47.58</v>
      </c>
      <c r="CF8" s="54">
        <f t="shared" si="19"/>
        <v>47.58</v>
      </c>
      <c r="CG8" s="54">
        <f t="shared" si="19"/>
        <v>47.58</v>
      </c>
      <c r="CH8" s="54">
        <f>+IF(AND($J8&gt;CH$5,MONTH($J8&lt;&gt;CH$5)),0,+IF(AND($J8&gt;CH$5,MONTH($J8=CH$5)),$E8/$R8*DAY($J8),IF(AND($O8&lt;&gt;"",$O8&lt;CH$5),0,IF($K8="",$E8/$R8*AC8,IF(MONTH($K8)=MONTH(CH$5),$L8/$R8*AC8,IF(AND($K8&lt;CH$5,(MONTH($K8)&lt;&gt;MONTH(CH$5))),$L8/$R8*AC8,$E8/$R8*AC8))))))</f>
        <v>111.02</v>
      </c>
      <c r="CI8" s="54">
        <f>+IF(AND($J8&gt;CI$5,MONTH($J8&lt;&gt;CI$5)),0,+IF(AND($J8&gt;CI$5,MONTH($J8=CI$5)),$E8/$R8*DAY($J8),IF(AND($O8&lt;&gt;"",$O8&lt;CI$5),0,IF($K8="",$E8/$R8*AD8,IF(MONTH($K8)=MONTH(CI$5),$L8/$R8*AD8,IF(AND($K8&lt;CI$5,(MONTH($K8)&lt;&gt;MONTH(CI$5))),$L8/$R8*AD8,$E8/$R8*AD8))))))</f>
        <v>47.58</v>
      </c>
      <c r="CJ8" s="70">
        <f t="shared" ref="CJ8:CJ9" si="20">SUM(BX8:CI8)</f>
        <v>634.4</v>
      </c>
      <c r="CK8" s="59">
        <f>+IF(P8&lt;5,18,IF(AND(P8&gt;=5,P8&lt;10),19,IF(AND(P8&gt;=10,P8&lt;15),20,IF(AND(P8&gt;=15,P8&lt;20),21,0))))</f>
        <v>20</v>
      </c>
      <c r="CL8" s="59">
        <f>+CM8-CJ8</f>
        <v>0</v>
      </c>
      <c r="CM8" s="71">
        <f t="shared" ref="CM8:CM71" si="21">IF(L8=0,E8,(L8-E8+E8))</f>
        <v>634.4</v>
      </c>
      <c r="CN8" s="72"/>
      <c r="CO8" s="73"/>
      <c r="CP8" s="1"/>
    </row>
    <row r="9" spans="1:94" ht="20.25" customHeight="1">
      <c r="A9" s="1" t="s">
        <v>47</v>
      </c>
      <c r="B9" s="1" t="s">
        <v>48</v>
      </c>
      <c r="C9" s="1" t="s">
        <v>49</v>
      </c>
      <c r="D9" s="58">
        <f>+VLOOKUP(A9,'[1]BDD-Avk Tx'!B:CE,82,0)</f>
        <v>620</v>
      </c>
      <c r="E9" s="59">
        <v>1323</v>
      </c>
      <c r="G9" s="4">
        <v>42065</v>
      </c>
      <c r="H9" s="4">
        <f t="shared" si="10"/>
        <v>45647</v>
      </c>
      <c r="I9" s="60" t="str">
        <f>+VLOOKUP(A9,'[1]BDD-Avk Tx'!B:BZ,77,0)</f>
        <v>CDI</v>
      </c>
      <c r="J9" s="4">
        <f t="shared" si="11"/>
        <v>45647</v>
      </c>
      <c r="N9" s="3"/>
      <c r="P9" s="54">
        <f t="shared" ref="P9:P72" si="22">DATEDIF(G9,$AD$6,"m")/12</f>
        <v>10.75</v>
      </c>
      <c r="Q9" s="61">
        <v>38</v>
      </c>
      <c r="R9" s="62">
        <f t="shared" ref="R9:R72" si="23">SUM(S9:AD9)</f>
        <v>20</v>
      </c>
      <c r="S9" s="54">
        <f t="shared" ref="S9:AD39" si="24">+IF(AND(AND($O9="",$P9&gt;=10,MONTH($G9)=MONTH(S$5))),1.5+2,+IF(AND(AND($O9="",$P9&gt;=5,MONTH($G9)=MONTH(S$5))),1.5+1,+IF(AND(AND($P9=5,$O9="",MONTH($G9)=MONTH(S$5))),1.5,+IF(AND($H9&gt;S$5,MONTH($H9)=MONTH(S$5)),1.5/30*(S$4-DAY($H9)),+IF(AND(MONTH($H9)&lt;MONTH(S$5),$O9=""),1.5,+IF(AND($H9=$S$5,$O9=""),1.5,IF($O9&lt;S$5,0,IF(MONTH($O9)=MONTH(S$5),1.5/30*($O9-S$5),1.5))))))))</f>
        <v>1.5</v>
      </c>
      <c r="T9" s="54">
        <f t="shared" si="12"/>
        <v>1.5</v>
      </c>
      <c r="U9" s="54">
        <f t="shared" si="12"/>
        <v>1.5</v>
      </c>
      <c r="V9" s="54">
        <f t="shared" si="12"/>
        <v>3.5</v>
      </c>
      <c r="W9" s="54">
        <f t="shared" si="12"/>
        <v>1.5</v>
      </c>
      <c r="X9" s="54">
        <f t="shared" si="12"/>
        <v>1.5</v>
      </c>
      <c r="Y9" s="54">
        <f t="shared" si="12"/>
        <v>1.5</v>
      </c>
      <c r="Z9" s="54">
        <f t="shared" si="12"/>
        <v>1.5</v>
      </c>
      <c r="AA9" s="54">
        <f t="shared" si="12"/>
        <v>1.5</v>
      </c>
      <c r="AB9" s="54">
        <f t="shared" si="12"/>
        <v>1.5</v>
      </c>
      <c r="AC9" s="54">
        <f t="shared" si="12"/>
        <v>1.5</v>
      </c>
      <c r="AD9" s="54">
        <f t="shared" si="12"/>
        <v>1.5</v>
      </c>
      <c r="AF9" s="62">
        <f t="shared" si="13"/>
        <v>0</v>
      </c>
      <c r="AG9" s="64">
        <v>0</v>
      </c>
      <c r="AH9" s="64">
        <v>0</v>
      </c>
      <c r="AI9" s="65">
        <v>0</v>
      </c>
      <c r="AJ9" s="66"/>
      <c r="AK9" s="64"/>
      <c r="AL9" s="64"/>
      <c r="AM9" s="64"/>
      <c r="AN9" s="64"/>
      <c r="AO9" s="64"/>
      <c r="AP9" s="64"/>
      <c r="AQ9" s="64"/>
      <c r="AR9" s="64"/>
      <c r="AS9" s="67">
        <f t="shared" si="14"/>
        <v>58</v>
      </c>
      <c r="AT9" s="68"/>
      <c r="AU9" s="69">
        <v>1933.6153846153843</v>
      </c>
      <c r="AV9" s="62">
        <f>SUM(AW9:BH9)</f>
        <v>1017.6923076923078</v>
      </c>
      <c r="AW9" s="54">
        <f t="shared" ref="AW9:BH70" si="25">+IF($K9="",$E9/26*S9,IF(MONTH($K9)=MONTH(AW$5),$L9/26*S9,IF(AND($K9&lt;AW$5,(MONTH($K9)&lt;&gt;MONTH(AW$5))),$L9/26*S9,$E9/26*S9)))</f>
        <v>76.32692307692308</v>
      </c>
      <c r="AX9" s="54">
        <f t="shared" si="15"/>
        <v>76.32692307692308</v>
      </c>
      <c r="AY9" s="54">
        <f t="shared" si="15"/>
        <v>76.32692307692308</v>
      </c>
      <c r="AZ9" s="54">
        <f t="shared" si="15"/>
        <v>178.09615384615387</v>
      </c>
      <c r="BA9" s="54">
        <f t="shared" si="15"/>
        <v>76.32692307692308</v>
      </c>
      <c r="BB9" s="54">
        <f t="shared" si="15"/>
        <v>76.32692307692308</v>
      </c>
      <c r="BC9" s="54">
        <f t="shared" si="15"/>
        <v>76.32692307692308</v>
      </c>
      <c r="BD9" s="54">
        <f t="shared" si="15"/>
        <v>76.32692307692308</v>
      </c>
      <c r="BE9" s="54">
        <f t="shared" si="15"/>
        <v>76.32692307692308</v>
      </c>
      <c r="BF9" s="54">
        <f t="shared" si="15"/>
        <v>76.32692307692308</v>
      </c>
      <c r="BG9" s="54">
        <f t="shared" si="15"/>
        <v>76.32692307692308</v>
      </c>
      <c r="BH9" s="54">
        <f t="shared" si="15"/>
        <v>76.32692307692308</v>
      </c>
      <c r="BI9" s="62">
        <f t="shared" si="16"/>
        <v>0</v>
      </c>
      <c r="BJ9" s="59">
        <f t="shared" si="17"/>
        <v>0</v>
      </c>
      <c r="BK9" s="59">
        <f t="shared" si="17"/>
        <v>0</v>
      </c>
      <c r="BL9" s="59">
        <f t="shared" si="17"/>
        <v>0</v>
      </c>
      <c r="BM9" s="59">
        <f t="shared" si="17"/>
        <v>0</v>
      </c>
      <c r="BN9" s="59">
        <f t="shared" si="17"/>
        <v>0</v>
      </c>
      <c r="BO9" s="59">
        <f t="shared" si="17"/>
        <v>0</v>
      </c>
      <c r="BP9" s="59">
        <f t="shared" si="17"/>
        <v>0</v>
      </c>
      <c r="BQ9" s="59">
        <f t="shared" si="17"/>
        <v>0</v>
      </c>
      <c r="BR9" s="59">
        <f t="shared" si="17"/>
        <v>0</v>
      </c>
      <c r="BS9" s="59">
        <f t="shared" si="17"/>
        <v>0</v>
      </c>
      <c r="BT9" s="59">
        <f t="shared" si="17"/>
        <v>0</v>
      </c>
      <c r="BU9" s="59">
        <f t="shared" si="17"/>
        <v>0</v>
      </c>
      <c r="BV9" s="67">
        <f t="shared" si="18"/>
        <v>2951.3076923076924</v>
      </c>
      <c r="BX9" s="54">
        <f t="shared" si="19"/>
        <v>99.225000000000009</v>
      </c>
      <c r="BY9" s="54">
        <f t="shared" si="19"/>
        <v>99.225000000000009</v>
      </c>
      <c r="BZ9" s="54">
        <f t="shared" si="19"/>
        <v>99.225000000000009</v>
      </c>
      <c r="CA9" s="54">
        <f t="shared" si="19"/>
        <v>231.52500000000003</v>
      </c>
      <c r="CB9" s="54">
        <f t="shared" si="19"/>
        <v>99.225000000000009</v>
      </c>
      <c r="CC9" s="54">
        <f t="shared" si="19"/>
        <v>99.225000000000009</v>
      </c>
      <c r="CD9" s="54">
        <f t="shared" si="19"/>
        <v>99.225000000000009</v>
      </c>
      <c r="CE9" s="54">
        <f t="shared" si="19"/>
        <v>99.225000000000009</v>
      </c>
      <c r="CF9" s="54">
        <f t="shared" si="19"/>
        <v>99.225000000000009</v>
      </c>
      <c r="CG9" s="54">
        <f t="shared" si="19"/>
        <v>99.225000000000009</v>
      </c>
      <c r="CH9" s="54">
        <f t="shared" si="19"/>
        <v>99.225000000000009</v>
      </c>
      <c r="CI9" s="54">
        <f t="shared" si="19"/>
        <v>99.225000000000009</v>
      </c>
      <c r="CJ9" s="74">
        <f t="shared" si="20"/>
        <v>1322.9999999999998</v>
      </c>
      <c r="CK9" s="59">
        <f t="shared" ref="CK9:CK72" si="26">+IF(P9&lt;5,18,IF(AND(P9&gt;=5,P9&lt;10),19,IF(AND(P9&gt;=10,P9&lt;15),20,IF(AND(P9&gt;=15,P9&lt;20),21,0))))</f>
        <v>20</v>
      </c>
      <c r="CL9" s="9">
        <f>+CM9-CJ9</f>
        <v>0</v>
      </c>
      <c r="CM9" s="71">
        <f t="shared" si="21"/>
        <v>1323</v>
      </c>
      <c r="CN9" s="54"/>
      <c r="CO9" s="73"/>
      <c r="CP9" s="56"/>
    </row>
    <row r="10" spans="1:94" ht="20.25" customHeight="1">
      <c r="A10" s="75" t="s">
        <v>50</v>
      </c>
      <c r="B10" s="1" t="s">
        <v>51</v>
      </c>
      <c r="C10" s="1" t="s">
        <v>52</v>
      </c>
      <c r="D10" s="58">
        <f>+VLOOKUP(A10,'[1]BDD-Avk Tx'!B:CE,82,0)</f>
        <v>620</v>
      </c>
      <c r="E10" s="59">
        <v>1128.4000000000001</v>
      </c>
      <c r="G10" s="4">
        <v>41201</v>
      </c>
      <c r="H10" s="4">
        <f t="shared" si="10"/>
        <v>45647</v>
      </c>
      <c r="I10" s="60" t="str">
        <f>+VLOOKUP(A10,'[1]BDD-Avk Tx'!B:BZ,77,0)</f>
        <v>CDI</v>
      </c>
      <c r="J10" s="4">
        <f t="shared" si="11"/>
        <v>45647</v>
      </c>
      <c r="N10" s="3"/>
      <c r="P10" s="54">
        <f t="shared" si="22"/>
        <v>13.166666666666666</v>
      </c>
      <c r="Q10" s="61">
        <v>6</v>
      </c>
      <c r="R10" s="62">
        <f t="shared" si="23"/>
        <v>20</v>
      </c>
      <c r="S10" s="54">
        <f t="shared" si="24"/>
        <v>1.5</v>
      </c>
      <c r="T10" s="54">
        <f t="shared" si="12"/>
        <v>1.5</v>
      </c>
      <c r="U10" s="54">
        <f t="shared" si="12"/>
        <v>1.5</v>
      </c>
      <c r="V10" s="54">
        <f t="shared" si="12"/>
        <v>1.5</v>
      </c>
      <c r="W10" s="54">
        <f t="shared" si="12"/>
        <v>1.5</v>
      </c>
      <c r="X10" s="54">
        <f t="shared" si="12"/>
        <v>1.5</v>
      </c>
      <c r="Y10" s="54">
        <f t="shared" si="12"/>
        <v>1.5</v>
      </c>
      <c r="Z10" s="54">
        <f t="shared" si="12"/>
        <v>1.5</v>
      </c>
      <c r="AA10" s="54">
        <f t="shared" si="12"/>
        <v>1.5</v>
      </c>
      <c r="AB10" s="54">
        <f t="shared" si="12"/>
        <v>1.5</v>
      </c>
      <c r="AC10" s="54">
        <f t="shared" si="12"/>
        <v>3.5</v>
      </c>
      <c r="AD10" s="54">
        <f t="shared" si="12"/>
        <v>1.5</v>
      </c>
      <c r="AF10" s="62">
        <f t="shared" si="13"/>
        <v>5</v>
      </c>
      <c r="AG10" s="64">
        <v>0</v>
      </c>
      <c r="AH10" s="64">
        <v>4</v>
      </c>
      <c r="AI10" s="65">
        <v>1</v>
      </c>
      <c r="AJ10" s="66"/>
      <c r="AK10" s="64"/>
      <c r="AL10" s="64"/>
      <c r="AM10" s="64"/>
      <c r="AN10" s="64"/>
      <c r="AO10" s="64"/>
      <c r="AP10" s="64"/>
      <c r="AQ10" s="64"/>
      <c r="AR10" s="64"/>
      <c r="AS10" s="67">
        <f t="shared" si="14"/>
        <v>21</v>
      </c>
      <c r="AT10" s="68"/>
      <c r="AU10" s="69">
        <v>239.92307692307691</v>
      </c>
      <c r="AV10" s="62">
        <f>SUM(AW10:BH10)</f>
        <v>868.00000000000011</v>
      </c>
      <c r="AW10" s="54">
        <f t="shared" si="25"/>
        <v>65.100000000000009</v>
      </c>
      <c r="AX10" s="54">
        <f t="shared" si="15"/>
        <v>65.100000000000009</v>
      </c>
      <c r="AY10" s="54">
        <f t="shared" si="15"/>
        <v>65.100000000000009</v>
      </c>
      <c r="AZ10" s="54">
        <f t="shared" si="15"/>
        <v>65.100000000000009</v>
      </c>
      <c r="BA10" s="54">
        <f t="shared" si="15"/>
        <v>65.100000000000009</v>
      </c>
      <c r="BB10" s="54">
        <f t="shared" si="15"/>
        <v>65.100000000000009</v>
      </c>
      <c r="BC10" s="54">
        <f t="shared" si="15"/>
        <v>65.100000000000009</v>
      </c>
      <c r="BD10" s="54">
        <f t="shared" si="15"/>
        <v>65.100000000000009</v>
      </c>
      <c r="BE10" s="54">
        <f t="shared" si="15"/>
        <v>65.100000000000009</v>
      </c>
      <c r="BF10" s="54">
        <f t="shared" si="15"/>
        <v>65.100000000000009</v>
      </c>
      <c r="BG10" s="54">
        <f t="shared" si="15"/>
        <v>151.90000000000003</v>
      </c>
      <c r="BH10" s="54">
        <f t="shared" si="15"/>
        <v>65.100000000000009</v>
      </c>
      <c r="BI10" s="62">
        <f t="shared" si="16"/>
        <v>-217.00000000000003</v>
      </c>
      <c r="BJ10" s="59">
        <f t="shared" si="17"/>
        <v>0</v>
      </c>
      <c r="BK10" s="59">
        <f t="shared" si="17"/>
        <v>-173.60000000000002</v>
      </c>
      <c r="BL10" s="59">
        <f t="shared" si="17"/>
        <v>-43.400000000000006</v>
      </c>
      <c r="BM10" s="59">
        <f t="shared" si="17"/>
        <v>0</v>
      </c>
      <c r="BN10" s="59">
        <f t="shared" si="17"/>
        <v>0</v>
      </c>
      <c r="BO10" s="59">
        <f t="shared" si="17"/>
        <v>0</v>
      </c>
      <c r="BP10" s="59">
        <f t="shared" si="17"/>
        <v>0</v>
      </c>
      <c r="BQ10" s="59">
        <f t="shared" si="17"/>
        <v>0</v>
      </c>
      <c r="BR10" s="59">
        <f t="shared" si="17"/>
        <v>0</v>
      </c>
      <c r="BS10" s="59">
        <f t="shared" si="17"/>
        <v>0</v>
      </c>
      <c r="BT10" s="59">
        <f t="shared" si="17"/>
        <v>0</v>
      </c>
      <c r="BU10" s="59">
        <f t="shared" si="17"/>
        <v>0</v>
      </c>
      <c r="BV10" s="67">
        <f t="shared" si="18"/>
        <v>890.92307692307713</v>
      </c>
      <c r="BX10" s="54">
        <f t="shared" si="19"/>
        <v>84.63</v>
      </c>
      <c r="BY10" s="54">
        <f t="shared" si="19"/>
        <v>84.63</v>
      </c>
      <c r="BZ10" s="54">
        <f t="shared" si="19"/>
        <v>84.63</v>
      </c>
      <c r="CA10" s="54">
        <f t="shared" si="19"/>
        <v>84.63</v>
      </c>
      <c r="CB10" s="54">
        <f t="shared" si="19"/>
        <v>84.63</v>
      </c>
      <c r="CC10" s="54">
        <f t="shared" si="19"/>
        <v>84.63</v>
      </c>
      <c r="CD10" s="54">
        <f t="shared" si="19"/>
        <v>84.63</v>
      </c>
      <c r="CE10" s="54">
        <f t="shared" si="19"/>
        <v>84.63</v>
      </c>
      <c r="CF10" s="54">
        <f t="shared" si="19"/>
        <v>84.63</v>
      </c>
      <c r="CG10" s="54">
        <f t="shared" si="19"/>
        <v>84.63</v>
      </c>
      <c r="CH10" s="54">
        <f t="shared" si="19"/>
        <v>197.47</v>
      </c>
      <c r="CI10" s="54">
        <f t="shared" si="19"/>
        <v>84.63</v>
      </c>
      <c r="CJ10" s="74">
        <f t="shared" ref="CJ10:CJ63" si="27">SUM(BX10:CI10)</f>
        <v>1128.4000000000001</v>
      </c>
      <c r="CK10" s="59">
        <f t="shared" si="26"/>
        <v>20</v>
      </c>
      <c r="CL10" s="9">
        <f t="shared" ref="CL10:CL73" si="28">+CM10-CJ10</f>
        <v>0</v>
      </c>
      <c r="CM10" s="71">
        <f t="shared" si="21"/>
        <v>1128.4000000000001</v>
      </c>
      <c r="CN10" s="72"/>
      <c r="CO10" s="73"/>
    </row>
    <row r="11" spans="1:94" ht="20.25" customHeight="1">
      <c r="A11" s="1" t="s">
        <v>53</v>
      </c>
      <c r="B11" s="1" t="s">
        <v>54</v>
      </c>
      <c r="C11" s="1" t="s">
        <v>55</v>
      </c>
      <c r="D11" s="58">
        <f>+VLOOKUP(A11,'[1]BDD-Avk Tx'!B:CE,82,0)</f>
        <v>120</v>
      </c>
      <c r="E11" s="59">
        <v>231.4</v>
      </c>
      <c r="G11" s="4">
        <v>41153</v>
      </c>
      <c r="H11" s="4">
        <f t="shared" si="10"/>
        <v>45647</v>
      </c>
      <c r="I11" s="60" t="str">
        <f>+VLOOKUP(A11,'[1]BDD-Avk Tx'!B:BZ,77,0)</f>
        <v>CDI</v>
      </c>
      <c r="J11" s="4">
        <f t="shared" si="11"/>
        <v>45647</v>
      </c>
      <c r="N11" s="3"/>
      <c r="P11" s="54">
        <f t="shared" si="22"/>
        <v>13.25</v>
      </c>
      <c r="Q11" s="61">
        <v>13</v>
      </c>
      <c r="R11" s="62">
        <f t="shared" si="23"/>
        <v>20</v>
      </c>
      <c r="S11" s="54">
        <f t="shared" si="24"/>
        <v>1.5</v>
      </c>
      <c r="T11" s="54">
        <f t="shared" si="12"/>
        <v>1.5</v>
      </c>
      <c r="U11" s="54">
        <f t="shared" si="12"/>
        <v>1.5</v>
      </c>
      <c r="V11" s="54">
        <f t="shared" si="12"/>
        <v>1.5</v>
      </c>
      <c r="W11" s="54">
        <f t="shared" si="12"/>
        <v>1.5</v>
      </c>
      <c r="X11" s="54">
        <f t="shared" si="12"/>
        <v>1.5</v>
      </c>
      <c r="Y11" s="54">
        <f t="shared" si="12"/>
        <v>1.5</v>
      </c>
      <c r="Z11" s="54">
        <f t="shared" si="12"/>
        <v>1.5</v>
      </c>
      <c r="AA11" s="54">
        <f t="shared" si="12"/>
        <v>1.5</v>
      </c>
      <c r="AB11" s="54">
        <f t="shared" si="12"/>
        <v>3.5</v>
      </c>
      <c r="AC11" s="54">
        <f t="shared" si="12"/>
        <v>1.5</v>
      </c>
      <c r="AD11" s="54">
        <f t="shared" si="12"/>
        <v>1.5</v>
      </c>
      <c r="AF11" s="62">
        <f t="shared" si="13"/>
        <v>14</v>
      </c>
      <c r="AG11" s="64">
        <v>0</v>
      </c>
      <c r="AH11" s="64">
        <v>0</v>
      </c>
      <c r="AI11" s="65">
        <v>14</v>
      </c>
      <c r="AJ11" s="66"/>
      <c r="AK11" s="64"/>
      <c r="AL11" s="64"/>
      <c r="AM11" s="64"/>
      <c r="AN11" s="64"/>
      <c r="AO11" s="64"/>
      <c r="AP11" s="64"/>
      <c r="AQ11" s="64"/>
      <c r="AR11" s="64"/>
      <c r="AS11" s="67">
        <f t="shared" si="14"/>
        <v>19</v>
      </c>
      <c r="AT11" s="68"/>
      <c r="AU11" s="69">
        <v>110.59230769230797</v>
      </c>
      <c r="AV11" s="62">
        <f t="shared" ref="AV11:AV64" si="29">SUM(AW11:BH11)</f>
        <v>177.99999999999997</v>
      </c>
      <c r="AW11" s="54">
        <f t="shared" si="25"/>
        <v>13.350000000000001</v>
      </c>
      <c r="AX11" s="54">
        <f t="shared" si="15"/>
        <v>13.350000000000001</v>
      </c>
      <c r="AY11" s="54">
        <f t="shared" si="15"/>
        <v>13.350000000000001</v>
      </c>
      <c r="AZ11" s="54">
        <f t="shared" si="15"/>
        <v>13.350000000000001</v>
      </c>
      <c r="BA11" s="54">
        <f t="shared" si="15"/>
        <v>13.350000000000001</v>
      </c>
      <c r="BB11" s="54">
        <f t="shared" si="15"/>
        <v>13.350000000000001</v>
      </c>
      <c r="BC11" s="54">
        <f t="shared" si="15"/>
        <v>13.350000000000001</v>
      </c>
      <c r="BD11" s="54">
        <f t="shared" si="15"/>
        <v>13.350000000000001</v>
      </c>
      <c r="BE11" s="54">
        <f t="shared" si="15"/>
        <v>13.350000000000001</v>
      </c>
      <c r="BF11" s="54">
        <f t="shared" si="15"/>
        <v>31.150000000000002</v>
      </c>
      <c r="BG11" s="54">
        <f t="shared" si="15"/>
        <v>13.350000000000001</v>
      </c>
      <c r="BH11" s="54">
        <f t="shared" si="15"/>
        <v>13.350000000000001</v>
      </c>
      <c r="BI11" s="62">
        <f t="shared" si="16"/>
        <v>-124.60000000000001</v>
      </c>
      <c r="BJ11" s="59">
        <f t="shared" si="17"/>
        <v>0</v>
      </c>
      <c r="BK11" s="59">
        <f t="shared" si="17"/>
        <v>0</v>
      </c>
      <c r="BL11" s="59">
        <f t="shared" si="17"/>
        <v>-124.60000000000001</v>
      </c>
      <c r="BM11" s="59">
        <f t="shared" si="17"/>
        <v>0</v>
      </c>
      <c r="BN11" s="59">
        <f t="shared" si="17"/>
        <v>0</v>
      </c>
      <c r="BO11" s="59">
        <f t="shared" si="17"/>
        <v>0</v>
      </c>
      <c r="BP11" s="59">
        <f t="shared" si="17"/>
        <v>0</v>
      </c>
      <c r="BQ11" s="59">
        <f t="shared" si="17"/>
        <v>0</v>
      </c>
      <c r="BR11" s="59">
        <f t="shared" si="17"/>
        <v>0</v>
      </c>
      <c r="BS11" s="59">
        <f t="shared" si="17"/>
        <v>0</v>
      </c>
      <c r="BT11" s="59">
        <f t="shared" si="17"/>
        <v>0</v>
      </c>
      <c r="BU11" s="59">
        <f t="shared" si="17"/>
        <v>0</v>
      </c>
      <c r="BV11" s="67">
        <f t="shared" si="18"/>
        <v>163.99230769230792</v>
      </c>
      <c r="BX11" s="54">
        <f t="shared" si="19"/>
        <v>17.355</v>
      </c>
      <c r="BY11" s="54">
        <f t="shared" si="19"/>
        <v>17.355</v>
      </c>
      <c r="BZ11" s="54">
        <f t="shared" si="19"/>
        <v>17.355</v>
      </c>
      <c r="CA11" s="54">
        <f t="shared" si="19"/>
        <v>17.355</v>
      </c>
      <c r="CB11" s="54">
        <f t="shared" si="19"/>
        <v>17.355</v>
      </c>
      <c r="CC11" s="54">
        <f t="shared" si="19"/>
        <v>17.355</v>
      </c>
      <c r="CD11" s="54">
        <f t="shared" si="19"/>
        <v>17.355</v>
      </c>
      <c r="CE11" s="54">
        <f t="shared" si="19"/>
        <v>17.355</v>
      </c>
      <c r="CF11" s="54">
        <f t="shared" si="19"/>
        <v>17.355</v>
      </c>
      <c r="CG11" s="54">
        <f t="shared" si="19"/>
        <v>40.495000000000005</v>
      </c>
      <c r="CH11" s="54">
        <f t="shared" si="19"/>
        <v>17.355</v>
      </c>
      <c r="CI11" s="54">
        <f t="shared" si="19"/>
        <v>17.355</v>
      </c>
      <c r="CJ11" s="74">
        <f t="shared" si="27"/>
        <v>231.39999999999998</v>
      </c>
      <c r="CK11" s="59">
        <f t="shared" si="26"/>
        <v>20</v>
      </c>
      <c r="CL11" s="9">
        <f t="shared" si="28"/>
        <v>0</v>
      </c>
      <c r="CM11" s="71">
        <f t="shared" si="21"/>
        <v>231.4</v>
      </c>
      <c r="CN11" s="54"/>
      <c r="CO11" s="73"/>
      <c r="CP11" s="56"/>
    </row>
    <row r="12" spans="1:94" ht="20.25" customHeight="1">
      <c r="A12" s="75" t="s">
        <v>56</v>
      </c>
      <c r="B12" s="1" t="s">
        <v>57</v>
      </c>
      <c r="C12" s="1" t="s">
        <v>58</v>
      </c>
      <c r="D12" s="58">
        <f>+VLOOKUP(A12,'[1]BDD-Avk Tx'!B:CE,82,0)</f>
        <v>120</v>
      </c>
      <c r="E12" s="59">
        <v>231.4</v>
      </c>
      <c r="G12" s="4">
        <v>41153</v>
      </c>
      <c r="H12" s="4">
        <f t="shared" si="10"/>
        <v>45647</v>
      </c>
      <c r="I12" s="60" t="str">
        <f>+VLOOKUP(A12,'[1]BDD-Avk Tx'!B:BZ,77,0)</f>
        <v>CDI</v>
      </c>
      <c r="J12" s="4">
        <f t="shared" si="11"/>
        <v>45647</v>
      </c>
      <c r="N12" s="3"/>
      <c r="P12" s="54">
        <f t="shared" si="22"/>
        <v>13.25</v>
      </c>
      <c r="Q12" s="61">
        <v>13</v>
      </c>
      <c r="R12" s="62">
        <f t="shared" si="23"/>
        <v>20</v>
      </c>
      <c r="S12" s="54">
        <f t="shared" si="24"/>
        <v>1.5</v>
      </c>
      <c r="T12" s="54">
        <f t="shared" si="12"/>
        <v>1.5</v>
      </c>
      <c r="U12" s="54">
        <f t="shared" si="12"/>
        <v>1.5</v>
      </c>
      <c r="V12" s="54">
        <f t="shared" si="12"/>
        <v>1.5</v>
      </c>
      <c r="W12" s="54">
        <f t="shared" si="12"/>
        <v>1.5</v>
      </c>
      <c r="X12" s="54">
        <f t="shared" si="12"/>
        <v>1.5</v>
      </c>
      <c r="Y12" s="54">
        <f t="shared" si="12"/>
        <v>1.5</v>
      </c>
      <c r="Z12" s="54">
        <f t="shared" si="12"/>
        <v>1.5</v>
      </c>
      <c r="AA12" s="54">
        <f t="shared" si="12"/>
        <v>1.5</v>
      </c>
      <c r="AB12" s="54">
        <f t="shared" si="12"/>
        <v>3.5</v>
      </c>
      <c r="AC12" s="54">
        <f t="shared" si="12"/>
        <v>1.5</v>
      </c>
      <c r="AD12" s="54">
        <f t="shared" si="12"/>
        <v>1.5</v>
      </c>
      <c r="AF12" s="62">
        <f t="shared" si="13"/>
        <v>7</v>
      </c>
      <c r="AG12" s="64">
        <v>7</v>
      </c>
      <c r="AH12" s="64">
        <v>0</v>
      </c>
      <c r="AI12" s="65">
        <v>0</v>
      </c>
      <c r="AJ12" s="66"/>
      <c r="AK12" s="64"/>
      <c r="AL12" s="64"/>
      <c r="AM12" s="64"/>
      <c r="AN12" s="64"/>
      <c r="AO12" s="64"/>
      <c r="AP12" s="64"/>
      <c r="AQ12" s="64"/>
      <c r="AR12" s="64"/>
      <c r="AS12" s="67">
        <f t="shared" si="14"/>
        <v>26</v>
      </c>
      <c r="AT12" s="68"/>
      <c r="AU12" s="69">
        <v>87.453846153845916</v>
      </c>
      <c r="AV12" s="62">
        <f t="shared" si="29"/>
        <v>177.99999999999997</v>
      </c>
      <c r="AW12" s="54">
        <f t="shared" si="25"/>
        <v>13.350000000000001</v>
      </c>
      <c r="AX12" s="54">
        <f t="shared" si="15"/>
        <v>13.350000000000001</v>
      </c>
      <c r="AY12" s="54">
        <f t="shared" si="15"/>
        <v>13.350000000000001</v>
      </c>
      <c r="AZ12" s="54">
        <f t="shared" si="15"/>
        <v>13.350000000000001</v>
      </c>
      <c r="BA12" s="54">
        <f t="shared" si="15"/>
        <v>13.350000000000001</v>
      </c>
      <c r="BB12" s="54">
        <f t="shared" si="15"/>
        <v>13.350000000000001</v>
      </c>
      <c r="BC12" s="54">
        <f t="shared" si="15"/>
        <v>13.350000000000001</v>
      </c>
      <c r="BD12" s="54">
        <f t="shared" si="15"/>
        <v>13.350000000000001</v>
      </c>
      <c r="BE12" s="54">
        <f t="shared" si="15"/>
        <v>13.350000000000001</v>
      </c>
      <c r="BF12" s="54">
        <f t="shared" si="15"/>
        <v>31.150000000000002</v>
      </c>
      <c r="BG12" s="54">
        <f t="shared" si="15"/>
        <v>13.350000000000001</v>
      </c>
      <c r="BH12" s="54">
        <f t="shared" si="15"/>
        <v>13.350000000000001</v>
      </c>
      <c r="BI12" s="62">
        <f t="shared" si="16"/>
        <v>-62.300000000000004</v>
      </c>
      <c r="BJ12" s="59">
        <f t="shared" si="17"/>
        <v>-62.300000000000004</v>
      </c>
      <c r="BK12" s="59">
        <f t="shared" si="17"/>
        <v>0</v>
      </c>
      <c r="BL12" s="59">
        <f t="shared" si="17"/>
        <v>0</v>
      </c>
      <c r="BM12" s="59">
        <f t="shared" si="17"/>
        <v>0</v>
      </c>
      <c r="BN12" s="59">
        <f t="shared" si="17"/>
        <v>0</v>
      </c>
      <c r="BO12" s="59">
        <f t="shared" si="17"/>
        <v>0</v>
      </c>
      <c r="BP12" s="59">
        <f t="shared" si="17"/>
        <v>0</v>
      </c>
      <c r="BQ12" s="59">
        <f t="shared" si="17"/>
        <v>0</v>
      </c>
      <c r="BR12" s="59">
        <f t="shared" si="17"/>
        <v>0</v>
      </c>
      <c r="BS12" s="59">
        <f t="shared" si="17"/>
        <v>0</v>
      </c>
      <c r="BT12" s="59">
        <f t="shared" si="17"/>
        <v>0</v>
      </c>
      <c r="BU12" s="59">
        <f t="shared" si="17"/>
        <v>0</v>
      </c>
      <c r="BV12" s="67">
        <f t="shared" si="18"/>
        <v>203.1538461538459</v>
      </c>
      <c r="BX12" s="54">
        <f t="shared" si="19"/>
        <v>17.355</v>
      </c>
      <c r="BY12" s="54">
        <f t="shared" si="19"/>
        <v>17.355</v>
      </c>
      <c r="BZ12" s="54">
        <f t="shared" si="19"/>
        <v>17.355</v>
      </c>
      <c r="CA12" s="54">
        <f t="shared" si="19"/>
        <v>17.355</v>
      </c>
      <c r="CB12" s="54">
        <f t="shared" si="19"/>
        <v>17.355</v>
      </c>
      <c r="CC12" s="54">
        <f t="shared" si="19"/>
        <v>17.355</v>
      </c>
      <c r="CD12" s="54">
        <f t="shared" si="19"/>
        <v>17.355</v>
      </c>
      <c r="CE12" s="54">
        <f t="shared" si="19"/>
        <v>17.355</v>
      </c>
      <c r="CF12" s="54">
        <f t="shared" si="19"/>
        <v>17.355</v>
      </c>
      <c r="CG12" s="54">
        <f t="shared" si="19"/>
        <v>40.495000000000005</v>
      </c>
      <c r="CH12" s="54">
        <f t="shared" si="19"/>
        <v>17.355</v>
      </c>
      <c r="CI12" s="54">
        <f t="shared" si="19"/>
        <v>17.355</v>
      </c>
      <c r="CJ12" s="74">
        <f t="shared" si="27"/>
        <v>231.39999999999998</v>
      </c>
      <c r="CK12" s="59">
        <f t="shared" si="26"/>
        <v>20</v>
      </c>
      <c r="CL12" s="9">
        <f t="shared" si="28"/>
        <v>0</v>
      </c>
      <c r="CM12" s="71">
        <f t="shared" si="21"/>
        <v>231.4</v>
      </c>
      <c r="CN12" s="72"/>
      <c r="CO12" s="73"/>
    </row>
    <row r="13" spans="1:94" ht="20.25" customHeight="1">
      <c r="A13" s="1" t="s">
        <v>59</v>
      </c>
      <c r="B13" s="1" t="s">
        <v>60</v>
      </c>
      <c r="C13" s="1" t="s">
        <v>61</v>
      </c>
      <c r="D13" s="58">
        <f>+VLOOKUP(A13,'[1]BDD-Avk Tx'!B:CE,82,0)</f>
        <v>120</v>
      </c>
      <c r="E13" s="59">
        <v>733.2</v>
      </c>
      <c r="G13" s="4">
        <v>41153</v>
      </c>
      <c r="H13" s="4">
        <f t="shared" si="10"/>
        <v>45647</v>
      </c>
      <c r="I13" s="60" t="str">
        <f>+VLOOKUP(A13,'[1]BDD-Avk Tx'!B:BZ,77,0)</f>
        <v>CDI</v>
      </c>
      <c r="J13" s="4">
        <f t="shared" si="11"/>
        <v>45647</v>
      </c>
      <c r="N13" s="3"/>
      <c r="P13" s="54">
        <f t="shared" si="22"/>
        <v>13.25</v>
      </c>
      <c r="Q13" s="61">
        <v>4</v>
      </c>
      <c r="R13" s="62">
        <f t="shared" si="23"/>
        <v>20</v>
      </c>
      <c r="S13" s="54">
        <f t="shared" si="24"/>
        <v>1.5</v>
      </c>
      <c r="T13" s="54">
        <f t="shared" si="12"/>
        <v>1.5</v>
      </c>
      <c r="U13" s="54">
        <f t="shared" si="12"/>
        <v>1.5</v>
      </c>
      <c r="V13" s="54">
        <f t="shared" si="12"/>
        <v>1.5</v>
      </c>
      <c r="W13" s="54">
        <f t="shared" si="12"/>
        <v>1.5</v>
      </c>
      <c r="X13" s="54">
        <f t="shared" si="12"/>
        <v>1.5</v>
      </c>
      <c r="Y13" s="54">
        <f t="shared" si="12"/>
        <v>1.5</v>
      </c>
      <c r="Z13" s="54">
        <f t="shared" si="12"/>
        <v>1.5</v>
      </c>
      <c r="AA13" s="54">
        <f t="shared" si="12"/>
        <v>1.5</v>
      </c>
      <c r="AB13" s="54">
        <f t="shared" si="12"/>
        <v>3.5</v>
      </c>
      <c r="AC13" s="54">
        <f t="shared" si="12"/>
        <v>1.5</v>
      </c>
      <c r="AD13" s="54">
        <f t="shared" si="12"/>
        <v>1.5</v>
      </c>
      <c r="AF13" s="62">
        <f t="shared" si="13"/>
        <v>0</v>
      </c>
      <c r="AG13" s="64">
        <v>0</v>
      </c>
      <c r="AH13" s="64">
        <v>0</v>
      </c>
      <c r="AI13" s="65">
        <v>0</v>
      </c>
      <c r="AJ13" s="66"/>
      <c r="AK13" s="64"/>
      <c r="AL13" s="64"/>
      <c r="AM13" s="64"/>
      <c r="AN13" s="64"/>
      <c r="AO13" s="64"/>
      <c r="AP13" s="64"/>
      <c r="AQ13" s="64"/>
      <c r="AR13" s="64"/>
      <c r="AS13" s="67">
        <f t="shared" si="14"/>
        <v>24</v>
      </c>
      <c r="AT13" s="68"/>
      <c r="AU13" s="69">
        <v>103.86153846153832</v>
      </c>
      <c r="AV13" s="62">
        <f t="shared" si="29"/>
        <v>564</v>
      </c>
      <c r="AW13" s="54">
        <f t="shared" si="25"/>
        <v>42.300000000000004</v>
      </c>
      <c r="AX13" s="54">
        <f t="shared" si="15"/>
        <v>42.300000000000004</v>
      </c>
      <c r="AY13" s="54">
        <f t="shared" si="15"/>
        <v>42.300000000000004</v>
      </c>
      <c r="AZ13" s="54">
        <f t="shared" si="15"/>
        <v>42.300000000000004</v>
      </c>
      <c r="BA13" s="54">
        <f t="shared" si="15"/>
        <v>42.300000000000004</v>
      </c>
      <c r="BB13" s="54">
        <f t="shared" si="15"/>
        <v>42.300000000000004</v>
      </c>
      <c r="BC13" s="54">
        <f t="shared" si="15"/>
        <v>42.300000000000004</v>
      </c>
      <c r="BD13" s="54">
        <f t="shared" si="15"/>
        <v>42.300000000000004</v>
      </c>
      <c r="BE13" s="54">
        <f t="shared" si="15"/>
        <v>42.300000000000004</v>
      </c>
      <c r="BF13" s="54">
        <f t="shared" si="15"/>
        <v>98.700000000000017</v>
      </c>
      <c r="BG13" s="54">
        <f t="shared" si="15"/>
        <v>42.300000000000004</v>
      </c>
      <c r="BH13" s="54">
        <f t="shared" si="15"/>
        <v>42.300000000000004</v>
      </c>
      <c r="BI13" s="62">
        <f t="shared" si="16"/>
        <v>0</v>
      </c>
      <c r="BJ13" s="59">
        <f t="shared" si="17"/>
        <v>0</v>
      </c>
      <c r="BK13" s="59">
        <f t="shared" si="17"/>
        <v>0</v>
      </c>
      <c r="BL13" s="59">
        <f t="shared" si="17"/>
        <v>0</v>
      </c>
      <c r="BM13" s="59">
        <f t="shared" si="17"/>
        <v>0</v>
      </c>
      <c r="BN13" s="59">
        <f t="shared" si="17"/>
        <v>0</v>
      </c>
      <c r="BO13" s="59">
        <f t="shared" si="17"/>
        <v>0</v>
      </c>
      <c r="BP13" s="59">
        <f t="shared" si="17"/>
        <v>0</v>
      </c>
      <c r="BQ13" s="59">
        <f t="shared" si="17"/>
        <v>0</v>
      </c>
      <c r="BR13" s="59">
        <f t="shared" si="17"/>
        <v>0</v>
      </c>
      <c r="BS13" s="59">
        <f t="shared" si="17"/>
        <v>0</v>
      </c>
      <c r="BT13" s="59">
        <f t="shared" si="17"/>
        <v>0</v>
      </c>
      <c r="BU13" s="59">
        <f t="shared" si="17"/>
        <v>0</v>
      </c>
      <c r="BV13" s="67">
        <f t="shared" si="18"/>
        <v>667.86153846153832</v>
      </c>
      <c r="BX13" s="54">
        <f t="shared" si="19"/>
        <v>54.990000000000009</v>
      </c>
      <c r="BY13" s="54">
        <f t="shared" si="19"/>
        <v>54.990000000000009</v>
      </c>
      <c r="BZ13" s="54">
        <f t="shared" si="19"/>
        <v>54.990000000000009</v>
      </c>
      <c r="CA13" s="54">
        <f t="shared" si="19"/>
        <v>54.990000000000009</v>
      </c>
      <c r="CB13" s="54">
        <f t="shared" si="19"/>
        <v>54.990000000000009</v>
      </c>
      <c r="CC13" s="54">
        <f t="shared" si="19"/>
        <v>54.990000000000009</v>
      </c>
      <c r="CD13" s="54">
        <f t="shared" si="19"/>
        <v>54.990000000000009</v>
      </c>
      <c r="CE13" s="54">
        <f t="shared" si="19"/>
        <v>54.990000000000009</v>
      </c>
      <c r="CF13" s="54">
        <f t="shared" si="19"/>
        <v>54.990000000000009</v>
      </c>
      <c r="CG13" s="54">
        <f t="shared" si="19"/>
        <v>128.31</v>
      </c>
      <c r="CH13" s="54">
        <f t="shared" si="19"/>
        <v>54.990000000000009</v>
      </c>
      <c r="CI13" s="54">
        <f t="shared" si="19"/>
        <v>54.990000000000009</v>
      </c>
      <c r="CJ13" s="74">
        <f t="shared" si="27"/>
        <v>733.2</v>
      </c>
      <c r="CK13" s="59">
        <f t="shared" si="26"/>
        <v>20</v>
      </c>
      <c r="CL13" s="9">
        <f t="shared" si="28"/>
        <v>0</v>
      </c>
      <c r="CM13" s="71">
        <f t="shared" si="21"/>
        <v>733.2</v>
      </c>
      <c r="CN13" s="54"/>
      <c r="CO13" s="73"/>
      <c r="CP13" s="56"/>
    </row>
    <row r="14" spans="1:94" ht="20.25" customHeight="1">
      <c r="A14" s="75" t="s">
        <v>62</v>
      </c>
      <c r="B14" s="1" t="s">
        <v>63</v>
      </c>
      <c r="C14" s="1" t="s">
        <v>64</v>
      </c>
      <c r="D14" s="58">
        <f>+VLOOKUP(A14,'[1]BDD-Avk Tx'!B:CE,82,0)</f>
        <v>120</v>
      </c>
      <c r="E14" s="59">
        <v>356.2</v>
      </c>
      <c r="G14" s="4">
        <v>41153</v>
      </c>
      <c r="H14" s="4">
        <f t="shared" si="10"/>
        <v>45647</v>
      </c>
      <c r="I14" s="60" t="str">
        <f>+VLOOKUP(A14,'[1]BDD-Avk Tx'!B:BZ,77,0)</f>
        <v>CDI</v>
      </c>
      <c r="J14" s="4">
        <f t="shared" si="11"/>
        <v>45647</v>
      </c>
      <c r="N14" s="3"/>
      <c r="P14" s="54">
        <f t="shared" si="22"/>
        <v>13.25</v>
      </c>
      <c r="Q14" s="61">
        <v>3</v>
      </c>
      <c r="R14" s="62">
        <f t="shared" si="23"/>
        <v>20</v>
      </c>
      <c r="S14" s="54">
        <f t="shared" si="24"/>
        <v>1.5</v>
      </c>
      <c r="T14" s="54">
        <f t="shared" si="12"/>
        <v>1.5</v>
      </c>
      <c r="U14" s="54">
        <f t="shared" si="12"/>
        <v>1.5</v>
      </c>
      <c r="V14" s="54">
        <f t="shared" si="12"/>
        <v>1.5</v>
      </c>
      <c r="W14" s="54">
        <f t="shared" si="12"/>
        <v>1.5</v>
      </c>
      <c r="X14" s="54">
        <f t="shared" si="12"/>
        <v>1.5</v>
      </c>
      <c r="Y14" s="54">
        <f t="shared" si="12"/>
        <v>1.5</v>
      </c>
      <c r="Z14" s="54">
        <f t="shared" si="12"/>
        <v>1.5</v>
      </c>
      <c r="AA14" s="54">
        <f t="shared" si="12"/>
        <v>1.5</v>
      </c>
      <c r="AB14" s="54">
        <f t="shared" si="12"/>
        <v>3.5</v>
      </c>
      <c r="AC14" s="54">
        <f t="shared" si="12"/>
        <v>1.5</v>
      </c>
      <c r="AD14" s="54">
        <f t="shared" si="12"/>
        <v>1.5</v>
      </c>
      <c r="AF14" s="62">
        <f t="shared" si="13"/>
        <v>0</v>
      </c>
      <c r="AG14" s="64">
        <v>0</v>
      </c>
      <c r="AH14" s="64">
        <v>0</v>
      </c>
      <c r="AI14" s="65">
        <v>0</v>
      </c>
      <c r="AJ14" s="66"/>
      <c r="AK14" s="64"/>
      <c r="AL14" s="64"/>
      <c r="AM14" s="64"/>
      <c r="AN14" s="64"/>
      <c r="AO14" s="64"/>
      <c r="AP14" s="64"/>
      <c r="AQ14" s="64"/>
      <c r="AR14" s="64"/>
      <c r="AS14" s="67">
        <f t="shared" si="14"/>
        <v>23</v>
      </c>
      <c r="AT14" s="68"/>
      <c r="AU14" s="69">
        <v>32.700000000000102</v>
      </c>
      <c r="AV14" s="62">
        <f t="shared" si="29"/>
        <v>274</v>
      </c>
      <c r="AW14" s="54">
        <f t="shared" si="25"/>
        <v>20.549999999999997</v>
      </c>
      <c r="AX14" s="54">
        <f t="shared" si="15"/>
        <v>20.549999999999997</v>
      </c>
      <c r="AY14" s="54">
        <f t="shared" si="15"/>
        <v>20.549999999999997</v>
      </c>
      <c r="AZ14" s="54">
        <f t="shared" si="15"/>
        <v>20.549999999999997</v>
      </c>
      <c r="BA14" s="54">
        <f t="shared" si="15"/>
        <v>20.549999999999997</v>
      </c>
      <c r="BB14" s="54">
        <f t="shared" si="15"/>
        <v>20.549999999999997</v>
      </c>
      <c r="BC14" s="54">
        <f t="shared" si="15"/>
        <v>20.549999999999997</v>
      </c>
      <c r="BD14" s="54">
        <f t="shared" si="15"/>
        <v>20.549999999999997</v>
      </c>
      <c r="BE14" s="54">
        <f t="shared" si="15"/>
        <v>20.549999999999997</v>
      </c>
      <c r="BF14" s="54">
        <f t="shared" si="15"/>
        <v>47.949999999999996</v>
      </c>
      <c r="BG14" s="54">
        <f t="shared" si="15"/>
        <v>20.549999999999997</v>
      </c>
      <c r="BH14" s="54">
        <f t="shared" si="15"/>
        <v>20.549999999999997</v>
      </c>
      <c r="BI14" s="62">
        <f t="shared" si="16"/>
        <v>0</v>
      </c>
      <c r="BJ14" s="59">
        <f t="shared" si="17"/>
        <v>0</v>
      </c>
      <c r="BK14" s="59">
        <f t="shared" si="17"/>
        <v>0</v>
      </c>
      <c r="BL14" s="59">
        <f t="shared" si="17"/>
        <v>0</v>
      </c>
      <c r="BM14" s="59">
        <f t="shared" si="17"/>
        <v>0</v>
      </c>
      <c r="BN14" s="59">
        <f t="shared" si="17"/>
        <v>0</v>
      </c>
      <c r="BO14" s="59">
        <f t="shared" si="17"/>
        <v>0</v>
      </c>
      <c r="BP14" s="59">
        <f t="shared" si="17"/>
        <v>0</v>
      </c>
      <c r="BQ14" s="59">
        <f t="shared" si="17"/>
        <v>0</v>
      </c>
      <c r="BR14" s="59">
        <f t="shared" si="17"/>
        <v>0</v>
      </c>
      <c r="BS14" s="59">
        <f t="shared" si="17"/>
        <v>0</v>
      </c>
      <c r="BT14" s="59">
        <f t="shared" si="17"/>
        <v>0</v>
      </c>
      <c r="BU14" s="59">
        <f t="shared" si="17"/>
        <v>0</v>
      </c>
      <c r="BV14" s="67">
        <f t="shared" si="18"/>
        <v>306.7000000000001</v>
      </c>
      <c r="BX14" s="54">
        <f t="shared" si="19"/>
        <v>26.714999999999996</v>
      </c>
      <c r="BY14" s="54">
        <f t="shared" si="19"/>
        <v>26.714999999999996</v>
      </c>
      <c r="BZ14" s="54">
        <f t="shared" si="19"/>
        <v>26.714999999999996</v>
      </c>
      <c r="CA14" s="54">
        <f t="shared" si="19"/>
        <v>26.714999999999996</v>
      </c>
      <c r="CB14" s="54">
        <f t="shared" si="19"/>
        <v>26.714999999999996</v>
      </c>
      <c r="CC14" s="54">
        <f t="shared" si="19"/>
        <v>26.714999999999996</v>
      </c>
      <c r="CD14" s="54">
        <f t="shared" si="19"/>
        <v>26.714999999999996</v>
      </c>
      <c r="CE14" s="54">
        <f t="shared" si="19"/>
        <v>26.714999999999996</v>
      </c>
      <c r="CF14" s="54">
        <f t="shared" si="19"/>
        <v>26.714999999999996</v>
      </c>
      <c r="CG14" s="54">
        <f t="shared" si="19"/>
        <v>62.334999999999994</v>
      </c>
      <c r="CH14" s="54">
        <f t="shared" si="19"/>
        <v>26.714999999999996</v>
      </c>
      <c r="CI14" s="54">
        <f t="shared" si="19"/>
        <v>26.714999999999996</v>
      </c>
      <c r="CJ14" s="74">
        <f t="shared" si="27"/>
        <v>356.19999999999993</v>
      </c>
      <c r="CK14" s="59">
        <f t="shared" si="26"/>
        <v>20</v>
      </c>
      <c r="CL14" s="9">
        <f t="shared" si="28"/>
        <v>0</v>
      </c>
      <c r="CM14" s="71">
        <f t="shared" si="21"/>
        <v>356.2</v>
      </c>
      <c r="CN14" s="72"/>
      <c r="CO14" s="73"/>
    </row>
    <row r="15" spans="1:94" ht="20.25" customHeight="1">
      <c r="A15" s="75" t="s">
        <v>65</v>
      </c>
      <c r="B15" s="1" t="s">
        <v>66</v>
      </c>
      <c r="C15" s="1" t="s">
        <v>67</v>
      </c>
      <c r="D15" s="58">
        <f>+VLOOKUP(A15,'[1]BDD-Avk Tx'!B:CE,82,0)</f>
        <v>120</v>
      </c>
      <c r="E15" s="59">
        <v>200.2</v>
      </c>
      <c r="G15" s="4">
        <v>41153</v>
      </c>
      <c r="H15" s="4">
        <f t="shared" si="10"/>
        <v>45647</v>
      </c>
      <c r="I15" s="60" t="str">
        <f>+VLOOKUP(A15,'[1]BDD-Avk Tx'!B:BZ,77,0)</f>
        <v>CDI</v>
      </c>
      <c r="J15" s="4">
        <f t="shared" si="11"/>
        <v>45647</v>
      </c>
      <c r="N15" s="3"/>
      <c r="P15" s="54">
        <f t="shared" si="22"/>
        <v>13.25</v>
      </c>
      <c r="Q15" s="61">
        <v>2</v>
      </c>
      <c r="R15" s="62">
        <f t="shared" si="23"/>
        <v>20</v>
      </c>
      <c r="S15" s="54">
        <f t="shared" si="24"/>
        <v>1.5</v>
      </c>
      <c r="T15" s="54">
        <f t="shared" si="12"/>
        <v>1.5</v>
      </c>
      <c r="U15" s="54">
        <f t="shared" si="12"/>
        <v>1.5</v>
      </c>
      <c r="V15" s="54">
        <f t="shared" si="12"/>
        <v>1.5</v>
      </c>
      <c r="W15" s="54">
        <f t="shared" si="12"/>
        <v>1.5</v>
      </c>
      <c r="X15" s="54">
        <f t="shared" si="12"/>
        <v>1.5</v>
      </c>
      <c r="Y15" s="54">
        <f t="shared" si="12"/>
        <v>1.5</v>
      </c>
      <c r="Z15" s="54">
        <f t="shared" si="12"/>
        <v>1.5</v>
      </c>
      <c r="AA15" s="54">
        <f t="shared" si="12"/>
        <v>1.5</v>
      </c>
      <c r="AB15" s="54">
        <f t="shared" si="12"/>
        <v>3.5</v>
      </c>
      <c r="AC15" s="54">
        <f t="shared" si="12"/>
        <v>1.5</v>
      </c>
      <c r="AD15" s="54">
        <f t="shared" si="12"/>
        <v>1.5</v>
      </c>
      <c r="AF15" s="62">
        <f t="shared" si="13"/>
        <v>0</v>
      </c>
      <c r="AG15" s="64">
        <v>0</v>
      </c>
      <c r="AH15" s="64">
        <v>0</v>
      </c>
      <c r="AI15" s="65">
        <v>0</v>
      </c>
      <c r="AJ15" s="66"/>
      <c r="AK15" s="64"/>
      <c r="AL15" s="64"/>
      <c r="AM15" s="64"/>
      <c r="AN15" s="64"/>
      <c r="AO15" s="64"/>
      <c r="AP15" s="64"/>
      <c r="AQ15" s="64"/>
      <c r="AR15" s="64"/>
      <c r="AS15" s="67">
        <f t="shared" si="14"/>
        <v>22</v>
      </c>
      <c r="AT15" s="68"/>
      <c r="AU15" s="69">
        <v>20.138461538461627</v>
      </c>
      <c r="AV15" s="62">
        <f t="shared" si="29"/>
        <v>154</v>
      </c>
      <c r="AW15" s="54">
        <f t="shared" si="25"/>
        <v>11.549999999999999</v>
      </c>
      <c r="AX15" s="54">
        <f t="shared" si="15"/>
        <v>11.549999999999999</v>
      </c>
      <c r="AY15" s="54">
        <f t="shared" si="15"/>
        <v>11.549999999999999</v>
      </c>
      <c r="AZ15" s="54">
        <f t="shared" si="15"/>
        <v>11.549999999999999</v>
      </c>
      <c r="BA15" s="54">
        <f t="shared" si="15"/>
        <v>11.549999999999999</v>
      </c>
      <c r="BB15" s="54">
        <f t="shared" si="15"/>
        <v>11.549999999999999</v>
      </c>
      <c r="BC15" s="54">
        <f t="shared" si="15"/>
        <v>11.549999999999999</v>
      </c>
      <c r="BD15" s="54">
        <f t="shared" si="15"/>
        <v>11.549999999999999</v>
      </c>
      <c r="BE15" s="54">
        <f t="shared" si="15"/>
        <v>11.549999999999999</v>
      </c>
      <c r="BF15" s="54">
        <f t="shared" si="15"/>
        <v>26.949999999999996</v>
      </c>
      <c r="BG15" s="54">
        <f t="shared" si="15"/>
        <v>11.549999999999999</v>
      </c>
      <c r="BH15" s="54">
        <f t="shared" si="15"/>
        <v>11.549999999999999</v>
      </c>
      <c r="BI15" s="62">
        <f t="shared" si="16"/>
        <v>0</v>
      </c>
      <c r="BJ15" s="59">
        <f t="shared" si="17"/>
        <v>0</v>
      </c>
      <c r="BK15" s="59">
        <f t="shared" si="17"/>
        <v>0</v>
      </c>
      <c r="BL15" s="59">
        <f t="shared" si="17"/>
        <v>0</v>
      </c>
      <c r="BM15" s="59">
        <f t="shared" si="17"/>
        <v>0</v>
      </c>
      <c r="BN15" s="59">
        <f t="shared" si="17"/>
        <v>0</v>
      </c>
      <c r="BO15" s="59">
        <f t="shared" si="17"/>
        <v>0</v>
      </c>
      <c r="BP15" s="59">
        <f t="shared" si="17"/>
        <v>0</v>
      </c>
      <c r="BQ15" s="59">
        <f t="shared" si="17"/>
        <v>0</v>
      </c>
      <c r="BR15" s="59">
        <f t="shared" si="17"/>
        <v>0</v>
      </c>
      <c r="BS15" s="59">
        <f t="shared" si="17"/>
        <v>0</v>
      </c>
      <c r="BT15" s="59">
        <f t="shared" si="17"/>
        <v>0</v>
      </c>
      <c r="BU15" s="59">
        <f t="shared" si="17"/>
        <v>0</v>
      </c>
      <c r="BV15" s="67">
        <f t="shared" si="18"/>
        <v>174.13846153846163</v>
      </c>
      <c r="BX15" s="54">
        <f t="shared" si="19"/>
        <v>15.015000000000001</v>
      </c>
      <c r="BY15" s="54">
        <f t="shared" si="19"/>
        <v>15.015000000000001</v>
      </c>
      <c r="BZ15" s="54">
        <f t="shared" si="19"/>
        <v>15.015000000000001</v>
      </c>
      <c r="CA15" s="54">
        <f t="shared" si="19"/>
        <v>15.015000000000001</v>
      </c>
      <c r="CB15" s="54">
        <f t="shared" si="19"/>
        <v>15.015000000000001</v>
      </c>
      <c r="CC15" s="54">
        <f t="shared" si="19"/>
        <v>15.015000000000001</v>
      </c>
      <c r="CD15" s="54">
        <f t="shared" si="19"/>
        <v>15.015000000000001</v>
      </c>
      <c r="CE15" s="54">
        <f t="shared" si="19"/>
        <v>15.015000000000001</v>
      </c>
      <c r="CF15" s="54">
        <f t="shared" si="19"/>
        <v>15.015000000000001</v>
      </c>
      <c r="CG15" s="54">
        <f t="shared" si="19"/>
        <v>35.034999999999997</v>
      </c>
      <c r="CH15" s="54">
        <f t="shared" si="19"/>
        <v>15.015000000000001</v>
      </c>
      <c r="CI15" s="54">
        <f t="shared" si="19"/>
        <v>15.015000000000001</v>
      </c>
      <c r="CJ15" s="74">
        <f t="shared" si="27"/>
        <v>200.2</v>
      </c>
      <c r="CK15" s="59">
        <f t="shared" si="26"/>
        <v>20</v>
      </c>
      <c r="CL15" s="9">
        <f t="shared" si="28"/>
        <v>0</v>
      </c>
      <c r="CM15" s="71">
        <f t="shared" si="21"/>
        <v>200.2</v>
      </c>
      <c r="CN15" s="72"/>
      <c r="CO15" s="73"/>
    </row>
    <row r="16" spans="1:94" ht="20.25" customHeight="1">
      <c r="A16" s="75" t="s">
        <v>68</v>
      </c>
      <c r="B16" s="1" t="s">
        <v>69</v>
      </c>
      <c r="C16" s="1" t="s">
        <v>70</v>
      </c>
      <c r="D16" s="58">
        <f>+VLOOKUP(A16,'[1]BDD-Avk Tx'!B:CE,82,0)</f>
        <v>420</v>
      </c>
      <c r="E16" s="59">
        <v>231.4</v>
      </c>
      <c r="G16" s="4">
        <v>41800</v>
      </c>
      <c r="H16" s="4">
        <f t="shared" si="10"/>
        <v>45647</v>
      </c>
      <c r="I16" s="60" t="str">
        <f>+VLOOKUP(A16,'[1]BDD-Avk Tx'!B:BZ,77,0)</f>
        <v>CDI</v>
      </c>
      <c r="J16" s="4">
        <f t="shared" si="11"/>
        <v>45647</v>
      </c>
      <c r="N16" s="3"/>
      <c r="P16" s="54">
        <f t="shared" si="22"/>
        <v>11.5</v>
      </c>
      <c r="Q16" s="61">
        <v>4</v>
      </c>
      <c r="R16" s="62">
        <f t="shared" si="23"/>
        <v>20</v>
      </c>
      <c r="S16" s="54">
        <f t="shared" si="24"/>
        <v>1.5</v>
      </c>
      <c r="T16" s="54">
        <f t="shared" si="12"/>
        <v>1.5</v>
      </c>
      <c r="U16" s="54">
        <f t="shared" si="12"/>
        <v>1.5</v>
      </c>
      <c r="V16" s="54">
        <f t="shared" si="12"/>
        <v>1.5</v>
      </c>
      <c r="W16" s="54">
        <f t="shared" si="12"/>
        <v>1.5</v>
      </c>
      <c r="X16" s="54">
        <f t="shared" si="12"/>
        <v>1.5</v>
      </c>
      <c r="Y16" s="54">
        <f t="shared" si="12"/>
        <v>3.5</v>
      </c>
      <c r="Z16" s="54">
        <f t="shared" si="12"/>
        <v>1.5</v>
      </c>
      <c r="AA16" s="54">
        <f t="shared" si="12"/>
        <v>1.5</v>
      </c>
      <c r="AB16" s="54">
        <f t="shared" si="12"/>
        <v>1.5</v>
      </c>
      <c r="AC16" s="54">
        <f t="shared" si="12"/>
        <v>1.5</v>
      </c>
      <c r="AD16" s="54">
        <f t="shared" si="12"/>
        <v>1.5</v>
      </c>
      <c r="AF16" s="62">
        <f t="shared" si="13"/>
        <v>0</v>
      </c>
      <c r="AG16" s="64">
        <v>0</v>
      </c>
      <c r="AH16" s="64">
        <v>0</v>
      </c>
      <c r="AI16" s="65">
        <v>0</v>
      </c>
      <c r="AJ16" s="66"/>
      <c r="AK16" s="64"/>
      <c r="AL16" s="64"/>
      <c r="AM16" s="64"/>
      <c r="AN16" s="64"/>
      <c r="AO16" s="64"/>
      <c r="AP16" s="64"/>
      <c r="AQ16" s="64"/>
      <c r="AR16" s="64"/>
      <c r="AS16" s="67">
        <f t="shared" si="14"/>
        <v>24</v>
      </c>
      <c r="AT16" s="68"/>
      <c r="AU16" s="69">
        <v>27.72307692307686</v>
      </c>
      <c r="AV16" s="62">
        <f t="shared" si="29"/>
        <v>177.99999999999997</v>
      </c>
      <c r="AW16" s="54">
        <f t="shared" si="25"/>
        <v>13.350000000000001</v>
      </c>
      <c r="AX16" s="54">
        <f t="shared" si="15"/>
        <v>13.350000000000001</v>
      </c>
      <c r="AY16" s="54">
        <f t="shared" si="15"/>
        <v>13.350000000000001</v>
      </c>
      <c r="AZ16" s="54">
        <f t="shared" si="15"/>
        <v>13.350000000000001</v>
      </c>
      <c r="BA16" s="54">
        <f t="shared" si="15"/>
        <v>13.350000000000001</v>
      </c>
      <c r="BB16" s="54">
        <f t="shared" si="15"/>
        <v>13.350000000000001</v>
      </c>
      <c r="BC16" s="54">
        <f t="shared" si="15"/>
        <v>31.150000000000002</v>
      </c>
      <c r="BD16" s="54">
        <f t="shared" si="15"/>
        <v>13.350000000000001</v>
      </c>
      <c r="BE16" s="54">
        <f t="shared" si="15"/>
        <v>13.350000000000001</v>
      </c>
      <c r="BF16" s="54">
        <f t="shared" si="15"/>
        <v>13.350000000000001</v>
      </c>
      <c r="BG16" s="54">
        <f t="shared" si="15"/>
        <v>13.350000000000001</v>
      </c>
      <c r="BH16" s="54">
        <f t="shared" si="15"/>
        <v>13.350000000000001</v>
      </c>
      <c r="BI16" s="62">
        <f t="shared" si="16"/>
        <v>0</v>
      </c>
      <c r="BJ16" s="59">
        <f t="shared" si="17"/>
        <v>0</v>
      </c>
      <c r="BK16" s="59">
        <f t="shared" si="17"/>
        <v>0</v>
      </c>
      <c r="BL16" s="59">
        <f t="shared" si="17"/>
        <v>0</v>
      </c>
      <c r="BM16" s="59">
        <f t="shared" si="17"/>
        <v>0</v>
      </c>
      <c r="BN16" s="59">
        <f t="shared" si="17"/>
        <v>0</v>
      </c>
      <c r="BO16" s="59">
        <f t="shared" si="17"/>
        <v>0</v>
      </c>
      <c r="BP16" s="59">
        <f t="shared" si="17"/>
        <v>0</v>
      </c>
      <c r="BQ16" s="59">
        <f t="shared" si="17"/>
        <v>0</v>
      </c>
      <c r="BR16" s="59">
        <f t="shared" si="17"/>
        <v>0</v>
      </c>
      <c r="BS16" s="59">
        <f t="shared" si="17"/>
        <v>0</v>
      </c>
      <c r="BT16" s="59">
        <f t="shared" si="17"/>
        <v>0</v>
      </c>
      <c r="BU16" s="59">
        <f t="shared" si="17"/>
        <v>0</v>
      </c>
      <c r="BV16" s="67">
        <f t="shared" si="18"/>
        <v>205.72307692307683</v>
      </c>
      <c r="BX16" s="54">
        <f t="shared" si="19"/>
        <v>17.355</v>
      </c>
      <c r="BY16" s="54">
        <f t="shared" si="19"/>
        <v>17.355</v>
      </c>
      <c r="BZ16" s="54">
        <f t="shared" si="19"/>
        <v>17.355</v>
      </c>
      <c r="CA16" s="54">
        <f t="shared" si="19"/>
        <v>17.355</v>
      </c>
      <c r="CB16" s="54">
        <f t="shared" si="19"/>
        <v>17.355</v>
      </c>
      <c r="CC16" s="54">
        <f t="shared" si="19"/>
        <v>17.355</v>
      </c>
      <c r="CD16" s="54">
        <f t="shared" si="19"/>
        <v>40.495000000000005</v>
      </c>
      <c r="CE16" s="54">
        <f t="shared" si="19"/>
        <v>17.355</v>
      </c>
      <c r="CF16" s="54">
        <f t="shared" si="19"/>
        <v>17.355</v>
      </c>
      <c r="CG16" s="54">
        <f t="shared" si="19"/>
        <v>17.355</v>
      </c>
      <c r="CH16" s="54">
        <f t="shared" si="19"/>
        <v>17.355</v>
      </c>
      <c r="CI16" s="54">
        <f t="shared" si="19"/>
        <v>17.355</v>
      </c>
      <c r="CJ16" s="74">
        <f t="shared" si="27"/>
        <v>231.39999999999995</v>
      </c>
      <c r="CK16" s="59">
        <f t="shared" si="26"/>
        <v>20</v>
      </c>
      <c r="CL16" s="9">
        <f t="shared" si="28"/>
        <v>0</v>
      </c>
      <c r="CM16" s="71">
        <f t="shared" si="21"/>
        <v>231.4</v>
      </c>
      <c r="CN16" s="54"/>
      <c r="CO16" s="73"/>
      <c r="CP16" s="56"/>
    </row>
    <row r="17" spans="1:94" ht="20.25" customHeight="1">
      <c r="A17" s="1" t="s">
        <v>71</v>
      </c>
      <c r="B17" s="1" t="s">
        <v>72</v>
      </c>
      <c r="C17" s="1" t="s">
        <v>73</v>
      </c>
      <c r="D17" s="58">
        <f>+VLOOKUP(A17,'[1]BDD-Avk Tx'!B:CE,82,0)</f>
        <v>460</v>
      </c>
      <c r="E17" s="59">
        <v>1128.4000000000001</v>
      </c>
      <c r="G17" s="4">
        <v>41153</v>
      </c>
      <c r="H17" s="4">
        <f t="shared" si="10"/>
        <v>45647</v>
      </c>
      <c r="I17" s="60" t="str">
        <f>+VLOOKUP(A17,'[1]BDD-Avk Tx'!B:BZ,77,0)</f>
        <v>CDI</v>
      </c>
      <c r="J17" s="4">
        <f t="shared" si="11"/>
        <v>45647</v>
      </c>
      <c r="N17" s="3"/>
      <c r="P17" s="54">
        <f t="shared" si="22"/>
        <v>13.25</v>
      </c>
      <c r="Q17" s="61">
        <v>5.5</v>
      </c>
      <c r="R17" s="62">
        <f t="shared" si="23"/>
        <v>20</v>
      </c>
      <c r="S17" s="54">
        <f t="shared" si="24"/>
        <v>1.5</v>
      </c>
      <c r="T17" s="54">
        <f t="shared" si="12"/>
        <v>1.5</v>
      </c>
      <c r="U17" s="54">
        <f t="shared" si="12"/>
        <v>1.5</v>
      </c>
      <c r="V17" s="54">
        <f t="shared" si="12"/>
        <v>1.5</v>
      </c>
      <c r="W17" s="54">
        <f t="shared" si="12"/>
        <v>1.5</v>
      </c>
      <c r="X17" s="54">
        <f t="shared" si="12"/>
        <v>1.5</v>
      </c>
      <c r="Y17" s="54">
        <f t="shared" si="12"/>
        <v>1.5</v>
      </c>
      <c r="Z17" s="54">
        <f t="shared" si="12"/>
        <v>1.5</v>
      </c>
      <c r="AA17" s="54">
        <f t="shared" si="12"/>
        <v>1.5</v>
      </c>
      <c r="AB17" s="54">
        <f t="shared" si="12"/>
        <v>3.5</v>
      </c>
      <c r="AC17" s="54">
        <f t="shared" si="12"/>
        <v>1.5</v>
      </c>
      <c r="AD17" s="54">
        <f t="shared" si="12"/>
        <v>1.5</v>
      </c>
      <c r="AF17" s="62">
        <f t="shared" si="13"/>
        <v>0</v>
      </c>
      <c r="AG17" s="64">
        <v>0</v>
      </c>
      <c r="AH17" s="64">
        <v>0</v>
      </c>
      <c r="AI17" s="65">
        <v>0</v>
      </c>
      <c r="AJ17" s="66"/>
      <c r="AK17" s="64"/>
      <c r="AL17" s="64"/>
      <c r="AM17" s="64"/>
      <c r="AN17" s="64"/>
      <c r="AO17" s="64"/>
      <c r="AP17" s="64"/>
      <c r="AQ17" s="64"/>
      <c r="AR17" s="64"/>
      <c r="AS17" s="67">
        <f t="shared" si="14"/>
        <v>25.5</v>
      </c>
      <c r="AT17" s="68"/>
      <c r="AU17" s="69">
        <v>225.59461538462006</v>
      </c>
      <c r="AV17" s="62">
        <f t="shared" si="29"/>
        <v>868.00000000000023</v>
      </c>
      <c r="AW17" s="54">
        <f t="shared" si="25"/>
        <v>65.100000000000009</v>
      </c>
      <c r="AX17" s="54">
        <f t="shared" si="15"/>
        <v>65.100000000000009</v>
      </c>
      <c r="AY17" s="54">
        <f t="shared" si="15"/>
        <v>65.100000000000009</v>
      </c>
      <c r="AZ17" s="54">
        <f t="shared" si="15"/>
        <v>65.100000000000009</v>
      </c>
      <c r="BA17" s="54">
        <f t="shared" si="15"/>
        <v>65.100000000000009</v>
      </c>
      <c r="BB17" s="54">
        <f t="shared" si="15"/>
        <v>65.100000000000009</v>
      </c>
      <c r="BC17" s="54">
        <f t="shared" si="15"/>
        <v>65.100000000000009</v>
      </c>
      <c r="BD17" s="54">
        <f t="shared" si="15"/>
        <v>65.100000000000009</v>
      </c>
      <c r="BE17" s="54">
        <f t="shared" si="15"/>
        <v>65.100000000000009</v>
      </c>
      <c r="BF17" s="54">
        <f t="shared" si="15"/>
        <v>151.90000000000003</v>
      </c>
      <c r="BG17" s="54">
        <f t="shared" si="15"/>
        <v>65.100000000000009</v>
      </c>
      <c r="BH17" s="54">
        <f t="shared" si="15"/>
        <v>65.100000000000009</v>
      </c>
      <c r="BI17" s="62">
        <f t="shared" si="16"/>
        <v>0</v>
      </c>
      <c r="BJ17" s="59">
        <f t="shared" si="17"/>
        <v>0</v>
      </c>
      <c r="BK17" s="59">
        <f t="shared" si="17"/>
        <v>0</v>
      </c>
      <c r="BL17" s="59">
        <f t="shared" si="17"/>
        <v>0</v>
      </c>
      <c r="BM17" s="59">
        <f t="shared" si="17"/>
        <v>0</v>
      </c>
      <c r="BN17" s="59">
        <f t="shared" si="17"/>
        <v>0</v>
      </c>
      <c r="BO17" s="59">
        <f t="shared" si="17"/>
        <v>0</v>
      </c>
      <c r="BP17" s="59">
        <f t="shared" si="17"/>
        <v>0</v>
      </c>
      <c r="BQ17" s="59">
        <f t="shared" si="17"/>
        <v>0</v>
      </c>
      <c r="BR17" s="59">
        <f t="shared" si="17"/>
        <v>0</v>
      </c>
      <c r="BS17" s="59">
        <f t="shared" si="17"/>
        <v>0</v>
      </c>
      <c r="BT17" s="59">
        <f t="shared" si="17"/>
        <v>0</v>
      </c>
      <c r="BU17" s="59">
        <f t="shared" si="17"/>
        <v>0</v>
      </c>
      <c r="BV17" s="67">
        <f t="shared" si="18"/>
        <v>1093.5946153846203</v>
      </c>
      <c r="BX17" s="54">
        <f t="shared" si="19"/>
        <v>84.63</v>
      </c>
      <c r="BY17" s="54">
        <f t="shared" si="19"/>
        <v>84.63</v>
      </c>
      <c r="BZ17" s="54">
        <f t="shared" si="19"/>
        <v>84.63</v>
      </c>
      <c r="CA17" s="54">
        <f t="shared" si="19"/>
        <v>84.63</v>
      </c>
      <c r="CB17" s="54">
        <f t="shared" si="19"/>
        <v>84.63</v>
      </c>
      <c r="CC17" s="54">
        <f t="shared" si="19"/>
        <v>84.63</v>
      </c>
      <c r="CD17" s="54">
        <f t="shared" si="19"/>
        <v>84.63</v>
      </c>
      <c r="CE17" s="54">
        <f t="shared" si="19"/>
        <v>84.63</v>
      </c>
      <c r="CF17" s="54">
        <f t="shared" si="19"/>
        <v>84.63</v>
      </c>
      <c r="CG17" s="54">
        <f t="shared" si="19"/>
        <v>197.47</v>
      </c>
      <c r="CH17" s="54">
        <f t="shared" si="19"/>
        <v>84.63</v>
      </c>
      <c r="CI17" s="54">
        <f t="shared" si="19"/>
        <v>84.63</v>
      </c>
      <c r="CJ17" s="74">
        <f t="shared" si="27"/>
        <v>1128.4000000000001</v>
      </c>
      <c r="CK17" s="59">
        <f t="shared" si="26"/>
        <v>20</v>
      </c>
      <c r="CL17" s="9">
        <f t="shared" si="28"/>
        <v>0</v>
      </c>
      <c r="CM17" s="71">
        <f t="shared" si="21"/>
        <v>1128.4000000000001</v>
      </c>
      <c r="CN17" s="72"/>
      <c r="CO17" s="73"/>
    </row>
    <row r="18" spans="1:94" ht="20.25" customHeight="1">
      <c r="A18" s="75" t="s">
        <v>74</v>
      </c>
      <c r="B18" s="1" t="s">
        <v>75</v>
      </c>
      <c r="C18" s="1" t="s">
        <v>76</v>
      </c>
      <c r="D18" s="58">
        <f>+VLOOKUP(A18,'[1]BDD-Avk Tx'!B:CE,82,0)</f>
        <v>460</v>
      </c>
      <c r="E18" s="59">
        <v>308.10000000000002</v>
      </c>
      <c r="G18" s="4">
        <v>41153</v>
      </c>
      <c r="H18" s="4">
        <f t="shared" si="10"/>
        <v>45647</v>
      </c>
      <c r="I18" s="60" t="str">
        <f>+VLOOKUP(A18,'[1]BDD-Avk Tx'!B:BZ,77,0)</f>
        <v>CDI</v>
      </c>
      <c r="J18" s="4">
        <f t="shared" si="11"/>
        <v>45647</v>
      </c>
      <c r="N18" s="3"/>
      <c r="P18" s="54">
        <f t="shared" si="22"/>
        <v>13.25</v>
      </c>
      <c r="Q18" s="61">
        <v>1</v>
      </c>
      <c r="R18" s="62">
        <f t="shared" si="23"/>
        <v>20</v>
      </c>
      <c r="S18" s="54">
        <f t="shared" si="24"/>
        <v>1.5</v>
      </c>
      <c r="T18" s="54">
        <f t="shared" si="12"/>
        <v>1.5</v>
      </c>
      <c r="U18" s="54">
        <f t="shared" si="12"/>
        <v>1.5</v>
      </c>
      <c r="V18" s="54">
        <f t="shared" si="12"/>
        <v>1.5</v>
      </c>
      <c r="W18" s="54">
        <f t="shared" si="12"/>
        <v>1.5</v>
      </c>
      <c r="X18" s="54">
        <f t="shared" si="12"/>
        <v>1.5</v>
      </c>
      <c r="Y18" s="54">
        <f t="shared" si="12"/>
        <v>1.5</v>
      </c>
      <c r="Z18" s="54">
        <f t="shared" si="12"/>
        <v>1.5</v>
      </c>
      <c r="AA18" s="54">
        <f t="shared" si="12"/>
        <v>1.5</v>
      </c>
      <c r="AB18" s="54">
        <f t="shared" si="12"/>
        <v>3.5</v>
      </c>
      <c r="AC18" s="54">
        <f t="shared" si="12"/>
        <v>1.5</v>
      </c>
      <c r="AD18" s="54">
        <f t="shared" si="12"/>
        <v>1.5</v>
      </c>
      <c r="AF18" s="62">
        <f t="shared" si="13"/>
        <v>0</v>
      </c>
      <c r="AG18" s="64">
        <v>0</v>
      </c>
      <c r="AH18" s="64">
        <v>0</v>
      </c>
      <c r="AI18" s="65">
        <v>0</v>
      </c>
      <c r="AJ18" s="66"/>
      <c r="AK18" s="64"/>
      <c r="AL18" s="64"/>
      <c r="AM18" s="64"/>
      <c r="AN18" s="64"/>
      <c r="AO18" s="64"/>
      <c r="AP18" s="64"/>
      <c r="AQ18" s="64"/>
      <c r="AR18" s="64"/>
      <c r="AS18" s="67">
        <f t="shared" si="14"/>
        <v>21</v>
      </c>
      <c r="AT18" s="68"/>
      <c r="AU18" s="69">
        <v>1.4807692307693117</v>
      </c>
      <c r="AV18" s="62">
        <f t="shared" si="29"/>
        <v>237.00000000000006</v>
      </c>
      <c r="AW18" s="54">
        <f t="shared" si="25"/>
        <v>17.775000000000002</v>
      </c>
      <c r="AX18" s="54">
        <f t="shared" si="15"/>
        <v>17.775000000000002</v>
      </c>
      <c r="AY18" s="54">
        <f t="shared" si="15"/>
        <v>17.775000000000002</v>
      </c>
      <c r="AZ18" s="54">
        <f t="shared" si="15"/>
        <v>17.775000000000002</v>
      </c>
      <c r="BA18" s="54">
        <f t="shared" si="15"/>
        <v>17.775000000000002</v>
      </c>
      <c r="BB18" s="54">
        <f t="shared" si="15"/>
        <v>17.775000000000002</v>
      </c>
      <c r="BC18" s="54">
        <f t="shared" si="15"/>
        <v>17.775000000000002</v>
      </c>
      <c r="BD18" s="54">
        <f t="shared" si="15"/>
        <v>17.775000000000002</v>
      </c>
      <c r="BE18" s="54">
        <f t="shared" si="15"/>
        <v>17.775000000000002</v>
      </c>
      <c r="BF18" s="54">
        <f t="shared" si="15"/>
        <v>41.475000000000009</v>
      </c>
      <c r="BG18" s="54">
        <f t="shared" si="15"/>
        <v>17.775000000000002</v>
      </c>
      <c r="BH18" s="54">
        <f t="shared" si="15"/>
        <v>17.775000000000002</v>
      </c>
      <c r="BI18" s="62">
        <f t="shared" si="16"/>
        <v>0</v>
      </c>
      <c r="BJ18" s="59">
        <f t="shared" si="17"/>
        <v>0</v>
      </c>
      <c r="BK18" s="59">
        <f t="shared" si="17"/>
        <v>0</v>
      </c>
      <c r="BL18" s="59">
        <f t="shared" si="17"/>
        <v>0</v>
      </c>
      <c r="BM18" s="59">
        <f t="shared" si="17"/>
        <v>0</v>
      </c>
      <c r="BN18" s="59">
        <f t="shared" si="17"/>
        <v>0</v>
      </c>
      <c r="BO18" s="59">
        <f t="shared" si="17"/>
        <v>0</v>
      </c>
      <c r="BP18" s="59">
        <f t="shared" si="17"/>
        <v>0</v>
      </c>
      <c r="BQ18" s="59">
        <f t="shared" si="17"/>
        <v>0</v>
      </c>
      <c r="BR18" s="59">
        <f t="shared" si="17"/>
        <v>0</v>
      </c>
      <c r="BS18" s="59">
        <f t="shared" si="17"/>
        <v>0</v>
      </c>
      <c r="BT18" s="59">
        <f t="shared" si="17"/>
        <v>0</v>
      </c>
      <c r="BU18" s="59">
        <f t="shared" si="17"/>
        <v>0</v>
      </c>
      <c r="BV18" s="67">
        <f t="shared" si="18"/>
        <v>238.48076923076937</v>
      </c>
      <c r="BX18" s="54">
        <f t="shared" si="19"/>
        <v>23.107500000000002</v>
      </c>
      <c r="BY18" s="54">
        <f t="shared" si="19"/>
        <v>23.107500000000002</v>
      </c>
      <c r="BZ18" s="54">
        <f t="shared" si="19"/>
        <v>23.107500000000002</v>
      </c>
      <c r="CA18" s="54">
        <f t="shared" si="19"/>
        <v>23.107500000000002</v>
      </c>
      <c r="CB18" s="54">
        <f t="shared" si="19"/>
        <v>23.107500000000002</v>
      </c>
      <c r="CC18" s="54">
        <f t="shared" si="19"/>
        <v>23.107500000000002</v>
      </c>
      <c r="CD18" s="54">
        <f t="shared" si="19"/>
        <v>23.107500000000002</v>
      </c>
      <c r="CE18" s="54">
        <f t="shared" si="19"/>
        <v>23.107500000000002</v>
      </c>
      <c r="CF18" s="54">
        <f t="shared" si="19"/>
        <v>23.107500000000002</v>
      </c>
      <c r="CG18" s="54">
        <f t="shared" si="19"/>
        <v>53.917500000000004</v>
      </c>
      <c r="CH18" s="54">
        <f t="shared" si="19"/>
        <v>23.107500000000002</v>
      </c>
      <c r="CI18" s="54">
        <f t="shared" si="19"/>
        <v>23.107500000000002</v>
      </c>
      <c r="CJ18" s="74">
        <f t="shared" si="27"/>
        <v>308.10000000000008</v>
      </c>
      <c r="CK18" s="59">
        <f t="shared" si="26"/>
        <v>20</v>
      </c>
      <c r="CL18" s="9">
        <f t="shared" si="28"/>
        <v>0</v>
      </c>
      <c r="CM18" s="71">
        <f t="shared" si="21"/>
        <v>308.10000000000002</v>
      </c>
      <c r="CN18" s="54"/>
      <c r="CO18" s="73"/>
      <c r="CP18" s="56"/>
    </row>
    <row r="19" spans="1:94" ht="20.25" customHeight="1">
      <c r="A19" s="1" t="s">
        <v>77</v>
      </c>
      <c r="B19" s="1" t="s">
        <v>78</v>
      </c>
      <c r="C19" s="1" t="s">
        <v>79</v>
      </c>
      <c r="D19" s="58">
        <f>+VLOOKUP(A19,'[1]BDD-Avk Tx'!B:CE,82,0)</f>
        <v>460</v>
      </c>
      <c r="E19" s="59">
        <v>200.2</v>
      </c>
      <c r="G19" s="4">
        <v>41153</v>
      </c>
      <c r="H19" s="4">
        <f t="shared" si="10"/>
        <v>45647</v>
      </c>
      <c r="I19" s="60" t="str">
        <f>+VLOOKUP(A19,'[1]BDD-Avk Tx'!B:BZ,77,0)</f>
        <v>CDI</v>
      </c>
      <c r="J19" s="4">
        <f t="shared" si="11"/>
        <v>45647</v>
      </c>
      <c r="N19" s="3"/>
      <c r="P19" s="54">
        <f t="shared" si="22"/>
        <v>13.25</v>
      </c>
      <c r="Q19" s="61">
        <v>0</v>
      </c>
      <c r="R19" s="62">
        <f t="shared" si="23"/>
        <v>20</v>
      </c>
      <c r="S19" s="54">
        <f t="shared" si="24"/>
        <v>1.5</v>
      </c>
      <c r="T19" s="54">
        <f t="shared" si="12"/>
        <v>1.5</v>
      </c>
      <c r="U19" s="54">
        <f t="shared" si="12"/>
        <v>1.5</v>
      </c>
      <c r="V19" s="54">
        <f t="shared" si="12"/>
        <v>1.5</v>
      </c>
      <c r="W19" s="54">
        <f t="shared" si="12"/>
        <v>1.5</v>
      </c>
      <c r="X19" s="54">
        <f t="shared" si="12"/>
        <v>1.5</v>
      </c>
      <c r="Y19" s="54">
        <f t="shared" si="12"/>
        <v>1.5</v>
      </c>
      <c r="Z19" s="54">
        <f t="shared" si="12"/>
        <v>1.5</v>
      </c>
      <c r="AA19" s="54">
        <f t="shared" si="12"/>
        <v>1.5</v>
      </c>
      <c r="AB19" s="54">
        <f t="shared" si="12"/>
        <v>3.5</v>
      </c>
      <c r="AC19" s="54">
        <f t="shared" si="12"/>
        <v>1.5</v>
      </c>
      <c r="AD19" s="54">
        <f t="shared" si="12"/>
        <v>1.5</v>
      </c>
      <c r="AF19" s="62">
        <f t="shared" si="13"/>
        <v>0</v>
      </c>
      <c r="AG19" s="64">
        <v>0</v>
      </c>
      <c r="AH19" s="64">
        <v>0</v>
      </c>
      <c r="AI19" s="65">
        <v>0</v>
      </c>
      <c r="AJ19" s="66"/>
      <c r="AK19" s="64"/>
      <c r="AL19" s="64"/>
      <c r="AM19" s="64"/>
      <c r="AN19" s="64"/>
      <c r="AO19" s="64"/>
      <c r="AP19" s="64"/>
      <c r="AQ19" s="64"/>
      <c r="AR19" s="64"/>
      <c r="AS19" s="67">
        <f t="shared" si="14"/>
        <v>20</v>
      </c>
      <c r="AT19" s="68"/>
      <c r="AU19" s="69">
        <v>-6.2192307692307622</v>
      </c>
      <c r="AV19" s="62">
        <f t="shared" si="29"/>
        <v>154</v>
      </c>
      <c r="AW19" s="54">
        <f t="shared" si="25"/>
        <v>11.549999999999999</v>
      </c>
      <c r="AX19" s="54">
        <f t="shared" si="15"/>
        <v>11.549999999999999</v>
      </c>
      <c r="AY19" s="54">
        <f t="shared" si="15"/>
        <v>11.549999999999999</v>
      </c>
      <c r="AZ19" s="54">
        <f t="shared" si="15"/>
        <v>11.549999999999999</v>
      </c>
      <c r="BA19" s="54">
        <f t="shared" si="15"/>
        <v>11.549999999999999</v>
      </c>
      <c r="BB19" s="54">
        <f t="shared" si="15"/>
        <v>11.549999999999999</v>
      </c>
      <c r="BC19" s="54">
        <f t="shared" si="15"/>
        <v>11.549999999999999</v>
      </c>
      <c r="BD19" s="54">
        <f t="shared" si="15"/>
        <v>11.549999999999999</v>
      </c>
      <c r="BE19" s="54">
        <f t="shared" si="15"/>
        <v>11.549999999999999</v>
      </c>
      <c r="BF19" s="54">
        <f t="shared" si="15"/>
        <v>26.949999999999996</v>
      </c>
      <c r="BG19" s="54">
        <f t="shared" si="15"/>
        <v>11.549999999999999</v>
      </c>
      <c r="BH19" s="54">
        <f t="shared" si="15"/>
        <v>11.549999999999999</v>
      </c>
      <c r="BI19" s="62">
        <f t="shared" si="16"/>
        <v>0</v>
      </c>
      <c r="BJ19" s="59">
        <f t="shared" si="17"/>
        <v>0</v>
      </c>
      <c r="BK19" s="59">
        <f t="shared" si="17"/>
        <v>0</v>
      </c>
      <c r="BL19" s="59">
        <f t="shared" si="17"/>
        <v>0</v>
      </c>
      <c r="BM19" s="59">
        <f t="shared" si="17"/>
        <v>0</v>
      </c>
      <c r="BN19" s="59">
        <f t="shared" si="17"/>
        <v>0</v>
      </c>
      <c r="BO19" s="59">
        <f t="shared" si="17"/>
        <v>0</v>
      </c>
      <c r="BP19" s="59">
        <f t="shared" si="17"/>
        <v>0</v>
      </c>
      <c r="BQ19" s="59">
        <f t="shared" si="17"/>
        <v>0</v>
      </c>
      <c r="BR19" s="59">
        <f t="shared" si="17"/>
        <v>0</v>
      </c>
      <c r="BS19" s="59">
        <f t="shared" si="17"/>
        <v>0</v>
      </c>
      <c r="BT19" s="59">
        <f t="shared" si="17"/>
        <v>0</v>
      </c>
      <c r="BU19" s="59">
        <f t="shared" si="17"/>
        <v>0</v>
      </c>
      <c r="BV19" s="67">
        <f t="shared" si="18"/>
        <v>147.78076923076924</v>
      </c>
      <c r="BX19" s="54">
        <f t="shared" si="19"/>
        <v>15.015000000000001</v>
      </c>
      <c r="BY19" s="54">
        <f t="shared" si="19"/>
        <v>15.015000000000001</v>
      </c>
      <c r="BZ19" s="54">
        <f t="shared" si="19"/>
        <v>15.015000000000001</v>
      </c>
      <c r="CA19" s="54">
        <f t="shared" si="19"/>
        <v>15.015000000000001</v>
      </c>
      <c r="CB19" s="54">
        <f t="shared" si="19"/>
        <v>15.015000000000001</v>
      </c>
      <c r="CC19" s="54">
        <f t="shared" si="19"/>
        <v>15.015000000000001</v>
      </c>
      <c r="CD19" s="54">
        <f t="shared" si="19"/>
        <v>15.015000000000001</v>
      </c>
      <c r="CE19" s="54">
        <f t="shared" si="19"/>
        <v>15.015000000000001</v>
      </c>
      <c r="CF19" s="54">
        <f t="shared" si="19"/>
        <v>15.015000000000001</v>
      </c>
      <c r="CG19" s="54">
        <f t="shared" si="19"/>
        <v>35.034999999999997</v>
      </c>
      <c r="CH19" s="54">
        <f t="shared" si="19"/>
        <v>15.015000000000001</v>
      </c>
      <c r="CI19" s="54">
        <f t="shared" si="19"/>
        <v>15.015000000000001</v>
      </c>
      <c r="CJ19" s="74">
        <f t="shared" si="27"/>
        <v>200.2</v>
      </c>
      <c r="CK19" s="59">
        <f t="shared" si="26"/>
        <v>20</v>
      </c>
      <c r="CL19" s="9">
        <f t="shared" si="28"/>
        <v>0</v>
      </c>
      <c r="CM19" s="71">
        <f t="shared" si="21"/>
        <v>200.2</v>
      </c>
      <c r="CN19" s="72"/>
      <c r="CO19" s="73"/>
    </row>
    <row r="20" spans="1:94" ht="20.25" customHeight="1">
      <c r="A20" s="1" t="s">
        <v>80</v>
      </c>
      <c r="B20" s="1" t="s">
        <v>81</v>
      </c>
      <c r="C20" s="1" t="s">
        <v>82</v>
      </c>
      <c r="D20" s="58">
        <f>+VLOOKUP(A20,'[1]BDD-Avk Tx'!B:CE,82,0)</f>
        <v>212</v>
      </c>
      <c r="E20" s="59">
        <v>475.8</v>
      </c>
      <c r="G20" s="4">
        <v>41403</v>
      </c>
      <c r="H20" s="4">
        <f t="shared" si="10"/>
        <v>45647</v>
      </c>
      <c r="I20" s="60" t="str">
        <f>+VLOOKUP(A20,'[1]BDD-Avk Tx'!B:BZ,77,0)</f>
        <v>CDI</v>
      </c>
      <c r="J20" s="4">
        <f t="shared" si="11"/>
        <v>45647</v>
      </c>
      <c r="N20" s="3"/>
      <c r="P20" s="54">
        <f t="shared" si="22"/>
        <v>12.583333333333334</v>
      </c>
      <c r="Q20" s="61">
        <v>0</v>
      </c>
      <c r="R20" s="62">
        <f t="shared" si="23"/>
        <v>20</v>
      </c>
      <c r="S20" s="54">
        <f t="shared" si="24"/>
        <v>1.5</v>
      </c>
      <c r="T20" s="54">
        <f t="shared" si="12"/>
        <v>1.5</v>
      </c>
      <c r="U20" s="54">
        <f t="shared" si="12"/>
        <v>1.5</v>
      </c>
      <c r="V20" s="54">
        <f t="shared" si="12"/>
        <v>1.5</v>
      </c>
      <c r="W20" s="54">
        <f t="shared" si="12"/>
        <v>1.5</v>
      </c>
      <c r="X20" s="54">
        <f t="shared" si="12"/>
        <v>3.5</v>
      </c>
      <c r="Y20" s="54">
        <f t="shared" si="12"/>
        <v>1.5</v>
      </c>
      <c r="Z20" s="54">
        <f t="shared" si="12"/>
        <v>1.5</v>
      </c>
      <c r="AA20" s="54">
        <f t="shared" si="12"/>
        <v>1.5</v>
      </c>
      <c r="AB20" s="54">
        <f t="shared" si="12"/>
        <v>1.5</v>
      </c>
      <c r="AC20" s="54">
        <f t="shared" si="12"/>
        <v>1.5</v>
      </c>
      <c r="AD20" s="54">
        <f t="shared" si="12"/>
        <v>1.5</v>
      </c>
      <c r="AF20" s="62">
        <f t="shared" si="13"/>
        <v>0</v>
      </c>
      <c r="AG20" s="64">
        <v>0</v>
      </c>
      <c r="AH20" s="64">
        <v>0</v>
      </c>
      <c r="AI20" s="65">
        <v>0</v>
      </c>
      <c r="AJ20" s="66"/>
      <c r="AK20" s="64"/>
      <c r="AL20" s="64"/>
      <c r="AM20" s="64"/>
      <c r="AN20" s="64"/>
      <c r="AO20" s="64"/>
      <c r="AP20" s="64"/>
      <c r="AQ20" s="64"/>
      <c r="AR20" s="64"/>
      <c r="AS20" s="67">
        <f t="shared" si="14"/>
        <v>20</v>
      </c>
      <c r="AT20" s="68"/>
      <c r="AU20" s="69">
        <v>-3.2307692307692264</v>
      </c>
      <c r="AV20" s="62">
        <f t="shared" si="29"/>
        <v>365.99999999999994</v>
      </c>
      <c r="AW20" s="54">
        <f t="shared" si="25"/>
        <v>27.450000000000003</v>
      </c>
      <c r="AX20" s="54">
        <f t="shared" si="15"/>
        <v>27.450000000000003</v>
      </c>
      <c r="AY20" s="54">
        <f t="shared" si="15"/>
        <v>27.450000000000003</v>
      </c>
      <c r="AZ20" s="54">
        <f t="shared" si="15"/>
        <v>27.450000000000003</v>
      </c>
      <c r="BA20" s="54">
        <f t="shared" si="15"/>
        <v>27.450000000000003</v>
      </c>
      <c r="BB20" s="54">
        <f t="shared" si="15"/>
        <v>64.05</v>
      </c>
      <c r="BC20" s="54">
        <f t="shared" si="15"/>
        <v>27.450000000000003</v>
      </c>
      <c r="BD20" s="54">
        <f t="shared" si="15"/>
        <v>27.450000000000003</v>
      </c>
      <c r="BE20" s="54">
        <f t="shared" si="15"/>
        <v>27.450000000000003</v>
      </c>
      <c r="BF20" s="54">
        <f t="shared" si="15"/>
        <v>27.450000000000003</v>
      </c>
      <c r="BG20" s="54">
        <f t="shared" si="15"/>
        <v>27.450000000000003</v>
      </c>
      <c r="BH20" s="54">
        <f t="shared" si="15"/>
        <v>27.450000000000003</v>
      </c>
      <c r="BI20" s="62">
        <f t="shared" si="16"/>
        <v>0</v>
      </c>
      <c r="BJ20" s="59">
        <f t="shared" si="17"/>
        <v>0</v>
      </c>
      <c r="BK20" s="59">
        <f t="shared" si="17"/>
        <v>0</v>
      </c>
      <c r="BL20" s="59">
        <f t="shared" si="17"/>
        <v>0</v>
      </c>
      <c r="BM20" s="59">
        <f t="shared" si="17"/>
        <v>0</v>
      </c>
      <c r="BN20" s="59">
        <f t="shared" si="17"/>
        <v>0</v>
      </c>
      <c r="BO20" s="59">
        <f t="shared" si="17"/>
        <v>0</v>
      </c>
      <c r="BP20" s="59">
        <f t="shared" si="17"/>
        <v>0</v>
      </c>
      <c r="BQ20" s="59">
        <f t="shared" si="17"/>
        <v>0</v>
      </c>
      <c r="BR20" s="59">
        <f t="shared" si="17"/>
        <v>0</v>
      </c>
      <c r="BS20" s="59">
        <f t="shared" si="17"/>
        <v>0</v>
      </c>
      <c r="BT20" s="59">
        <f t="shared" si="17"/>
        <v>0</v>
      </c>
      <c r="BU20" s="59">
        <f t="shared" si="17"/>
        <v>0</v>
      </c>
      <c r="BV20" s="67">
        <f t="shared" si="18"/>
        <v>362.76923076923072</v>
      </c>
      <c r="BX20" s="54">
        <f t="shared" si="19"/>
        <v>35.685000000000002</v>
      </c>
      <c r="BY20" s="54">
        <f t="shared" si="19"/>
        <v>35.685000000000002</v>
      </c>
      <c r="BZ20" s="54">
        <f t="shared" si="19"/>
        <v>35.685000000000002</v>
      </c>
      <c r="CA20" s="54">
        <f t="shared" si="19"/>
        <v>35.685000000000002</v>
      </c>
      <c r="CB20" s="54">
        <f t="shared" si="19"/>
        <v>35.685000000000002</v>
      </c>
      <c r="CC20" s="54">
        <f t="shared" si="19"/>
        <v>83.265000000000001</v>
      </c>
      <c r="CD20" s="54">
        <f t="shared" si="19"/>
        <v>35.685000000000002</v>
      </c>
      <c r="CE20" s="54">
        <f t="shared" si="19"/>
        <v>35.685000000000002</v>
      </c>
      <c r="CF20" s="54">
        <f t="shared" si="19"/>
        <v>35.685000000000002</v>
      </c>
      <c r="CG20" s="54">
        <f t="shared" si="19"/>
        <v>35.685000000000002</v>
      </c>
      <c r="CH20" s="54">
        <f t="shared" si="19"/>
        <v>35.685000000000002</v>
      </c>
      <c r="CI20" s="54">
        <f t="shared" si="19"/>
        <v>35.685000000000002</v>
      </c>
      <c r="CJ20" s="74">
        <f t="shared" si="27"/>
        <v>475.8</v>
      </c>
      <c r="CK20" s="59">
        <f t="shared" si="26"/>
        <v>20</v>
      </c>
      <c r="CL20" s="9">
        <f t="shared" si="28"/>
        <v>0</v>
      </c>
      <c r="CM20" s="71">
        <f t="shared" si="21"/>
        <v>475.8</v>
      </c>
      <c r="CN20" s="72"/>
      <c r="CO20" s="73"/>
    </row>
    <row r="21" spans="1:94" ht="20.25" customHeight="1">
      <c r="A21" s="75" t="s">
        <v>83</v>
      </c>
      <c r="B21" s="1" t="s">
        <v>84</v>
      </c>
      <c r="C21" s="1" t="s">
        <v>85</v>
      </c>
      <c r="D21" s="58">
        <f>+VLOOKUP(A21,'[1]BDD-Avk Tx'!B:CE,82,0)</f>
        <v>216</v>
      </c>
      <c r="E21" s="59">
        <v>308.10000000000002</v>
      </c>
      <c r="G21" s="4">
        <v>41795</v>
      </c>
      <c r="H21" s="4">
        <f t="shared" si="10"/>
        <v>45647</v>
      </c>
      <c r="I21" s="60" t="str">
        <f>+VLOOKUP(A21,'[1]BDD-Avk Tx'!B:BZ,77,0)</f>
        <v>CDI</v>
      </c>
      <c r="J21" s="4">
        <f t="shared" si="11"/>
        <v>45647</v>
      </c>
      <c r="N21" s="3"/>
      <c r="P21" s="54">
        <f t="shared" si="22"/>
        <v>11.5</v>
      </c>
      <c r="Q21" s="61">
        <v>0</v>
      </c>
      <c r="R21" s="62">
        <f t="shared" si="23"/>
        <v>20</v>
      </c>
      <c r="S21" s="54">
        <f t="shared" si="24"/>
        <v>1.5</v>
      </c>
      <c r="T21" s="54">
        <f t="shared" si="12"/>
        <v>1.5</v>
      </c>
      <c r="U21" s="54">
        <f t="shared" si="12"/>
        <v>1.5</v>
      </c>
      <c r="V21" s="54">
        <f t="shared" si="12"/>
        <v>1.5</v>
      </c>
      <c r="W21" s="54">
        <f t="shared" si="12"/>
        <v>1.5</v>
      </c>
      <c r="X21" s="54">
        <f t="shared" si="12"/>
        <v>1.5</v>
      </c>
      <c r="Y21" s="54">
        <f t="shared" si="12"/>
        <v>3.5</v>
      </c>
      <c r="Z21" s="54">
        <f t="shared" si="12"/>
        <v>1.5</v>
      </c>
      <c r="AA21" s="54">
        <f t="shared" si="12"/>
        <v>1.5</v>
      </c>
      <c r="AB21" s="54">
        <f t="shared" si="12"/>
        <v>1.5</v>
      </c>
      <c r="AC21" s="54">
        <f t="shared" si="12"/>
        <v>1.5</v>
      </c>
      <c r="AD21" s="54">
        <f t="shared" si="12"/>
        <v>1.5</v>
      </c>
      <c r="AF21" s="62">
        <f t="shared" si="13"/>
        <v>0</v>
      </c>
      <c r="AG21" s="64">
        <v>0</v>
      </c>
      <c r="AH21" s="64">
        <v>0</v>
      </c>
      <c r="AI21" s="65">
        <v>0</v>
      </c>
      <c r="AJ21" s="66"/>
      <c r="AK21" s="64"/>
      <c r="AL21" s="64"/>
      <c r="AM21" s="64"/>
      <c r="AN21" s="64"/>
      <c r="AO21" s="64"/>
      <c r="AP21" s="64"/>
      <c r="AQ21" s="64"/>
      <c r="AR21" s="64"/>
      <c r="AS21" s="67">
        <f t="shared" si="14"/>
        <v>20</v>
      </c>
      <c r="AT21" s="68"/>
      <c r="AU21" s="69">
        <v>-6.4846153846153243</v>
      </c>
      <c r="AV21" s="62">
        <f t="shared" si="29"/>
        <v>237.00000000000006</v>
      </c>
      <c r="AW21" s="54">
        <f t="shared" si="25"/>
        <v>17.775000000000002</v>
      </c>
      <c r="AX21" s="54">
        <f t="shared" si="15"/>
        <v>17.775000000000002</v>
      </c>
      <c r="AY21" s="54">
        <f t="shared" si="15"/>
        <v>17.775000000000002</v>
      </c>
      <c r="AZ21" s="54">
        <f t="shared" si="15"/>
        <v>17.775000000000002</v>
      </c>
      <c r="BA21" s="54">
        <f t="shared" si="15"/>
        <v>17.775000000000002</v>
      </c>
      <c r="BB21" s="54">
        <f t="shared" si="15"/>
        <v>17.775000000000002</v>
      </c>
      <c r="BC21" s="54">
        <f t="shared" si="15"/>
        <v>41.475000000000009</v>
      </c>
      <c r="BD21" s="54">
        <f t="shared" si="15"/>
        <v>17.775000000000002</v>
      </c>
      <c r="BE21" s="54">
        <f t="shared" si="15"/>
        <v>17.775000000000002</v>
      </c>
      <c r="BF21" s="54">
        <f t="shared" si="15"/>
        <v>17.775000000000002</v>
      </c>
      <c r="BG21" s="54">
        <f t="shared" si="15"/>
        <v>17.775000000000002</v>
      </c>
      <c r="BH21" s="54">
        <f t="shared" si="15"/>
        <v>17.775000000000002</v>
      </c>
      <c r="BI21" s="62">
        <f t="shared" si="16"/>
        <v>0</v>
      </c>
      <c r="BJ21" s="59">
        <f t="shared" si="17"/>
        <v>0</v>
      </c>
      <c r="BK21" s="59">
        <f t="shared" si="17"/>
        <v>0</v>
      </c>
      <c r="BL21" s="59">
        <f t="shared" si="17"/>
        <v>0</v>
      </c>
      <c r="BM21" s="59">
        <f t="shared" si="17"/>
        <v>0</v>
      </c>
      <c r="BN21" s="59">
        <f t="shared" si="17"/>
        <v>0</v>
      </c>
      <c r="BO21" s="59">
        <f t="shared" si="17"/>
        <v>0</v>
      </c>
      <c r="BP21" s="59">
        <f t="shared" si="17"/>
        <v>0</v>
      </c>
      <c r="BQ21" s="59">
        <f t="shared" si="17"/>
        <v>0</v>
      </c>
      <c r="BR21" s="59">
        <f t="shared" si="17"/>
        <v>0</v>
      </c>
      <c r="BS21" s="59">
        <f t="shared" si="17"/>
        <v>0</v>
      </c>
      <c r="BT21" s="59">
        <f t="shared" si="17"/>
        <v>0</v>
      </c>
      <c r="BU21" s="59">
        <f t="shared" si="17"/>
        <v>0</v>
      </c>
      <c r="BV21" s="67">
        <f t="shared" si="18"/>
        <v>230.51538461538473</v>
      </c>
      <c r="BX21" s="54">
        <f t="shared" si="19"/>
        <v>23.107500000000002</v>
      </c>
      <c r="BY21" s="54">
        <f t="shared" si="19"/>
        <v>23.107500000000002</v>
      </c>
      <c r="BZ21" s="54">
        <f t="shared" si="19"/>
        <v>23.107500000000002</v>
      </c>
      <c r="CA21" s="54">
        <f t="shared" si="19"/>
        <v>23.107500000000002</v>
      </c>
      <c r="CB21" s="54">
        <f t="shared" si="19"/>
        <v>23.107500000000002</v>
      </c>
      <c r="CC21" s="54">
        <f t="shared" si="19"/>
        <v>23.107500000000002</v>
      </c>
      <c r="CD21" s="54">
        <f t="shared" si="19"/>
        <v>53.917500000000004</v>
      </c>
      <c r="CE21" s="54">
        <f t="shared" si="19"/>
        <v>23.107500000000002</v>
      </c>
      <c r="CF21" s="54">
        <f t="shared" si="19"/>
        <v>23.107500000000002</v>
      </c>
      <c r="CG21" s="54">
        <f t="shared" si="19"/>
        <v>23.107500000000002</v>
      </c>
      <c r="CH21" s="54">
        <f t="shared" si="19"/>
        <v>23.107500000000002</v>
      </c>
      <c r="CI21" s="54">
        <f t="shared" si="19"/>
        <v>23.107500000000002</v>
      </c>
      <c r="CJ21" s="74">
        <f t="shared" si="27"/>
        <v>308.10000000000008</v>
      </c>
      <c r="CK21" s="59">
        <f t="shared" si="26"/>
        <v>20</v>
      </c>
      <c r="CL21" s="9">
        <f t="shared" si="28"/>
        <v>0</v>
      </c>
      <c r="CM21" s="71">
        <f t="shared" si="21"/>
        <v>308.10000000000002</v>
      </c>
      <c r="CN21" s="54"/>
      <c r="CO21" s="73"/>
      <c r="CP21" s="56"/>
    </row>
    <row r="22" spans="1:94" ht="20.25" customHeight="1">
      <c r="A22" s="1" t="s">
        <v>86</v>
      </c>
      <c r="B22" s="1" t="s">
        <v>87</v>
      </c>
      <c r="C22" s="1" t="s">
        <v>88</v>
      </c>
      <c r="D22" s="58">
        <f>+VLOOKUP(A22,'[1]BDD-Avk Tx'!B:CE,82,0)</f>
        <v>212</v>
      </c>
      <c r="E22" s="59">
        <v>172.9</v>
      </c>
      <c r="G22" s="4">
        <v>42429</v>
      </c>
      <c r="H22" s="4">
        <f t="shared" si="10"/>
        <v>45647</v>
      </c>
      <c r="I22" s="60" t="str">
        <f>+VLOOKUP(A22,'[1]BDD-Avk Tx'!B:BZ,77,0)</f>
        <v>CDI</v>
      </c>
      <c r="J22" s="4">
        <f t="shared" si="11"/>
        <v>45647</v>
      </c>
      <c r="N22" s="3"/>
      <c r="P22" s="54">
        <f t="shared" si="22"/>
        <v>9.75</v>
      </c>
      <c r="Q22" s="61">
        <v>2</v>
      </c>
      <c r="R22" s="62">
        <f t="shared" si="23"/>
        <v>19</v>
      </c>
      <c r="S22" s="54">
        <f t="shared" si="24"/>
        <v>1.5</v>
      </c>
      <c r="T22" s="54">
        <f t="shared" si="24"/>
        <v>1.5</v>
      </c>
      <c r="U22" s="54">
        <f t="shared" si="24"/>
        <v>2.5</v>
      </c>
      <c r="V22" s="54">
        <f t="shared" si="24"/>
        <v>1.5</v>
      </c>
      <c r="W22" s="54">
        <f t="shared" si="24"/>
        <v>1.5</v>
      </c>
      <c r="X22" s="54">
        <f t="shared" si="24"/>
        <v>1.5</v>
      </c>
      <c r="Y22" s="54">
        <f t="shared" si="24"/>
        <v>1.5</v>
      </c>
      <c r="Z22" s="54">
        <f t="shared" si="24"/>
        <v>1.5</v>
      </c>
      <c r="AA22" s="54">
        <f t="shared" si="24"/>
        <v>1.5</v>
      </c>
      <c r="AB22" s="54">
        <f t="shared" si="24"/>
        <v>1.5</v>
      </c>
      <c r="AC22" s="54">
        <f t="shared" si="24"/>
        <v>1.5</v>
      </c>
      <c r="AD22" s="54">
        <f t="shared" si="24"/>
        <v>1.5</v>
      </c>
      <c r="AF22" s="62">
        <f t="shared" si="13"/>
        <v>0</v>
      </c>
      <c r="AG22" s="64">
        <v>0</v>
      </c>
      <c r="AH22" s="64">
        <v>0</v>
      </c>
      <c r="AI22" s="65">
        <v>0</v>
      </c>
      <c r="AJ22" s="66"/>
      <c r="AK22" s="64"/>
      <c r="AL22" s="64"/>
      <c r="AM22" s="64"/>
      <c r="AN22" s="64"/>
      <c r="AO22" s="64"/>
      <c r="AP22" s="64"/>
      <c r="AQ22" s="64"/>
      <c r="AR22" s="64"/>
      <c r="AS22" s="67">
        <f t="shared" si="14"/>
        <v>21</v>
      </c>
      <c r="AT22" s="68"/>
      <c r="AU22" s="69">
        <v>19.253846153846069</v>
      </c>
      <c r="AV22" s="62">
        <f t="shared" si="29"/>
        <v>126.34999999999997</v>
      </c>
      <c r="AW22" s="54">
        <f t="shared" si="25"/>
        <v>9.9750000000000014</v>
      </c>
      <c r="AX22" s="54">
        <f t="shared" si="15"/>
        <v>9.9750000000000014</v>
      </c>
      <c r="AY22" s="54">
        <f t="shared" si="15"/>
        <v>16.625</v>
      </c>
      <c r="AZ22" s="54">
        <f t="shared" si="15"/>
        <v>9.9750000000000014</v>
      </c>
      <c r="BA22" s="54">
        <f t="shared" si="15"/>
        <v>9.9750000000000014</v>
      </c>
      <c r="BB22" s="54">
        <f t="shared" si="15"/>
        <v>9.9750000000000014</v>
      </c>
      <c r="BC22" s="54">
        <f t="shared" si="15"/>
        <v>9.9750000000000014</v>
      </c>
      <c r="BD22" s="54">
        <f t="shared" si="15"/>
        <v>9.9750000000000014</v>
      </c>
      <c r="BE22" s="54">
        <f t="shared" si="15"/>
        <v>9.9750000000000014</v>
      </c>
      <c r="BF22" s="54">
        <f t="shared" si="15"/>
        <v>9.9750000000000014</v>
      </c>
      <c r="BG22" s="54">
        <f t="shared" si="15"/>
        <v>9.9750000000000014</v>
      </c>
      <c r="BH22" s="54">
        <f t="shared" si="15"/>
        <v>9.9750000000000014</v>
      </c>
      <c r="BI22" s="62">
        <f t="shared" si="16"/>
        <v>0</v>
      </c>
      <c r="BJ22" s="59">
        <f t="shared" si="17"/>
        <v>0</v>
      </c>
      <c r="BK22" s="59">
        <f t="shared" si="17"/>
        <v>0</v>
      </c>
      <c r="BL22" s="59">
        <f t="shared" si="17"/>
        <v>0</v>
      </c>
      <c r="BM22" s="59">
        <f t="shared" si="17"/>
        <v>0</v>
      </c>
      <c r="BN22" s="59">
        <f t="shared" si="17"/>
        <v>0</v>
      </c>
      <c r="BO22" s="59">
        <f t="shared" si="17"/>
        <v>0</v>
      </c>
      <c r="BP22" s="59">
        <f t="shared" si="17"/>
        <v>0</v>
      </c>
      <c r="BQ22" s="59">
        <f t="shared" si="17"/>
        <v>0</v>
      </c>
      <c r="BR22" s="59">
        <f t="shared" si="17"/>
        <v>0</v>
      </c>
      <c r="BS22" s="59">
        <f t="shared" si="17"/>
        <v>0</v>
      </c>
      <c r="BT22" s="59">
        <f t="shared" si="17"/>
        <v>0</v>
      </c>
      <c r="BU22" s="59">
        <f t="shared" si="17"/>
        <v>0</v>
      </c>
      <c r="BV22" s="67">
        <f t="shared" si="18"/>
        <v>145.60384615384604</v>
      </c>
      <c r="BX22" s="54">
        <f t="shared" si="19"/>
        <v>13.649999999999999</v>
      </c>
      <c r="BY22" s="54">
        <f t="shared" si="19"/>
        <v>13.649999999999999</v>
      </c>
      <c r="BZ22" s="54">
        <f t="shared" si="19"/>
        <v>22.75</v>
      </c>
      <c r="CA22" s="54">
        <f t="shared" si="19"/>
        <v>13.649999999999999</v>
      </c>
      <c r="CB22" s="54">
        <f t="shared" si="19"/>
        <v>13.649999999999999</v>
      </c>
      <c r="CC22" s="54">
        <f t="shared" si="19"/>
        <v>13.649999999999999</v>
      </c>
      <c r="CD22" s="54">
        <f t="shared" si="19"/>
        <v>13.649999999999999</v>
      </c>
      <c r="CE22" s="54">
        <f t="shared" si="19"/>
        <v>13.649999999999999</v>
      </c>
      <c r="CF22" s="54">
        <f t="shared" si="19"/>
        <v>13.649999999999999</v>
      </c>
      <c r="CG22" s="54">
        <f t="shared" si="19"/>
        <v>13.649999999999999</v>
      </c>
      <c r="CH22" s="54">
        <f t="shared" si="19"/>
        <v>13.649999999999999</v>
      </c>
      <c r="CI22" s="54">
        <f t="shared" si="19"/>
        <v>13.649999999999999</v>
      </c>
      <c r="CJ22" s="74">
        <f t="shared" si="27"/>
        <v>172.90000000000003</v>
      </c>
      <c r="CK22" s="59">
        <f t="shared" si="26"/>
        <v>19</v>
      </c>
      <c r="CL22" s="9">
        <f t="shared" si="28"/>
        <v>0</v>
      </c>
      <c r="CM22" s="71">
        <f t="shared" si="21"/>
        <v>172.9</v>
      </c>
      <c r="CN22" s="72"/>
      <c r="CO22" s="73"/>
    </row>
    <row r="23" spans="1:94" ht="20.25" customHeight="1">
      <c r="A23" s="75" t="s">
        <v>89</v>
      </c>
      <c r="B23" s="1" t="s">
        <v>90</v>
      </c>
      <c r="C23" s="1" t="s">
        <v>91</v>
      </c>
      <c r="D23" s="58">
        <f>+VLOOKUP(A23,'[1]BDD-Avk Tx'!B:CE,82,0)</f>
        <v>972</v>
      </c>
      <c r="E23" s="59">
        <v>412.1</v>
      </c>
      <c r="G23" s="4">
        <v>41153</v>
      </c>
      <c r="H23" s="4">
        <f t="shared" si="10"/>
        <v>45647</v>
      </c>
      <c r="I23" s="60" t="str">
        <f>+VLOOKUP(A23,'[1]BDD-Avk Tx'!B:BZ,77,0)</f>
        <v>CDI</v>
      </c>
      <c r="J23" s="4">
        <f t="shared" si="11"/>
        <v>45647</v>
      </c>
      <c r="N23" s="3"/>
      <c r="P23" s="54">
        <f t="shared" si="22"/>
        <v>13.25</v>
      </c>
      <c r="Q23" s="61">
        <v>0</v>
      </c>
      <c r="R23" s="62">
        <f t="shared" si="23"/>
        <v>20</v>
      </c>
      <c r="S23" s="54">
        <f t="shared" si="24"/>
        <v>1.5</v>
      </c>
      <c r="T23" s="54">
        <f t="shared" si="24"/>
        <v>1.5</v>
      </c>
      <c r="U23" s="54">
        <f t="shared" si="24"/>
        <v>1.5</v>
      </c>
      <c r="V23" s="54">
        <f t="shared" si="24"/>
        <v>1.5</v>
      </c>
      <c r="W23" s="54">
        <f t="shared" si="24"/>
        <v>1.5</v>
      </c>
      <c r="X23" s="54">
        <f t="shared" si="24"/>
        <v>1.5</v>
      </c>
      <c r="Y23" s="54">
        <f t="shared" si="24"/>
        <v>1.5</v>
      </c>
      <c r="Z23" s="54">
        <f t="shared" si="24"/>
        <v>1.5</v>
      </c>
      <c r="AA23" s="54">
        <f t="shared" si="24"/>
        <v>1.5</v>
      </c>
      <c r="AB23" s="54">
        <f t="shared" si="24"/>
        <v>3.5</v>
      </c>
      <c r="AC23" s="54">
        <f t="shared" si="24"/>
        <v>1.5</v>
      </c>
      <c r="AD23" s="54">
        <f t="shared" si="24"/>
        <v>1.5</v>
      </c>
      <c r="AF23" s="62">
        <f t="shared" si="13"/>
        <v>3</v>
      </c>
      <c r="AG23" s="64">
        <v>0</v>
      </c>
      <c r="AH23" s="64">
        <v>3</v>
      </c>
      <c r="AI23" s="65">
        <v>0</v>
      </c>
      <c r="AJ23" s="66"/>
      <c r="AK23" s="64"/>
      <c r="AL23" s="64"/>
      <c r="AM23" s="64"/>
      <c r="AN23" s="64"/>
      <c r="AO23" s="64"/>
      <c r="AP23" s="64"/>
      <c r="AQ23" s="64"/>
      <c r="AR23" s="64"/>
      <c r="AS23" s="67">
        <f t="shared" si="14"/>
        <v>17</v>
      </c>
      <c r="AT23" s="68"/>
      <c r="AU23" s="69">
        <v>-10.292307692307702</v>
      </c>
      <c r="AV23" s="62">
        <f t="shared" si="29"/>
        <v>317</v>
      </c>
      <c r="AW23" s="54">
        <f t="shared" si="25"/>
        <v>23.775000000000002</v>
      </c>
      <c r="AX23" s="54">
        <f t="shared" si="15"/>
        <v>23.775000000000002</v>
      </c>
      <c r="AY23" s="54">
        <f t="shared" si="15"/>
        <v>23.775000000000002</v>
      </c>
      <c r="AZ23" s="54">
        <f t="shared" si="15"/>
        <v>23.775000000000002</v>
      </c>
      <c r="BA23" s="54">
        <f t="shared" si="15"/>
        <v>23.775000000000002</v>
      </c>
      <c r="BB23" s="54">
        <f t="shared" si="15"/>
        <v>23.775000000000002</v>
      </c>
      <c r="BC23" s="54">
        <f t="shared" si="15"/>
        <v>23.775000000000002</v>
      </c>
      <c r="BD23" s="54">
        <f t="shared" si="15"/>
        <v>23.775000000000002</v>
      </c>
      <c r="BE23" s="54">
        <f t="shared" si="15"/>
        <v>23.775000000000002</v>
      </c>
      <c r="BF23" s="54">
        <f t="shared" si="15"/>
        <v>55.475000000000009</v>
      </c>
      <c r="BG23" s="54">
        <f t="shared" si="15"/>
        <v>23.775000000000002</v>
      </c>
      <c r="BH23" s="54">
        <f t="shared" si="15"/>
        <v>23.775000000000002</v>
      </c>
      <c r="BI23" s="62">
        <f t="shared" si="16"/>
        <v>-47.550000000000004</v>
      </c>
      <c r="BJ23" s="59">
        <f t="shared" si="17"/>
        <v>0</v>
      </c>
      <c r="BK23" s="59">
        <f t="shared" si="17"/>
        <v>-47.550000000000004</v>
      </c>
      <c r="BL23" s="59">
        <f t="shared" si="17"/>
        <v>0</v>
      </c>
      <c r="BM23" s="59">
        <f t="shared" si="17"/>
        <v>0</v>
      </c>
      <c r="BN23" s="59">
        <f t="shared" si="17"/>
        <v>0</v>
      </c>
      <c r="BO23" s="59">
        <f t="shared" si="17"/>
        <v>0</v>
      </c>
      <c r="BP23" s="59">
        <f t="shared" si="17"/>
        <v>0</v>
      </c>
      <c r="BQ23" s="59">
        <f t="shared" si="17"/>
        <v>0</v>
      </c>
      <c r="BR23" s="59">
        <f t="shared" si="17"/>
        <v>0</v>
      </c>
      <c r="BS23" s="59">
        <f t="shared" si="17"/>
        <v>0</v>
      </c>
      <c r="BT23" s="59">
        <f t="shared" si="17"/>
        <v>0</v>
      </c>
      <c r="BU23" s="59">
        <f t="shared" si="17"/>
        <v>0</v>
      </c>
      <c r="BV23" s="67">
        <f t="shared" si="18"/>
        <v>259.15769230769229</v>
      </c>
      <c r="BX23" s="54">
        <f t="shared" si="19"/>
        <v>30.907499999999999</v>
      </c>
      <c r="BY23" s="54">
        <f t="shared" si="19"/>
        <v>30.907499999999999</v>
      </c>
      <c r="BZ23" s="54">
        <f t="shared" si="19"/>
        <v>30.907499999999999</v>
      </c>
      <c r="CA23" s="54">
        <f t="shared" si="19"/>
        <v>30.907499999999999</v>
      </c>
      <c r="CB23" s="54">
        <f t="shared" si="19"/>
        <v>30.907499999999999</v>
      </c>
      <c r="CC23" s="54">
        <f t="shared" si="19"/>
        <v>30.907499999999999</v>
      </c>
      <c r="CD23" s="54">
        <f t="shared" si="19"/>
        <v>30.907499999999999</v>
      </c>
      <c r="CE23" s="54">
        <f t="shared" si="19"/>
        <v>30.907499999999999</v>
      </c>
      <c r="CF23" s="54">
        <f t="shared" si="19"/>
        <v>30.907499999999999</v>
      </c>
      <c r="CG23" s="54">
        <f t="shared" si="19"/>
        <v>72.117500000000007</v>
      </c>
      <c r="CH23" s="54">
        <f t="shared" si="19"/>
        <v>30.907499999999999</v>
      </c>
      <c r="CI23" s="54">
        <f t="shared" si="19"/>
        <v>30.907499999999999</v>
      </c>
      <c r="CJ23" s="74">
        <f t="shared" si="27"/>
        <v>412.1</v>
      </c>
      <c r="CK23" s="59">
        <f t="shared" si="26"/>
        <v>20</v>
      </c>
      <c r="CL23" s="9">
        <f t="shared" si="28"/>
        <v>0</v>
      </c>
      <c r="CM23" s="71">
        <f t="shared" si="21"/>
        <v>412.1</v>
      </c>
      <c r="CN23" s="54"/>
      <c r="CO23" s="73"/>
      <c r="CP23" s="56"/>
    </row>
    <row r="24" spans="1:94" ht="20.25" customHeight="1">
      <c r="A24" s="1" t="s">
        <v>92</v>
      </c>
      <c r="B24" s="1" t="s">
        <v>93</v>
      </c>
      <c r="C24" s="1" t="s">
        <v>79</v>
      </c>
      <c r="D24" s="58">
        <f>+VLOOKUP(A24,'[1]BDD-Avk Tx'!B:CE,82,0)</f>
        <v>972</v>
      </c>
      <c r="E24" s="59">
        <v>200.2</v>
      </c>
      <c r="G24" s="4">
        <v>41153</v>
      </c>
      <c r="H24" s="4">
        <f t="shared" si="10"/>
        <v>45647</v>
      </c>
      <c r="I24" s="60" t="str">
        <f>+VLOOKUP(A24,'[1]BDD-Avk Tx'!B:BZ,77,0)</f>
        <v>CDI</v>
      </c>
      <c r="J24" s="4">
        <f t="shared" si="11"/>
        <v>45647</v>
      </c>
      <c r="N24" s="3"/>
      <c r="P24" s="54">
        <f t="shared" si="22"/>
        <v>13.25</v>
      </c>
      <c r="Q24" s="61">
        <v>0</v>
      </c>
      <c r="R24" s="62">
        <f t="shared" si="23"/>
        <v>20</v>
      </c>
      <c r="S24" s="54">
        <f t="shared" si="24"/>
        <v>1.5</v>
      </c>
      <c r="T24" s="54">
        <f t="shared" si="24"/>
        <v>1.5</v>
      </c>
      <c r="U24" s="54">
        <f t="shared" si="24"/>
        <v>1.5</v>
      </c>
      <c r="V24" s="54">
        <f t="shared" si="24"/>
        <v>1.5</v>
      </c>
      <c r="W24" s="54">
        <f t="shared" si="24"/>
        <v>1.5</v>
      </c>
      <c r="X24" s="54">
        <f t="shared" si="24"/>
        <v>1.5</v>
      </c>
      <c r="Y24" s="54">
        <f t="shared" si="24"/>
        <v>1.5</v>
      </c>
      <c r="Z24" s="54">
        <f t="shared" si="24"/>
        <v>1.5</v>
      </c>
      <c r="AA24" s="54">
        <f t="shared" si="24"/>
        <v>1.5</v>
      </c>
      <c r="AB24" s="54">
        <f t="shared" si="24"/>
        <v>3.5</v>
      </c>
      <c r="AC24" s="54">
        <f t="shared" si="24"/>
        <v>1.5</v>
      </c>
      <c r="AD24" s="54">
        <f t="shared" si="24"/>
        <v>1.5</v>
      </c>
      <c r="AF24" s="62">
        <f t="shared" si="13"/>
        <v>0</v>
      </c>
      <c r="AG24" s="64">
        <v>0</v>
      </c>
      <c r="AH24" s="64">
        <v>0</v>
      </c>
      <c r="AI24" s="65">
        <v>0</v>
      </c>
      <c r="AJ24" s="66"/>
      <c r="AK24" s="64"/>
      <c r="AL24" s="64"/>
      <c r="AM24" s="64"/>
      <c r="AN24" s="64"/>
      <c r="AO24" s="64"/>
      <c r="AP24" s="64"/>
      <c r="AQ24" s="64"/>
      <c r="AR24" s="64"/>
      <c r="AS24" s="67">
        <f t="shared" si="14"/>
        <v>20</v>
      </c>
      <c r="AT24" s="68"/>
      <c r="AU24" s="69">
        <v>-6.2192307692307054</v>
      </c>
      <c r="AV24" s="62">
        <f t="shared" si="29"/>
        <v>154</v>
      </c>
      <c r="AW24" s="54">
        <f t="shared" si="25"/>
        <v>11.549999999999999</v>
      </c>
      <c r="AX24" s="54">
        <f t="shared" si="25"/>
        <v>11.549999999999999</v>
      </c>
      <c r="AY24" s="54">
        <f t="shared" si="25"/>
        <v>11.549999999999999</v>
      </c>
      <c r="AZ24" s="54">
        <f t="shared" si="25"/>
        <v>11.549999999999999</v>
      </c>
      <c r="BA24" s="54">
        <f t="shared" si="25"/>
        <v>11.549999999999999</v>
      </c>
      <c r="BB24" s="54">
        <f t="shared" si="25"/>
        <v>11.549999999999999</v>
      </c>
      <c r="BC24" s="54">
        <f t="shared" si="25"/>
        <v>11.549999999999999</v>
      </c>
      <c r="BD24" s="54">
        <f t="shared" si="25"/>
        <v>11.549999999999999</v>
      </c>
      <c r="BE24" s="54">
        <f t="shared" si="25"/>
        <v>11.549999999999999</v>
      </c>
      <c r="BF24" s="54">
        <f t="shared" si="25"/>
        <v>26.949999999999996</v>
      </c>
      <c r="BG24" s="54">
        <f t="shared" si="25"/>
        <v>11.549999999999999</v>
      </c>
      <c r="BH24" s="54">
        <f t="shared" si="25"/>
        <v>11.549999999999999</v>
      </c>
      <c r="BI24" s="62">
        <f t="shared" si="16"/>
        <v>0</v>
      </c>
      <c r="BJ24" s="59">
        <f t="shared" ref="BJ24:BU54" si="30">(+IF($K24="",$E24/26*AG24,IF(MONTH($K24)=MONTH(BJ$5),$L24/26*AG24,IF(AND($K24&lt;BJ$5,(MONTH($K24)&lt;&gt;MONTH(BJ$5))),$L24/26*AG24,$E24/26*AG24))))*-1</f>
        <v>0</v>
      </c>
      <c r="BK24" s="59">
        <f t="shared" si="30"/>
        <v>0</v>
      </c>
      <c r="BL24" s="59">
        <f t="shared" si="30"/>
        <v>0</v>
      </c>
      <c r="BM24" s="59">
        <f t="shared" si="30"/>
        <v>0</v>
      </c>
      <c r="BN24" s="59">
        <f t="shared" si="30"/>
        <v>0</v>
      </c>
      <c r="BO24" s="59">
        <f t="shared" si="30"/>
        <v>0</v>
      </c>
      <c r="BP24" s="59">
        <f t="shared" si="30"/>
        <v>0</v>
      </c>
      <c r="BQ24" s="59">
        <f t="shared" si="30"/>
        <v>0</v>
      </c>
      <c r="BR24" s="59">
        <f t="shared" si="30"/>
        <v>0</v>
      </c>
      <c r="BS24" s="59">
        <f t="shared" si="30"/>
        <v>0</v>
      </c>
      <c r="BT24" s="59">
        <f t="shared" si="30"/>
        <v>0</v>
      </c>
      <c r="BU24" s="59">
        <f t="shared" si="30"/>
        <v>0</v>
      </c>
      <c r="BV24" s="67">
        <f t="shared" si="18"/>
        <v>147.78076923076929</v>
      </c>
      <c r="BX24" s="54">
        <f t="shared" si="19"/>
        <v>15.015000000000001</v>
      </c>
      <c r="BY24" s="54">
        <f t="shared" si="19"/>
        <v>15.015000000000001</v>
      </c>
      <c r="BZ24" s="54">
        <f t="shared" si="19"/>
        <v>15.015000000000001</v>
      </c>
      <c r="CA24" s="54">
        <f t="shared" si="19"/>
        <v>15.015000000000001</v>
      </c>
      <c r="CB24" s="54">
        <f t="shared" si="19"/>
        <v>15.015000000000001</v>
      </c>
      <c r="CC24" s="54">
        <f t="shared" si="19"/>
        <v>15.015000000000001</v>
      </c>
      <c r="CD24" s="54">
        <f t="shared" si="19"/>
        <v>15.015000000000001</v>
      </c>
      <c r="CE24" s="54">
        <f t="shared" si="19"/>
        <v>15.015000000000001</v>
      </c>
      <c r="CF24" s="54">
        <f t="shared" si="19"/>
        <v>15.015000000000001</v>
      </c>
      <c r="CG24" s="54">
        <f t="shared" si="19"/>
        <v>35.034999999999997</v>
      </c>
      <c r="CH24" s="54">
        <f t="shared" si="19"/>
        <v>15.015000000000001</v>
      </c>
      <c r="CI24" s="54">
        <f t="shared" si="19"/>
        <v>15.015000000000001</v>
      </c>
      <c r="CJ24" s="74">
        <f t="shared" si="27"/>
        <v>200.2</v>
      </c>
      <c r="CK24" s="59">
        <f t="shared" si="26"/>
        <v>20</v>
      </c>
      <c r="CL24" s="9">
        <f t="shared" si="28"/>
        <v>0</v>
      </c>
      <c r="CM24" s="71">
        <f t="shared" si="21"/>
        <v>200.2</v>
      </c>
      <c r="CN24" s="72"/>
      <c r="CO24" s="73"/>
    </row>
    <row r="25" spans="1:94" ht="20.25" customHeight="1">
      <c r="A25" s="75" t="s">
        <v>94</v>
      </c>
      <c r="B25" s="1" t="s">
        <v>95</v>
      </c>
      <c r="C25" s="1" t="s">
        <v>79</v>
      </c>
      <c r="D25" s="58">
        <f>+VLOOKUP(A25,'[1]BDD-Avk Tx'!B:CE,82,0)</f>
        <v>972</v>
      </c>
      <c r="E25" s="59">
        <v>356</v>
      </c>
      <c r="G25" s="4">
        <v>41153</v>
      </c>
      <c r="H25" s="4">
        <f t="shared" si="10"/>
        <v>45647</v>
      </c>
      <c r="I25" s="60" t="str">
        <f>+VLOOKUP(A25,'[1]BDD-Avk Tx'!B:BZ,77,0)</f>
        <v>CDI</v>
      </c>
      <c r="J25" s="4">
        <f t="shared" si="11"/>
        <v>45647</v>
      </c>
      <c r="N25" s="3"/>
      <c r="P25" s="54">
        <f t="shared" si="22"/>
        <v>13.25</v>
      </c>
      <c r="Q25" s="61">
        <v>2</v>
      </c>
      <c r="R25" s="62">
        <f t="shared" si="23"/>
        <v>20</v>
      </c>
      <c r="S25" s="54">
        <f t="shared" si="24"/>
        <v>1.5</v>
      </c>
      <c r="T25" s="54">
        <f t="shared" si="24"/>
        <v>1.5</v>
      </c>
      <c r="U25" s="54">
        <f t="shared" si="24"/>
        <v>1.5</v>
      </c>
      <c r="V25" s="54">
        <f t="shared" si="24"/>
        <v>1.5</v>
      </c>
      <c r="W25" s="54">
        <f t="shared" si="24"/>
        <v>1.5</v>
      </c>
      <c r="X25" s="54">
        <f t="shared" si="24"/>
        <v>1.5</v>
      </c>
      <c r="Y25" s="54">
        <f t="shared" si="24"/>
        <v>1.5</v>
      </c>
      <c r="Z25" s="54">
        <f t="shared" si="24"/>
        <v>1.5</v>
      </c>
      <c r="AA25" s="54">
        <f t="shared" si="24"/>
        <v>1.5</v>
      </c>
      <c r="AB25" s="54">
        <f t="shared" si="24"/>
        <v>3.5</v>
      </c>
      <c r="AC25" s="54">
        <f t="shared" si="24"/>
        <v>1.5</v>
      </c>
      <c r="AD25" s="54">
        <f t="shared" si="24"/>
        <v>1.5</v>
      </c>
      <c r="AF25" s="62">
        <f t="shared" si="13"/>
        <v>10</v>
      </c>
      <c r="AG25" s="64">
        <v>0</v>
      </c>
      <c r="AH25" s="64">
        <v>0</v>
      </c>
      <c r="AI25" s="65">
        <v>10</v>
      </c>
      <c r="AJ25" s="66"/>
      <c r="AK25" s="64"/>
      <c r="AL25" s="64"/>
      <c r="AM25" s="64"/>
      <c r="AN25" s="64"/>
      <c r="AO25" s="64"/>
      <c r="AP25" s="64"/>
      <c r="AQ25" s="64"/>
      <c r="AR25" s="64"/>
      <c r="AS25" s="67">
        <f t="shared" si="14"/>
        <v>12</v>
      </c>
      <c r="AT25" s="68"/>
      <c r="AU25" s="69">
        <v>15.173076923076962</v>
      </c>
      <c r="AV25" s="62">
        <f t="shared" si="29"/>
        <v>273.84615384615387</v>
      </c>
      <c r="AW25" s="54">
        <f t="shared" si="25"/>
        <v>20.538461538461537</v>
      </c>
      <c r="AX25" s="54">
        <f t="shared" si="25"/>
        <v>20.538461538461537</v>
      </c>
      <c r="AY25" s="54">
        <f t="shared" si="25"/>
        <v>20.538461538461537</v>
      </c>
      <c r="AZ25" s="54">
        <f t="shared" si="25"/>
        <v>20.538461538461537</v>
      </c>
      <c r="BA25" s="54">
        <f t="shared" si="25"/>
        <v>20.538461538461537</v>
      </c>
      <c r="BB25" s="54">
        <f t="shared" si="25"/>
        <v>20.538461538461537</v>
      </c>
      <c r="BC25" s="54">
        <f t="shared" si="25"/>
        <v>20.538461538461537</v>
      </c>
      <c r="BD25" s="54">
        <f t="shared" si="25"/>
        <v>20.538461538461537</v>
      </c>
      <c r="BE25" s="54">
        <f t="shared" si="25"/>
        <v>20.538461538461537</v>
      </c>
      <c r="BF25" s="54">
        <f t="shared" si="25"/>
        <v>47.92307692307692</v>
      </c>
      <c r="BG25" s="54">
        <f t="shared" si="25"/>
        <v>20.538461538461537</v>
      </c>
      <c r="BH25" s="54">
        <f t="shared" si="25"/>
        <v>20.538461538461537</v>
      </c>
      <c r="BI25" s="62">
        <f t="shared" si="16"/>
        <v>-136.92307692307691</v>
      </c>
      <c r="BJ25" s="59">
        <f t="shared" si="30"/>
        <v>0</v>
      </c>
      <c r="BK25" s="59">
        <f t="shared" si="30"/>
        <v>0</v>
      </c>
      <c r="BL25" s="59">
        <f t="shared" si="30"/>
        <v>-136.92307692307691</v>
      </c>
      <c r="BM25" s="59">
        <f t="shared" si="30"/>
        <v>0</v>
      </c>
      <c r="BN25" s="59">
        <f t="shared" si="30"/>
        <v>0</v>
      </c>
      <c r="BO25" s="59">
        <f t="shared" si="30"/>
        <v>0</v>
      </c>
      <c r="BP25" s="59">
        <f t="shared" si="30"/>
        <v>0</v>
      </c>
      <c r="BQ25" s="59">
        <f t="shared" si="30"/>
        <v>0</v>
      </c>
      <c r="BR25" s="59">
        <f t="shared" si="30"/>
        <v>0</v>
      </c>
      <c r="BS25" s="59">
        <f t="shared" si="30"/>
        <v>0</v>
      </c>
      <c r="BT25" s="59">
        <f t="shared" si="30"/>
        <v>0</v>
      </c>
      <c r="BU25" s="59">
        <f t="shared" si="30"/>
        <v>0</v>
      </c>
      <c r="BV25" s="67">
        <f t="shared" si="18"/>
        <v>152.09615384615392</v>
      </c>
      <c r="BX25" s="54">
        <f t="shared" si="19"/>
        <v>26.700000000000003</v>
      </c>
      <c r="BY25" s="54">
        <f t="shared" si="19"/>
        <v>26.700000000000003</v>
      </c>
      <c r="BZ25" s="54">
        <f t="shared" si="19"/>
        <v>26.700000000000003</v>
      </c>
      <c r="CA25" s="54">
        <f t="shared" si="19"/>
        <v>26.700000000000003</v>
      </c>
      <c r="CB25" s="54">
        <f t="shared" si="19"/>
        <v>26.700000000000003</v>
      </c>
      <c r="CC25" s="54">
        <f t="shared" si="19"/>
        <v>26.700000000000003</v>
      </c>
      <c r="CD25" s="54">
        <f t="shared" si="19"/>
        <v>26.700000000000003</v>
      </c>
      <c r="CE25" s="54">
        <f t="shared" si="19"/>
        <v>26.700000000000003</v>
      </c>
      <c r="CF25" s="54">
        <f t="shared" si="19"/>
        <v>26.700000000000003</v>
      </c>
      <c r="CG25" s="54">
        <f t="shared" si="19"/>
        <v>62.300000000000004</v>
      </c>
      <c r="CH25" s="54">
        <f t="shared" si="19"/>
        <v>26.700000000000003</v>
      </c>
      <c r="CI25" s="54">
        <f t="shared" si="19"/>
        <v>26.700000000000003</v>
      </c>
      <c r="CJ25" s="74">
        <f t="shared" si="27"/>
        <v>355.99999999999994</v>
      </c>
      <c r="CK25" s="59">
        <f t="shared" si="26"/>
        <v>20</v>
      </c>
      <c r="CL25" s="9">
        <f t="shared" si="28"/>
        <v>0</v>
      </c>
      <c r="CM25" s="71">
        <f t="shared" si="21"/>
        <v>356</v>
      </c>
      <c r="CN25" s="54"/>
      <c r="CO25" s="73"/>
      <c r="CP25" s="56"/>
    </row>
    <row r="26" spans="1:94" ht="20.25" customHeight="1">
      <c r="A26" s="1" t="s">
        <v>96</v>
      </c>
      <c r="B26" s="1" t="s">
        <v>97</v>
      </c>
      <c r="C26" s="1" t="s">
        <v>79</v>
      </c>
      <c r="D26" s="58">
        <f>+VLOOKUP(A26,'[1]BDD-Avk Tx'!B:CE,82,0)</f>
        <v>972</v>
      </c>
      <c r="E26" s="59">
        <v>200.2</v>
      </c>
      <c r="G26" s="4">
        <v>41153</v>
      </c>
      <c r="H26" s="4">
        <f t="shared" si="10"/>
        <v>45647</v>
      </c>
      <c r="I26" s="60" t="str">
        <f>+VLOOKUP(A26,'[1]BDD-Avk Tx'!B:BZ,77,0)</f>
        <v>CDI</v>
      </c>
      <c r="J26" s="4">
        <f t="shared" si="11"/>
        <v>45647</v>
      </c>
      <c r="N26" s="3"/>
      <c r="P26" s="54">
        <f t="shared" si="22"/>
        <v>13.25</v>
      </c>
      <c r="Q26" s="61">
        <v>0</v>
      </c>
      <c r="R26" s="62">
        <f t="shared" si="23"/>
        <v>20</v>
      </c>
      <c r="S26" s="54">
        <f t="shared" si="24"/>
        <v>1.5</v>
      </c>
      <c r="T26" s="54">
        <f t="shared" si="24"/>
        <v>1.5</v>
      </c>
      <c r="U26" s="54">
        <f t="shared" si="24"/>
        <v>1.5</v>
      </c>
      <c r="V26" s="54">
        <f t="shared" si="24"/>
        <v>1.5</v>
      </c>
      <c r="W26" s="54">
        <f t="shared" si="24"/>
        <v>1.5</v>
      </c>
      <c r="X26" s="54">
        <f t="shared" si="24"/>
        <v>1.5</v>
      </c>
      <c r="Y26" s="54">
        <f t="shared" si="24"/>
        <v>1.5</v>
      </c>
      <c r="Z26" s="54">
        <f t="shared" si="24"/>
        <v>1.5</v>
      </c>
      <c r="AA26" s="54">
        <f t="shared" si="24"/>
        <v>1.5</v>
      </c>
      <c r="AB26" s="54">
        <f t="shared" si="24"/>
        <v>3.5</v>
      </c>
      <c r="AC26" s="54">
        <f t="shared" si="24"/>
        <v>1.5</v>
      </c>
      <c r="AD26" s="54">
        <f t="shared" si="24"/>
        <v>1.5</v>
      </c>
      <c r="AF26" s="62">
        <f t="shared" si="13"/>
        <v>0</v>
      </c>
      <c r="AG26" s="64">
        <v>0</v>
      </c>
      <c r="AH26" s="64">
        <v>0</v>
      </c>
      <c r="AI26" s="65">
        <v>0</v>
      </c>
      <c r="AJ26" s="66"/>
      <c r="AK26" s="64"/>
      <c r="AL26" s="64"/>
      <c r="AM26" s="64"/>
      <c r="AN26" s="64"/>
      <c r="AO26" s="64"/>
      <c r="AP26" s="64"/>
      <c r="AQ26" s="64"/>
      <c r="AR26" s="64"/>
      <c r="AS26" s="67">
        <f t="shared" si="14"/>
        <v>20</v>
      </c>
      <c r="AT26" s="68"/>
      <c r="AU26" s="69">
        <v>-6.2192307692307054</v>
      </c>
      <c r="AV26" s="62">
        <f t="shared" si="29"/>
        <v>154</v>
      </c>
      <c r="AW26" s="54">
        <f t="shared" si="25"/>
        <v>11.549999999999999</v>
      </c>
      <c r="AX26" s="54">
        <f t="shared" si="25"/>
        <v>11.549999999999999</v>
      </c>
      <c r="AY26" s="54">
        <f t="shared" si="25"/>
        <v>11.549999999999999</v>
      </c>
      <c r="AZ26" s="54">
        <f t="shared" si="25"/>
        <v>11.549999999999999</v>
      </c>
      <c r="BA26" s="54">
        <f t="shared" si="25"/>
        <v>11.549999999999999</v>
      </c>
      <c r="BB26" s="54">
        <f t="shared" si="25"/>
        <v>11.549999999999999</v>
      </c>
      <c r="BC26" s="54">
        <f t="shared" si="25"/>
        <v>11.549999999999999</v>
      </c>
      <c r="BD26" s="54">
        <f t="shared" si="25"/>
        <v>11.549999999999999</v>
      </c>
      <c r="BE26" s="54">
        <f t="shared" si="25"/>
        <v>11.549999999999999</v>
      </c>
      <c r="BF26" s="54">
        <f t="shared" si="25"/>
        <v>26.949999999999996</v>
      </c>
      <c r="BG26" s="54">
        <f t="shared" si="25"/>
        <v>11.549999999999999</v>
      </c>
      <c r="BH26" s="54">
        <f t="shared" si="25"/>
        <v>11.549999999999999</v>
      </c>
      <c r="BI26" s="62">
        <f t="shared" si="16"/>
        <v>0</v>
      </c>
      <c r="BJ26" s="59">
        <f t="shared" si="30"/>
        <v>0</v>
      </c>
      <c r="BK26" s="59">
        <f t="shared" si="30"/>
        <v>0</v>
      </c>
      <c r="BL26" s="59">
        <f t="shared" si="30"/>
        <v>0</v>
      </c>
      <c r="BM26" s="59">
        <f t="shared" si="30"/>
        <v>0</v>
      </c>
      <c r="BN26" s="59">
        <f t="shared" si="30"/>
        <v>0</v>
      </c>
      <c r="BO26" s="59">
        <f t="shared" si="30"/>
        <v>0</v>
      </c>
      <c r="BP26" s="59">
        <f t="shared" si="30"/>
        <v>0</v>
      </c>
      <c r="BQ26" s="59">
        <f t="shared" si="30"/>
        <v>0</v>
      </c>
      <c r="BR26" s="59">
        <f t="shared" si="30"/>
        <v>0</v>
      </c>
      <c r="BS26" s="59">
        <f t="shared" si="30"/>
        <v>0</v>
      </c>
      <c r="BT26" s="59">
        <f t="shared" si="30"/>
        <v>0</v>
      </c>
      <c r="BU26" s="59">
        <f t="shared" si="30"/>
        <v>0</v>
      </c>
      <c r="BV26" s="67">
        <f t="shared" si="18"/>
        <v>147.78076923076929</v>
      </c>
      <c r="BX26" s="54">
        <f t="shared" si="19"/>
        <v>15.015000000000001</v>
      </c>
      <c r="BY26" s="54">
        <f t="shared" si="19"/>
        <v>15.015000000000001</v>
      </c>
      <c r="BZ26" s="54">
        <f t="shared" si="19"/>
        <v>15.015000000000001</v>
      </c>
      <c r="CA26" s="54">
        <f t="shared" si="19"/>
        <v>15.015000000000001</v>
      </c>
      <c r="CB26" s="54">
        <f t="shared" si="19"/>
        <v>15.015000000000001</v>
      </c>
      <c r="CC26" s="54">
        <f t="shared" si="19"/>
        <v>15.015000000000001</v>
      </c>
      <c r="CD26" s="54">
        <f t="shared" si="19"/>
        <v>15.015000000000001</v>
      </c>
      <c r="CE26" s="54">
        <f t="shared" si="19"/>
        <v>15.015000000000001</v>
      </c>
      <c r="CF26" s="54">
        <f t="shared" si="19"/>
        <v>15.015000000000001</v>
      </c>
      <c r="CG26" s="54">
        <f t="shared" si="19"/>
        <v>35.034999999999997</v>
      </c>
      <c r="CH26" s="54">
        <f t="shared" si="19"/>
        <v>15.015000000000001</v>
      </c>
      <c r="CI26" s="54">
        <f t="shared" si="19"/>
        <v>15.015000000000001</v>
      </c>
      <c r="CJ26" s="74">
        <f t="shared" si="27"/>
        <v>200.2</v>
      </c>
      <c r="CK26" s="59">
        <f t="shared" si="26"/>
        <v>20</v>
      </c>
      <c r="CL26" s="9">
        <f t="shared" si="28"/>
        <v>0</v>
      </c>
      <c r="CM26" s="71">
        <f t="shared" si="21"/>
        <v>200.2</v>
      </c>
      <c r="CN26" s="72"/>
      <c r="CO26" s="73"/>
    </row>
    <row r="27" spans="1:94" ht="20.25" customHeight="1">
      <c r="A27" s="75" t="s">
        <v>98</v>
      </c>
      <c r="B27" s="1" t="s">
        <v>99</v>
      </c>
      <c r="C27" s="1" t="s">
        <v>100</v>
      </c>
      <c r="D27" s="58">
        <f>+VLOOKUP(A27,'[1]BDD-Avk Tx'!B:CE,82,0)</f>
        <v>972</v>
      </c>
      <c r="E27" s="59">
        <v>200.2</v>
      </c>
      <c r="G27" s="4">
        <v>41153</v>
      </c>
      <c r="H27" s="4">
        <f t="shared" si="10"/>
        <v>45647</v>
      </c>
      <c r="I27" s="60" t="str">
        <f>+VLOOKUP(A27,'[1]BDD-Avk Tx'!B:BZ,77,0)</f>
        <v>CDI</v>
      </c>
      <c r="J27" s="4">
        <f t="shared" si="11"/>
        <v>45647</v>
      </c>
      <c r="N27" s="3"/>
      <c r="P27" s="54">
        <f t="shared" si="22"/>
        <v>13.25</v>
      </c>
      <c r="Q27" s="61">
        <v>0</v>
      </c>
      <c r="R27" s="62">
        <f t="shared" si="23"/>
        <v>20</v>
      </c>
      <c r="S27" s="54">
        <f t="shared" si="24"/>
        <v>1.5</v>
      </c>
      <c r="T27" s="54">
        <f t="shared" si="24"/>
        <v>1.5</v>
      </c>
      <c r="U27" s="54">
        <f t="shared" si="24"/>
        <v>1.5</v>
      </c>
      <c r="V27" s="54">
        <f t="shared" si="24"/>
        <v>1.5</v>
      </c>
      <c r="W27" s="54">
        <f t="shared" si="24"/>
        <v>1.5</v>
      </c>
      <c r="X27" s="54">
        <f t="shared" si="24"/>
        <v>1.5</v>
      </c>
      <c r="Y27" s="54">
        <f t="shared" si="24"/>
        <v>1.5</v>
      </c>
      <c r="Z27" s="54">
        <f t="shared" si="24"/>
        <v>1.5</v>
      </c>
      <c r="AA27" s="54">
        <f t="shared" si="24"/>
        <v>1.5</v>
      </c>
      <c r="AB27" s="54">
        <f t="shared" si="24"/>
        <v>3.5</v>
      </c>
      <c r="AC27" s="54">
        <f t="shared" si="24"/>
        <v>1.5</v>
      </c>
      <c r="AD27" s="54">
        <f t="shared" si="24"/>
        <v>1.5</v>
      </c>
      <c r="AF27" s="62">
        <f t="shared" si="13"/>
        <v>0</v>
      </c>
      <c r="AG27" s="64">
        <v>0</v>
      </c>
      <c r="AH27" s="64">
        <v>0</v>
      </c>
      <c r="AI27" s="65">
        <v>0</v>
      </c>
      <c r="AJ27" s="66"/>
      <c r="AK27" s="64"/>
      <c r="AL27" s="64"/>
      <c r="AM27" s="64"/>
      <c r="AN27" s="64"/>
      <c r="AO27" s="64"/>
      <c r="AP27" s="64"/>
      <c r="AQ27" s="64"/>
      <c r="AR27" s="64"/>
      <c r="AS27" s="67">
        <f t="shared" si="14"/>
        <v>20</v>
      </c>
      <c r="AT27" s="68"/>
      <c r="AU27" s="69">
        <v>-6.2192307692307338</v>
      </c>
      <c r="AV27" s="62">
        <f t="shared" si="29"/>
        <v>154</v>
      </c>
      <c r="AW27" s="54">
        <f t="shared" si="25"/>
        <v>11.549999999999999</v>
      </c>
      <c r="AX27" s="54">
        <f t="shared" si="25"/>
        <v>11.549999999999999</v>
      </c>
      <c r="AY27" s="54">
        <f t="shared" si="25"/>
        <v>11.549999999999999</v>
      </c>
      <c r="AZ27" s="54">
        <f t="shared" si="25"/>
        <v>11.549999999999999</v>
      </c>
      <c r="BA27" s="54">
        <f t="shared" si="25"/>
        <v>11.549999999999999</v>
      </c>
      <c r="BB27" s="54">
        <f t="shared" si="25"/>
        <v>11.549999999999999</v>
      </c>
      <c r="BC27" s="54">
        <f t="shared" si="25"/>
        <v>11.549999999999999</v>
      </c>
      <c r="BD27" s="54">
        <f t="shared" si="25"/>
        <v>11.549999999999999</v>
      </c>
      <c r="BE27" s="54">
        <f t="shared" si="25"/>
        <v>11.549999999999999</v>
      </c>
      <c r="BF27" s="54">
        <f t="shared" si="25"/>
        <v>26.949999999999996</v>
      </c>
      <c r="BG27" s="54">
        <f t="shared" si="25"/>
        <v>11.549999999999999</v>
      </c>
      <c r="BH27" s="54">
        <f t="shared" si="25"/>
        <v>11.549999999999999</v>
      </c>
      <c r="BI27" s="62">
        <f t="shared" si="16"/>
        <v>0</v>
      </c>
      <c r="BJ27" s="59">
        <f t="shared" si="30"/>
        <v>0</v>
      </c>
      <c r="BK27" s="59">
        <f t="shared" si="30"/>
        <v>0</v>
      </c>
      <c r="BL27" s="59">
        <f t="shared" si="30"/>
        <v>0</v>
      </c>
      <c r="BM27" s="59">
        <f t="shared" si="30"/>
        <v>0</v>
      </c>
      <c r="BN27" s="59">
        <f t="shared" si="30"/>
        <v>0</v>
      </c>
      <c r="BO27" s="59">
        <f t="shared" si="30"/>
        <v>0</v>
      </c>
      <c r="BP27" s="59">
        <f t="shared" si="30"/>
        <v>0</v>
      </c>
      <c r="BQ27" s="59">
        <f t="shared" si="30"/>
        <v>0</v>
      </c>
      <c r="BR27" s="59">
        <f t="shared" si="30"/>
        <v>0</v>
      </c>
      <c r="BS27" s="59">
        <f t="shared" si="30"/>
        <v>0</v>
      </c>
      <c r="BT27" s="59">
        <f t="shared" si="30"/>
        <v>0</v>
      </c>
      <c r="BU27" s="59">
        <f t="shared" si="30"/>
        <v>0</v>
      </c>
      <c r="BV27" s="67">
        <f t="shared" si="18"/>
        <v>147.78076923076927</v>
      </c>
      <c r="BX27" s="54">
        <f t="shared" si="19"/>
        <v>15.015000000000001</v>
      </c>
      <c r="BY27" s="54">
        <f t="shared" si="19"/>
        <v>15.015000000000001</v>
      </c>
      <c r="BZ27" s="54">
        <f t="shared" si="19"/>
        <v>15.015000000000001</v>
      </c>
      <c r="CA27" s="54">
        <f t="shared" si="19"/>
        <v>15.015000000000001</v>
      </c>
      <c r="CB27" s="54">
        <f t="shared" si="19"/>
        <v>15.015000000000001</v>
      </c>
      <c r="CC27" s="54">
        <f t="shared" si="19"/>
        <v>15.015000000000001</v>
      </c>
      <c r="CD27" s="54">
        <f t="shared" si="19"/>
        <v>15.015000000000001</v>
      </c>
      <c r="CE27" s="54">
        <f t="shared" si="19"/>
        <v>15.015000000000001</v>
      </c>
      <c r="CF27" s="54">
        <f t="shared" si="19"/>
        <v>15.015000000000001</v>
      </c>
      <c r="CG27" s="54">
        <f t="shared" si="19"/>
        <v>35.034999999999997</v>
      </c>
      <c r="CH27" s="54">
        <f t="shared" si="19"/>
        <v>15.015000000000001</v>
      </c>
      <c r="CI27" s="54">
        <f t="shared" si="19"/>
        <v>15.015000000000001</v>
      </c>
      <c r="CJ27" s="74">
        <f t="shared" si="27"/>
        <v>200.2</v>
      </c>
      <c r="CK27" s="59">
        <f t="shared" si="26"/>
        <v>20</v>
      </c>
      <c r="CL27" s="9">
        <f t="shared" si="28"/>
        <v>0</v>
      </c>
      <c r="CM27" s="71">
        <f t="shared" si="21"/>
        <v>200.2</v>
      </c>
      <c r="CN27" s="54"/>
      <c r="CO27" s="73"/>
      <c r="CP27" s="56"/>
    </row>
    <row r="28" spans="1:94" ht="20.25" customHeight="1">
      <c r="A28" s="1" t="s">
        <v>101</v>
      </c>
      <c r="B28" s="1" t="s">
        <v>102</v>
      </c>
      <c r="C28" s="1" t="s">
        <v>79</v>
      </c>
      <c r="D28" s="58">
        <f>+VLOOKUP(A28,'[1]BDD-Avk Tx'!B:CE,82,0)</f>
        <v>972</v>
      </c>
      <c r="E28" s="59">
        <v>200.2</v>
      </c>
      <c r="G28" s="4">
        <v>41153</v>
      </c>
      <c r="H28" s="4">
        <f t="shared" si="10"/>
        <v>45647</v>
      </c>
      <c r="I28" s="60" t="str">
        <f>+VLOOKUP(A28,'[1]BDD-Avk Tx'!B:BZ,77,0)</f>
        <v>CDI</v>
      </c>
      <c r="J28" s="4">
        <f t="shared" si="11"/>
        <v>45647</v>
      </c>
      <c r="N28" s="3"/>
      <c r="P28" s="54">
        <f t="shared" si="22"/>
        <v>13.25</v>
      </c>
      <c r="Q28" s="61">
        <v>0</v>
      </c>
      <c r="R28" s="62">
        <f t="shared" si="23"/>
        <v>20</v>
      </c>
      <c r="S28" s="54">
        <f t="shared" si="24"/>
        <v>1.5</v>
      </c>
      <c r="T28" s="54">
        <f t="shared" si="24"/>
        <v>1.5</v>
      </c>
      <c r="U28" s="54">
        <f t="shared" si="24"/>
        <v>1.5</v>
      </c>
      <c r="V28" s="54">
        <f t="shared" si="24"/>
        <v>1.5</v>
      </c>
      <c r="W28" s="54">
        <f t="shared" si="24"/>
        <v>1.5</v>
      </c>
      <c r="X28" s="54">
        <f t="shared" si="24"/>
        <v>1.5</v>
      </c>
      <c r="Y28" s="54">
        <f t="shared" si="24"/>
        <v>1.5</v>
      </c>
      <c r="Z28" s="54">
        <f t="shared" si="24"/>
        <v>1.5</v>
      </c>
      <c r="AA28" s="54">
        <f t="shared" si="24"/>
        <v>1.5</v>
      </c>
      <c r="AB28" s="54">
        <f t="shared" si="24"/>
        <v>3.5</v>
      </c>
      <c r="AC28" s="54">
        <f t="shared" si="24"/>
        <v>1.5</v>
      </c>
      <c r="AD28" s="54">
        <f t="shared" si="24"/>
        <v>1.5</v>
      </c>
      <c r="AF28" s="62">
        <f t="shared" si="13"/>
        <v>9</v>
      </c>
      <c r="AG28" s="64">
        <v>0</v>
      </c>
      <c r="AH28" s="64">
        <v>0</v>
      </c>
      <c r="AI28" s="65">
        <v>9</v>
      </c>
      <c r="AJ28" s="66"/>
      <c r="AK28" s="64"/>
      <c r="AL28" s="64"/>
      <c r="AM28" s="64"/>
      <c r="AN28" s="64"/>
      <c r="AO28" s="64"/>
      <c r="AP28" s="64"/>
      <c r="AQ28" s="64"/>
      <c r="AR28" s="64"/>
      <c r="AS28" s="67">
        <f t="shared" si="14"/>
        <v>11</v>
      </c>
      <c r="AT28" s="68"/>
      <c r="AU28" s="69">
        <v>-7.2557692307692037</v>
      </c>
      <c r="AV28" s="62">
        <f t="shared" si="29"/>
        <v>154</v>
      </c>
      <c r="AW28" s="54">
        <f t="shared" si="25"/>
        <v>11.549999999999999</v>
      </c>
      <c r="AX28" s="54">
        <f t="shared" si="25"/>
        <v>11.549999999999999</v>
      </c>
      <c r="AY28" s="54">
        <f t="shared" si="25"/>
        <v>11.549999999999999</v>
      </c>
      <c r="AZ28" s="54">
        <f t="shared" si="25"/>
        <v>11.549999999999999</v>
      </c>
      <c r="BA28" s="54">
        <f t="shared" si="25"/>
        <v>11.549999999999999</v>
      </c>
      <c r="BB28" s="54">
        <f t="shared" si="25"/>
        <v>11.549999999999999</v>
      </c>
      <c r="BC28" s="54">
        <f t="shared" si="25"/>
        <v>11.549999999999999</v>
      </c>
      <c r="BD28" s="54">
        <f t="shared" si="25"/>
        <v>11.549999999999999</v>
      </c>
      <c r="BE28" s="54">
        <f t="shared" si="25"/>
        <v>11.549999999999999</v>
      </c>
      <c r="BF28" s="54">
        <f t="shared" si="25"/>
        <v>26.949999999999996</v>
      </c>
      <c r="BG28" s="54">
        <f t="shared" si="25"/>
        <v>11.549999999999999</v>
      </c>
      <c r="BH28" s="54">
        <f t="shared" si="25"/>
        <v>11.549999999999999</v>
      </c>
      <c r="BI28" s="62">
        <f t="shared" si="16"/>
        <v>-69.3</v>
      </c>
      <c r="BJ28" s="59">
        <f t="shared" si="30"/>
        <v>0</v>
      </c>
      <c r="BK28" s="59">
        <f t="shared" si="30"/>
        <v>0</v>
      </c>
      <c r="BL28" s="59">
        <f t="shared" si="30"/>
        <v>-69.3</v>
      </c>
      <c r="BM28" s="59">
        <f t="shared" si="30"/>
        <v>0</v>
      </c>
      <c r="BN28" s="59">
        <f t="shared" si="30"/>
        <v>0</v>
      </c>
      <c r="BO28" s="59">
        <f t="shared" si="30"/>
        <v>0</v>
      </c>
      <c r="BP28" s="59">
        <f t="shared" si="30"/>
        <v>0</v>
      </c>
      <c r="BQ28" s="59">
        <f t="shared" si="30"/>
        <v>0</v>
      </c>
      <c r="BR28" s="59">
        <f t="shared" si="30"/>
        <v>0</v>
      </c>
      <c r="BS28" s="59">
        <f t="shared" si="30"/>
        <v>0</v>
      </c>
      <c r="BT28" s="59">
        <f t="shared" si="30"/>
        <v>0</v>
      </c>
      <c r="BU28" s="59">
        <f t="shared" si="30"/>
        <v>0</v>
      </c>
      <c r="BV28" s="67">
        <f t="shared" si="18"/>
        <v>77.444230769230799</v>
      </c>
      <c r="BX28" s="54">
        <f t="shared" si="19"/>
        <v>15.015000000000001</v>
      </c>
      <c r="BY28" s="54">
        <f t="shared" si="19"/>
        <v>15.015000000000001</v>
      </c>
      <c r="BZ28" s="54">
        <f t="shared" si="19"/>
        <v>15.015000000000001</v>
      </c>
      <c r="CA28" s="54">
        <f t="shared" si="19"/>
        <v>15.015000000000001</v>
      </c>
      <c r="CB28" s="54">
        <f t="shared" si="19"/>
        <v>15.015000000000001</v>
      </c>
      <c r="CC28" s="54">
        <f t="shared" si="19"/>
        <v>15.015000000000001</v>
      </c>
      <c r="CD28" s="54">
        <f t="shared" si="19"/>
        <v>15.015000000000001</v>
      </c>
      <c r="CE28" s="54">
        <f t="shared" si="19"/>
        <v>15.015000000000001</v>
      </c>
      <c r="CF28" s="54">
        <f t="shared" si="19"/>
        <v>15.015000000000001</v>
      </c>
      <c r="CG28" s="54">
        <f t="shared" si="19"/>
        <v>35.034999999999997</v>
      </c>
      <c r="CH28" s="54">
        <f t="shared" si="19"/>
        <v>15.015000000000001</v>
      </c>
      <c r="CI28" s="54">
        <f t="shared" si="19"/>
        <v>15.015000000000001</v>
      </c>
      <c r="CJ28" s="74">
        <f t="shared" si="27"/>
        <v>200.2</v>
      </c>
      <c r="CK28" s="59">
        <f t="shared" si="26"/>
        <v>20</v>
      </c>
      <c r="CL28" s="9">
        <f t="shared" si="28"/>
        <v>0</v>
      </c>
      <c r="CM28" s="71">
        <f t="shared" si="21"/>
        <v>200.2</v>
      </c>
      <c r="CN28" s="72"/>
      <c r="CO28" s="73"/>
    </row>
    <row r="29" spans="1:94" ht="20.25" customHeight="1">
      <c r="A29" s="75" t="s">
        <v>103</v>
      </c>
      <c r="B29" s="1" t="s">
        <v>104</v>
      </c>
      <c r="C29" s="1" t="s">
        <v>105</v>
      </c>
      <c r="D29" s="58">
        <f>+VLOOKUP(A29,'[1]BDD-Avk Tx'!B:CE,82,0)</f>
        <v>160</v>
      </c>
      <c r="E29" s="59">
        <v>200.2</v>
      </c>
      <c r="G29" s="4">
        <v>41153</v>
      </c>
      <c r="H29" s="4">
        <f t="shared" si="10"/>
        <v>45647</v>
      </c>
      <c r="I29" s="60" t="str">
        <f>+VLOOKUP(A29,'[1]BDD-Avk Tx'!B:BZ,77,0)</f>
        <v>CDI</v>
      </c>
      <c r="J29" s="4">
        <f t="shared" si="11"/>
        <v>45647</v>
      </c>
      <c r="N29" s="3"/>
      <c r="P29" s="54">
        <f t="shared" si="22"/>
        <v>13.25</v>
      </c>
      <c r="Q29" s="61">
        <v>-1</v>
      </c>
      <c r="R29" s="62">
        <f t="shared" si="23"/>
        <v>20</v>
      </c>
      <c r="S29" s="54">
        <f t="shared" si="24"/>
        <v>1.5</v>
      </c>
      <c r="T29" s="54">
        <f t="shared" si="24"/>
        <v>1.5</v>
      </c>
      <c r="U29" s="54">
        <f t="shared" si="24"/>
        <v>1.5</v>
      </c>
      <c r="V29" s="54">
        <f t="shared" si="24"/>
        <v>1.5</v>
      </c>
      <c r="W29" s="54">
        <f t="shared" si="24"/>
        <v>1.5</v>
      </c>
      <c r="X29" s="54">
        <f t="shared" si="24"/>
        <v>1.5</v>
      </c>
      <c r="Y29" s="54">
        <f t="shared" si="24"/>
        <v>1.5</v>
      </c>
      <c r="Z29" s="54">
        <f t="shared" si="24"/>
        <v>1.5</v>
      </c>
      <c r="AA29" s="54">
        <f t="shared" si="24"/>
        <v>1.5</v>
      </c>
      <c r="AB29" s="54">
        <f t="shared" si="24"/>
        <v>3.5</v>
      </c>
      <c r="AC29" s="54">
        <f t="shared" si="24"/>
        <v>1.5</v>
      </c>
      <c r="AD29" s="54">
        <f t="shared" si="24"/>
        <v>1.5</v>
      </c>
      <c r="AF29" s="62">
        <f t="shared" si="13"/>
        <v>0</v>
      </c>
      <c r="AG29" s="64">
        <v>0</v>
      </c>
      <c r="AH29" s="64">
        <v>0</v>
      </c>
      <c r="AI29" s="65">
        <v>0</v>
      </c>
      <c r="AJ29" s="66"/>
      <c r="AK29" s="64"/>
      <c r="AL29" s="64"/>
      <c r="AM29" s="64"/>
      <c r="AN29" s="64"/>
      <c r="AO29" s="64"/>
      <c r="AP29" s="64"/>
      <c r="AQ29" s="64"/>
      <c r="AR29" s="64"/>
      <c r="AS29" s="67">
        <f t="shared" si="14"/>
        <v>19</v>
      </c>
      <c r="AT29" s="68"/>
      <c r="AU29" s="69">
        <v>-0.44423076923075655</v>
      </c>
      <c r="AV29" s="62">
        <f t="shared" si="29"/>
        <v>154</v>
      </c>
      <c r="AW29" s="54">
        <f t="shared" si="25"/>
        <v>11.549999999999999</v>
      </c>
      <c r="AX29" s="54">
        <f t="shared" si="25"/>
        <v>11.549999999999999</v>
      </c>
      <c r="AY29" s="54">
        <f t="shared" si="25"/>
        <v>11.549999999999999</v>
      </c>
      <c r="AZ29" s="54">
        <f t="shared" si="25"/>
        <v>11.549999999999999</v>
      </c>
      <c r="BA29" s="54">
        <f t="shared" si="25"/>
        <v>11.549999999999999</v>
      </c>
      <c r="BB29" s="54">
        <f t="shared" si="25"/>
        <v>11.549999999999999</v>
      </c>
      <c r="BC29" s="54">
        <f t="shared" si="25"/>
        <v>11.549999999999999</v>
      </c>
      <c r="BD29" s="54">
        <f t="shared" si="25"/>
        <v>11.549999999999999</v>
      </c>
      <c r="BE29" s="54">
        <f t="shared" si="25"/>
        <v>11.549999999999999</v>
      </c>
      <c r="BF29" s="54">
        <f t="shared" si="25"/>
        <v>26.949999999999996</v>
      </c>
      <c r="BG29" s="54">
        <f t="shared" si="25"/>
        <v>11.549999999999999</v>
      </c>
      <c r="BH29" s="54">
        <f t="shared" si="25"/>
        <v>11.549999999999999</v>
      </c>
      <c r="BI29" s="62">
        <f t="shared" si="16"/>
        <v>0</v>
      </c>
      <c r="BJ29" s="59">
        <f t="shared" si="30"/>
        <v>0</v>
      </c>
      <c r="BK29" s="59">
        <f t="shared" si="30"/>
        <v>0</v>
      </c>
      <c r="BL29" s="59">
        <f t="shared" si="30"/>
        <v>0</v>
      </c>
      <c r="BM29" s="59">
        <f t="shared" si="30"/>
        <v>0</v>
      </c>
      <c r="BN29" s="59">
        <f t="shared" si="30"/>
        <v>0</v>
      </c>
      <c r="BO29" s="59">
        <f t="shared" si="30"/>
        <v>0</v>
      </c>
      <c r="BP29" s="59">
        <f t="shared" si="30"/>
        <v>0</v>
      </c>
      <c r="BQ29" s="59">
        <f t="shared" si="30"/>
        <v>0</v>
      </c>
      <c r="BR29" s="59">
        <f t="shared" si="30"/>
        <v>0</v>
      </c>
      <c r="BS29" s="59">
        <f t="shared" si="30"/>
        <v>0</v>
      </c>
      <c r="BT29" s="59">
        <f t="shared" si="30"/>
        <v>0</v>
      </c>
      <c r="BU29" s="59">
        <f t="shared" si="30"/>
        <v>0</v>
      </c>
      <c r="BV29" s="67">
        <f t="shared" si="18"/>
        <v>153.55576923076924</v>
      </c>
      <c r="BX29" s="54">
        <f t="shared" si="19"/>
        <v>15.015000000000001</v>
      </c>
      <c r="BY29" s="54">
        <f t="shared" si="19"/>
        <v>15.015000000000001</v>
      </c>
      <c r="BZ29" s="54">
        <f t="shared" si="19"/>
        <v>15.015000000000001</v>
      </c>
      <c r="CA29" s="54">
        <f t="shared" si="19"/>
        <v>15.015000000000001</v>
      </c>
      <c r="CB29" s="54">
        <f t="shared" si="19"/>
        <v>15.015000000000001</v>
      </c>
      <c r="CC29" s="54">
        <f t="shared" si="19"/>
        <v>15.015000000000001</v>
      </c>
      <c r="CD29" s="54">
        <f t="shared" ref="CD29:CI86" si="31">+IF(AND($J29&gt;CD$5,MONTH($J29&lt;&gt;CD$5)),0,+IF(AND($J29&gt;CD$5,MONTH($J29=CD$5)),$E29/$R29*DAY($J29),IF(AND($O29&lt;&gt;"",$O29&lt;CD$5),0,IF($K29="",$E29/$R29*Y29,IF(MONTH($K29)=MONTH(CD$5),$L29/$R29*Y29,IF(AND($K29&lt;CD$5,(MONTH($K29)&lt;&gt;MONTH(CD$5))),$L29/$R29*Y29,$E29/$R29*Y29))))))</f>
        <v>15.015000000000001</v>
      </c>
      <c r="CE29" s="54">
        <f t="shared" si="31"/>
        <v>15.015000000000001</v>
      </c>
      <c r="CF29" s="54">
        <f t="shared" si="31"/>
        <v>15.015000000000001</v>
      </c>
      <c r="CG29" s="54">
        <f t="shared" si="31"/>
        <v>35.034999999999997</v>
      </c>
      <c r="CH29" s="54">
        <f t="shared" si="31"/>
        <v>15.015000000000001</v>
      </c>
      <c r="CI29" s="54">
        <f t="shared" si="31"/>
        <v>15.015000000000001</v>
      </c>
      <c r="CJ29" s="74">
        <f t="shared" si="27"/>
        <v>200.2</v>
      </c>
      <c r="CK29" s="59">
        <f t="shared" si="26"/>
        <v>20</v>
      </c>
      <c r="CL29" s="9">
        <f t="shared" si="28"/>
        <v>0</v>
      </c>
      <c r="CM29" s="71">
        <f t="shared" si="21"/>
        <v>200.2</v>
      </c>
      <c r="CN29" s="54"/>
      <c r="CO29" s="73"/>
      <c r="CP29" s="56"/>
    </row>
    <row r="30" spans="1:94" ht="20.25" customHeight="1">
      <c r="A30" s="1" t="s">
        <v>106</v>
      </c>
      <c r="B30" s="1" t="s">
        <v>107</v>
      </c>
      <c r="C30" s="1" t="s">
        <v>79</v>
      </c>
      <c r="D30" s="58">
        <f>+VLOOKUP(A30,'[1]BDD-Avk Tx'!B:CE,82,0)</f>
        <v>972</v>
      </c>
      <c r="E30" s="59">
        <v>172.9</v>
      </c>
      <c r="G30" s="4">
        <v>43024</v>
      </c>
      <c r="H30" s="4">
        <f t="shared" si="10"/>
        <v>45647</v>
      </c>
      <c r="I30" s="60" t="str">
        <f>+VLOOKUP(A30,'[1]BDD-Avk Tx'!B:BZ,77,0)</f>
        <v>CDI</v>
      </c>
      <c r="J30" s="4">
        <f t="shared" si="11"/>
        <v>45647</v>
      </c>
      <c r="N30" s="3"/>
      <c r="P30" s="54">
        <f t="shared" si="22"/>
        <v>8.1666666666666661</v>
      </c>
      <c r="Q30" s="61">
        <v>0</v>
      </c>
      <c r="R30" s="62">
        <f t="shared" si="23"/>
        <v>19</v>
      </c>
      <c r="S30" s="54">
        <f t="shared" si="24"/>
        <v>1.5</v>
      </c>
      <c r="T30" s="54">
        <f t="shared" si="24"/>
        <v>1.5</v>
      </c>
      <c r="U30" s="54">
        <f t="shared" si="24"/>
        <v>1.5</v>
      </c>
      <c r="V30" s="54">
        <f t="shared" si="24"/>
        <v>1.5</v>
      </c>
      <c r="W30" s="54">
        <f t="shared" si="24"/>
        <v>1.5</v>
      </c>
      <c r="X30" s="54">
        <f t="shared" si="24"/>
        <v>1.5</v>
      </c>
      <c r="Y30" s="54">
        <f t="shared" si="24"/>
        <v>1.5</v>
      </c>
      <c r="Z30" s="54">
        <f t="shared" si="24"/>
        <v>1.5</v>
      </c>
      <c r="AA30" s="54">
        <f t="shared" si="24"/>
        <v>1.5</v>
      </c>
      <c r="AB30" s="54">
        <f t="shared" si="24"/>
        <v>1.5</v>
      </c>
      <c r="AC30" s="54">
        <f t="shared" si="24"/>
        <v>2.5</v>
      </c>
      <c r="AD30" s="54">
        <f t="shared" si="24"/>
        <v>1.5</v>
      </c>
      <c r="AF30" s="62">
        <f t="shared" si="13"/>
        <v>0</v>
      </c>
      <c r="AG30" s="64">
        <v>0</v>
      </c>
      <c r="AH30" s="64">
        <v>0</v>
      </c>
      <c r="AI30" s="65">
        <v>0</v>
      </c>
      <c r="AJ30" s="66"/>
      <c r="AK30" s="64"/>
      <c r="AL30" s="64"/>
      <c r="AM30" s="64"/>
      <c r="AN30" s="64"/>
      <c r="AO30" s="64"/>
      <c r="AP30" s="64"/>
      <c r="AQ30" s="64"/>
      <c r="AR30" s="64"/>
      <c r="AS30" s="67">
        <f t="shared" si="14"/>
        <v>19</v>
      </c>
      <c r="AT30" s="68"/>
      <c r="AU30" s="69">
        <v>-2.12692307692312</v>
      </c>
      <c r="AV30" s="62">
        <f t="shared" si="29"/>
        <v>126.35</v>
      </c>
      <c r="AW30" s="54">
        <f t="shared" si="25"/>
        <v>9.9750000000000014</v>
      </c>
      <c r="AX30" s="54">
        <f t="shared" si="25"/>
        <v>9.9750000000000014</v>
      </c>
      <c r="AY30" s="54">
        <f t="shared" si="25"/>
        <v>9.9750000000000014</v>
      </c>
      <c r="AZ30" s="54">
        <f t="shared" si="25"/>
        <v>9.9750000000000014</v>
      </c>
      <c r="BA30" s="54">
        <f t="shared" si="25"/>
        <v>9.9750000000000014</v>
      </c>
      <c r="BB30" s="54">
        <f t="shared" si="25"/>
        <v>9.9750000000000014</v>
      </c>
      <c r="BC30" s="54">
        <f t="shared" si="25"/>
        <v>9.9750000000000014</v>
      </c>
      <c r="BD30" s="54">
        <f t="shared" si="25"/>
        <v>9.9750000000000014</v>
      </c>
      <c r="BE30" s="54">
        <f t="shared" si="25"/>
        <v>9.9750000000000014</v>
      </c>
      <c r="BF30" s="54">
        <f t="shared" si="25"/>
        <v>9.9750000000000014</v>
      </c>
      <c r="BG30" s="54">
        <f t="shared" si="25"/>
        <v>16.625</v>
      </c>
      <c r="BH30" s="54">
        <f t="shared" si="25"/>
        <v>9.9750000000000014</v>
      </c>
      <c r="BI30" s="62">
        <f t="shared" si="16"/>
        <v>0</v>
      </c>
      <c r="BJ30" s="59">
        <f t="shared" si="30"/>
        <v>0</v>
      </c>
      <c r="BK30" s="59">
        <f t="shared" si="30"/>
        <v>0</v>
      </c>
      <c r="BL30" s="59">
        <f t="shared" si="30"/>
        <v>0</v>
      </c>
      <c r="BM30" s="59">
        <f t="shared" si="30"/>
        <v>0</v>
      </c>
      <c r="BN30" s="59">
        <f t="shared" si="30"/>
        <v>0</v>
      </c>
      <c r="BO30" s="59">
        <f t="shared" si="30"/>
        <v>0</v>
      </c>
      <c r="BP30" s="59">
        <f t="shared" si="30"/>
        <v>0</v>
      </c>
      <c r="BQ30" s="59">
        <f t="shared" si="30"/>
        <v>0</v>
      </c>
      <c r="BR30" s="59">
        <f t="shared" si="30"/>
        <v>0</v>
      </c>
      <c r="BS30" s="59">
        <f t="shared" si="30"/>
        <v>0</v>
      </c>
      <c r="BT30" s="59">
        <f t="shared" si="30"/>
        <v>0</v>
      </c>
      <c r="BU30" s="59">
        <f t="shared" si="30"/>
        <v>0</v>
      </c>
      <c r="BV30" s="67">
        <f t="shared" si="18"/>
        <v>124.22307692307687</v>
      </c>
      <c r="BX30" s="54">
        <f t="shared" ref="BX30:CC90" si="32">+IF(AND($J30&gt;BX$5,MONTH($J30&lt;&gt;BX$5)),0,+IF(AND($J30&gt;BX$5,MONTH($J30=BX$5)),$E30/$R30*DAY($J30),IF(AND($O30&lt;&gt;"",$O30&lt;BX$5),0,IF($K30="",$E30/$R30*S30,IF(MONTH($K30)=MONTH(BX$5),$L30/$R30*S30,IF(AND($K30&lt;BX$5,(MONTH($K30)&lt;&gt;MONTH(BX$5))),$L30/$R30*S30,$E30/$R30*S30))))))</f>
        <v>13.649999999999999</v>
      </c>
      <c r="BY30" s="54">
        <f t="shared" si="32"/>
        <v>13.649999999999999</v>
      </c>
      <c r="BZ30" s="54">
        <f t="shared" si="32"/>
        <v>13.649999999999999</v>
      </c>
      <c r="CA30" s="54">
        <f t="shared" si="32"/>
        <v>13.649999999999999</v>
      </c>
      <c r="CB30" s="54">
        <f t="shared" si="32"/>
        <v>13.649999999999999</v>
      </c>
      <c r="CC30" s="54">
        <f t="shared" si="32"/>
        <v>13.649999999999999</v>
      </c>
      <c r="CD30" s="54">
        <f t="shared" si="31"/>
        <v>13.649999999999999</v>
      </c>
      <c r="CE30" s="54">
        <f t="shared" si="31"/>
        <v>13.649999999999999</v>
      </c>
      <c r="CF30" s="54">
        <f t="shared" si="31"/>
        <v>13.649999999999999</v>
      </c>
      <c r="CG30" s="54">
        <f t="shared" si="31"/>
        <v>13.649999999999999</v>
      </c>
      <c r="CH30" s="54">
        <f t="shared" si="31"/>
        <v>22.75</v>
      </c>
      <c r="CI30" s="54">
        <f t="shared" si="31"/>
        <v>13.649999999999999</v>
      </c>
      <c r="CJ30" s="74">
        <f t="shared" si="27"/>
        <v>172.90000000000003</v>
      </c>
      <c r="CK30" s="59">
        <f t="shared" si="26"/>
        <v>19</v>
      </c>
      <c r="CL30" s="9">
        <f t="shared" si="28"/>
        <v>0</v>
      </c>
      <c r="CM30" s="71">
        <f t="shared" si="21"/>
        <v>172.9</v>
      </c>
      <c r="CN30" s="72"/>
      <c r="CO30" s="73"/>
    </row>
    <row r="31" spans="1:94" ht="20.25" customHeight="1">
      <c r="A31" s="75" t="s">
        <v>108</v>
      </c>
      <c r="B31" s="1" t="s">
        <v>109</v>
      </c>
      <c r="C31" s="1" t="s">
        <v>110</v>
      </c>
      <c r="D31" s="58">
        <f>+VLOOKUP(A31,'[1]BDD-Avk Tx'!B:CE,82,0)</f>
        <v>160</v>
      </c>
      <c r="E31" s="59">
        <v>634.4</v>
      </c>
      <c r="G31" s="4">
        <v>41153</v>
      </c>
      <c r="H31" s="4">
        <f t="shared" si="10"/>
        <v>45647</v>
      </c>
      <c r="I31" s="60" t="str">
        <f>+VLOOKUP(A31,'[1]BDD-Avk Tx'!B:BZ,77,0)</f>
        <v>CDI</v>
      </c>
      <c r="J31" s="4">
        <f t="shared" si="11"/>
        <v>45647</v>
      </c>
      <c r="N31" s="3"/>
      <c r="P31" s="54">
        <f t="shared" si="22"/>
        <v>13.25</v>
      </c>
      <c r="Q31" s="61">
        <v>0</v>
      </c>
      <c r="R31" s="62">
        <f t="shared" si="23"/>
        <v>20</v>
      </c>
      <c r="S31" s="54">
        <f t="shared" si="24"/>
        <v>1.5</v>
      </c>
      <c r="T31" s="54">
        <f t="shared" si="24"/>
        <v>1.5</v>
      </c>
      <c r="U31" s="54">
        <f t="shared" si="24"/>
        <v>1.5</v>
      </c>
      <c r="V31" s="54">
        <f t="shared" si="24"/>
        <v>1.5</v>
      </c>
      <c r="W31" s="54">
        <f t="shared" si="24"/>
        <v>1.5</v>
      </c>
      <c r="X31" s="54">
        <f t="shared" si="24"/>
        <v>1.5</v>
      </c>
      <c r="Y31" s="54">
        <f t="shared" si="24"/>
        <v>1.5</v>
      </c>
      <c r="Z31" s="54">
        <f t="shared" si="24"/>
        <v>1.5</v>
      </c>
      <c r="AA31" s="54">
        <f t="shared" si="24"/>
        <v>1.5</v>
      </c>
      <c r="AB31" s="54">
        <f t="shared" si="24"/>
        <v>3.5</v>
      </c>
      <c r="AC31" s="54">
        <f t="shared" si="24"/>
        <v>1.5</v>
      </c>
      <c r="AD31" s="54">
        <f t="shared" si="24"/>
        <v>1.5</v>
      </c>
      <c r="AF31" s="62">
        <f t="shared" si="13"/>
        <v>7</v>
      </c>
      <c r="AG31" s="64">
        <v>7</v>
      </c>
      <c r="AH31" s="64">
        <v>0</v>
      </c>
      <c r="AI31" s="65">
        <v>0</v>
      </c>
      <c r="AJ31" s="66"/>
      <c r="AK31" s="64"/>
      <c r="AL31" s="64"/>
      <c r="AM31" s="64"/>
      <c r="AN31" s="64"/>
      <c r="AO31" s="64"/>
      <c r="AP31" s="64"/>
      <c r="AQ31" s="64"/>
      <c r="AR31" s="64"/>
      <c r="AS31" s="67">
        <f t="shared" si="14"/>
        <v>13</v>
      </c>
      <c r="AT31" s="68"/>
      <c r="AU31" s="69">
        <v>-107.94538461538468</v>
      </c>
      <c r="AV31" s="62">
        <f t="shared" si="29"/>
        <v>488</v>
      </c>
      <c r="AW31" s="54">
        <f t="shared" si="25"/>
        <v>36.599999999999994</v>
      </c>
      <c r="AX31" s="54">
        <f t="shared" si="25"/>
        <v>36.599999999999994</v>
      </c>
      <c r="AY31" s="54">
        <f t="shared" si="25"/>
        <v>36.599999999999994</v>
      </c>
      <c r="AZ31" s="54">
        <f t="shared" si="25"/>
        <v>36.599999999999994</v>
      </c>
      <c r="BA31" s="54">
        <f t="shared" si="25"/>
        <v>36.599999999999994</v>
      </c>
      <c r="BB31" s="54">
        <f t="shared" si="25"/>
        <v>36.599999999999994</v>
      </c>
      <c r="BC31" s="54">
        <f t="shared" si="25"/>
        <v>36.599999999999994</v>
      </c>
      <c r="BD31" s="54">
        <f t="shared" si="25"/>
        <v>36.599999999999994</v>
      </c>
      <c r="BE31" s="54">
        <f t="shared" si="25"/>
        <v>36.599999999999994</v>
      </c>
      <c r="BF31" s="54">
        <f t="shared" si="25"/>
        <v>85.399999999999991</v>
      </c>
      <c r="BG31" s="54">
        <f t="shared" si="25"/>
        <v>36.599999999999994</v>
      </c>
      <c r="BH31" s="54">
        <f t="shared" si="25"/>
        <v>36.599999999999994</v>
      </c>
      <c r="BI31" s="62">
        <f t="shared" si="16"/>
        <v>-170.79999999999998</v>
      </c>
      <c r="BJ31" s="59">
        <f t="shared" si="30"/>
        <v>-170.79999999999998</v>
      </c>
      <c r="BK31" s="59">
        <f t="shared" si="30"/>
        <v>0</v>
      </c>
      <c r="BL31" s="59">
        <f t="shared" si="30"/>
        <v>0</v>
      </c>
      <c r="BM31" s="59">
        <f t="shared" si="30"/>
        <v>0</v>
      </c>
      <c r="BN31" s="59">
        <f t="shared" si="30"/>
        <v>0</v>
      </c>
      <c r="BO31" s="59">
        <f t="shared" si="30"/>
        <v>0</v>
      </c>
      <c r="BP31" s="59">
        <f t="shared" si="30"/>
        <v>0</v>
      </c>
      <c r="BQ31" s="59">
        <f t="shared" si="30"/>
        <v>0</v>
      </c>
      <c r="BR31" s="59">
        <f t="shared" si="30"/>
        <v>0</v>
      </c>
      <c r="BS31" s="59">
        <f t="shared" si="30"/>
        <v>0</v>
      </c>
      <c r="BT31" s="59">
        <f t="shared" si="30"/>
        <v>0</v>
      </c>
      <c r="BU31" s="59">
        <f t="shared" si="30"/>
        <v>0</v>
      </c>
      <c r="BV31" s="67">
        <f t="shared" si="18"/>
        <v>209.25461538461533</v>
      </c>
      <c r="BX31" s="54">
        <f t="shared" si="32"/>
        <v>47.58</v>
      </c>
      <c r="BY31" s="54">
        <f t="shared" si="32"/>
        <v>47.58</v>
      </c>
      <c r="BZ31" s="54">
        <f t="shared" si="32"/>
        <v>47.58</v>
      </c>
      <c r="CA31" s="54">
        <f t="shared" si="32"/>
        <v>47.58</v>
      </c>
      <c r="CB31" s="54">
        <f t="shared" si="32"/>
        <v>47.58</v>
      </c>
      <c r="CC31" s="54">
        <f t="shared" si="32"/>
        <v>47.58</v>
      </c>
      <c r="CD31" s="54">
        <f t="shared" si="31"/>
        <v>47.58</v>
      </c>
      <c r="CE31" s="54">
        <f t="shared" si="31"/>
        <v>47.58</v>
      </c>
      <c r="CF31" s="54">
        <f t="shared" si="31"/>
        <v>47.58</v>
      </c>
      <c r="CG31" s="54">
        <f t="shared" si="31"/>
        <v>111.02</v>
      </c>
      <c r="CH31" s="54">
        <f t="shared" si="31"/>
        <v>47.58</v>
      </c>
      <c r="CI31" s="54">
        <f t="shared" si="31"/>
        <v>47.58</v>
      </c>
      <c r="CJ31" s="74">
        <f t="shared" si="27"/>
        <v>634.4</v>
      </c>
      <c r="CK31" s="59">
        <f t="shared" si="26"/>
        <v>20</v>
      </c>
      <c r="CL31" s="9">
        <f t="shared" si="28"/>
        <v>0</v>
      </c>
      <c r="CM31" s="71">
        <f t="shared" si="21"/>
        <v>634.4</v>
      </c>
      <c r="CN31" s="54"/>
      <c r="CO31" s="73"/>
      <c r="CP31" s="56"/>
    </row>
    <row r="32" spans="1:94" ht="20.25" customHeight="1">
      <c r="A32" s="75" t="s">
        <v>111</v>
      </c>
      <c r="B32" s="1" t="s">
        <v>112</v>
      </c>
      <c r="C32" s="1" t="s">
        <v>113</v>
      </c>
      <c r="D32" s="58">
        <f>+VLOOKUP(A32,'[1]BDD-Avk Tx'!B:CE,82,0)</f>
        <v>290</v>
      </c>
      <c r="E32" s="59">
        <v>412.1</v>
      </c>
      <c r="G32" s="4">
        <v>41153</v>
      </c>
      <c r="H32" s="4">
        <f t="shared" si="10"/>
        <v>45647</v>
      </c>
      <c r="I32" s="60" t="str">
        <f>+VLOOKUP(A32,'[1]BDD-Avk Tx'!B:BZ,77,0)</f>
        <v>CDI</v>
      </c>
      <c r="J32" s="4">
        <f t="shared" si="11"/>
        <v>45647</v>
      </c>
      <c r="N32" s="3"/>
      <c r="P32" s="54">
        <f t="shared" si="22"/>
        <v>13.25</v>
      </c>
      <c r="Q32" s="61">
        <v>1</v>
      </c>
      <c r="R32" s="62">
        <f t="shared" si="23"/>
        <v>20</v>
      </c>
      <c r="S32" s="54">
        <f t="shared" si="24"/>
        <v>1.5</v>
      </c>
      <c r="T32" s="54">
        <f t="shared" si="24"/>
        <v>1.5</v>
      </c>
      <c r="U32" s="54">
        <f t="shared" si="24"/>
        <v>1.5</v>
      </c>
      <c r="V32" s="54">
        <f t="shared" si="24"/>
        <v>1.5</v>
      </c>
      <c r="W32" s="54">
        <f t="shared" si="24"/>
        <v>1.5</v>
      </c>
      <c r="X32" s="54">
        <f t="shared" si="24"/>
        <v>1.5</v>
      </c>
      <c r="Y32" s="54">
        <f t="shared" si="24"/>
        <v>1.5</v>
      </c>
      <c r="Z32" s="54">
        <f t="shared" si="24"/>
        <v>1.5</v>
      </c>
      <c r="AA32" s="54">
        <f t="shared" si="24"/>
        <v>1.5</v>
      </c>
      <c r="AB32" s="54">
        <f t="shared" si="24"/>
        <v>3.5</v>
      </c>
      <c r="AC32" s="54">
        <f t="shared" si="24"/>
        <v>1.5</v>
      </c>
      <c r="AD32" s="54">
        <f t="shared" si="24"/>
        <v>1.5</v>
      </c>
      <c r="AF32" s="62">
        <f t="shared" si="13"/>
        <v>0</v>
      </c>
      <c r="AG32" s="64">
        <v>0</v>
      </c>
      <c r="AH32" s="64">
        <v>0</v>
      </c>
      <c r="AI32" s="65">
        <v>0</v>
      </c>
      <c r="AJ32" s="66"/>
      <c r="AK32" s="64"/>
      <c r="AL32" s="64"/>
      <c r="AM32" s="64"/>
      <c r="AN32" s="64"/>
      <c r="AO32" s="64"/>
      <c r="AP32" s="64"/>
      <c r="AQ32" s="64"/>
      <c r="AR32" s="64"/>
      <c r="AS32" s="67">
        <f t="shared" si="14"/>
        <v>21</v>
      </c>
      <c r="AT32" s="68"/>
      <c r="AU32" s="69">
        <v>39.865384615384585</v>
      </c>
      <c r="AV32" s="62">
        <f t="shared" si="29"/>
        <v>317</v>
      </c>
      <c r="AW32" s="54">
        <f t="shared" si="25"/>
        <v>23.775000000000002</v>
      </c>
      <c r="AX32" s="54">
        <f t="shared" si="25"/>
        <v>23.775000000000002</v>
      </c>
      <c r="AY32" s="54">
        <f t="shared" si="25"/>
        <v>23.775000000000002</v>
      </c>
      <c r="AZ32" s="54">
        <f t="shared" si="25"/>
        <v>23.775000000000002</v>
      </c>
      <c r="BA32" s="54">
        <f t="shared" si="25"/>
        <v>23.775000000000002</v>
      </c>
      <c r="BB32" s="54">
        <f t="shared" si="25"/>
        <v>23.775000000000002</v>
      </c>
      <c r="BC32" s="54">
        <f t="shared" si="25"/>
        <v>23.775000000000002</v>
      </c>
      <c r="BD32" s="54">
        <f t="shared" si="25"/>
        <v>23.775000000000002</v>
      </c>
      <c r="BE32" s="54">
        <f t="shared" si="25"/>
        <v>23.775000000000002</v>
      </c>
      <c r="BF32" s="54">
        <f t="shared" si="25"/>
        <v>55.475000000000009</v>
      </c>
      <c r="BG32" s="54">
        <f t="shared" si="25"/>
        <v>23.775000000000002</v>
      </c>
      <c r="BH32" s="54">
        <f t="shared" si="25"/>
        <v>23.775000000000002</v>
      </c>
      <c r="BI32" s="62">
        <f t="shared" si="16"/>
        <v>0</v>
      </c>
      <c r="BJ32" s="59">
        <f t="shared" si="30"/>
        <v>0</v>
      </c>
      <c r="BK32" s="59">
        <f t="shared" si="30"/>
        <v>0</v>
      </c>
      <c r="BL32" s="59">
        <f t="shared" si="30"/>
        <v>0</v>
      </c>
      <c r="BM32" s="59">
        <f t="shared" si="30"/>
        <v>0</v>
      </c>
      <c r="BN32" s="59">
        <f t="shared" si="30"/>
        <v>0</v>
      </c>
      <c r="BO32" s="59">
        <f t="shared" si="30"/>
        <v>0</v>
      </c>
      <c r="BP32" s="59">
        <f t="shared" si="30"/>
        <v>0</v>
      </c>
      <c r="BQ32" s="59">
        <f t="shared" si="30"/>
        <v>0</v>
      </c>
      <c r="BR32" s="59">
        <f t="shared" si="30"/>
        <v>0</v>
      </c>
      <c r="BS32" s="59">
        <f t="shared" si="30"/>
        <v>0</v>
      </c>
      <c r="BT32" s="59">
        <f t="shared" si="30"/>
        <v>0</v>
      </c>
      <c r="BU32" s="59">
        <f t="shared" si="30"/>
        <v>0</v>
      </c>
      <c r="BV32" s="67">
        <f t="shared" si="18"/>
        <v>356.86538461538458</v>
      </c>
      <c r="BX32" s="54">
        <f t="shared" si="32"/>
        <v>30.907499999999999</v>
      </c>
      <c r="BY32" s="54">
        <f t="shared" si="32"/>
        <v>30.907499999999999</v>
      </c>
      <c r="BZ32" s="54">
        <f t="shared" si="32"/>
        <v>30.907499999999999</v>
      </c>
      <c r="CA32" s="54">
        <f t="shared" si="32"/>
        <v>30.907499999999999</v>
      </c>
      <c r="CB32" s="54">
        <f t="shared" si="32"/>
        <v>30.907499999999999</v>
      </c>
      <c r="CC32" s="54">
        <f t="shared" si="32"/>
        <v>30.907499999999999</v>
      </c>
      <c r="CD32" s="54">
        <f t="shared" si="31"/>
        <v>30.907499999999999</v>
      </c>
      <c r="CE32" s="54">
        <f t="shared" si="31"/>
        <v>30.907499999999999</v>
      </c>
      <c r="CF32" s="54">
        <f t="shared" si="31"/>
        <v>30.907499999999999</v>
      </c>
      <c r="CG32" s="54">
        <f t="shared" si="31"/>
        <v>72.117500000000007</v>
      </c>
      <c r="CH32" s="54">
        <f t="shared" si="31"/>
        <v>30.907499999999999</v>
      </c>
      <c r="CI32" s="54">
        <f t="shared" si="31"/>
        <v>30.907499999999999</v>
      </c>
      <c r="CJ32" s="74">
        <f t="shared" si="27"/>
        <v>412.1</v>
      </c>
      <c r="CK32" s="59">
        <f t="shared" si="26"/>
        <v>20</v>
      </c>
      <c r="CL32" s="9">
        <f t="shared" si="28"/>
        <v>0</v>
      </c>
      <c r="CM32" s="71">
        <f t="shared" si="21"/>
        <v>412.1</v>
      </c>
      <c r="CN32" s="54"/>
      <c r="CO32" s="73"/>
      <c r="CP32" s="56"/>
    </row>
    <row r="33" spans="1:94" ht="20.25" customHeight="1">
      <c r="A33" s="1" t="s">
        <v>114</v>
      </c>
      <c r="B33" s="1" t="s">
        <v>115</v>
      </c>
      <c r="C33" s="1" t="s">
        <v>91</v>
      </c>
      <c r="D33" s="58">
        <f>+VLOOKUP(A33,'[1]BDD-Avk Tx'!B:CE,82,0)</f>
        <v>160</v>
      </c>
      <c r="E33" s="59">
        <v>308.10000000000002</v>
      </c>
      <c r="G33" s="4">
        <v>41153</v>
      </c>
      <c r="H33" s="4">
        <f t="shared" si="10"/>
        <v>45647</v>
      </c>
      <c r="I33" s="60" t="str">
        <f>+VLOOKUP(A33,'[1]BDD-Avk Tx'!B:BZ,77,0)</f>
        <v>CDI</v>
      </c>
      <c r="J33" s="4">
        <f t="shared" si="11"/>
        <v>45647</v>
      </c>
      <c r="N33" s="3"/>
      <c r="P33" s="54">
        <f t="shared" si="22"/>
        <v>13.25</v>
      </c>
      <c r="Q33" s="61">
        <v>0</v>
      </c>
      <c r="R33" s="62">
        <f t="shared" si="23"/>
        <v>20</v>
      </c>
      <c r="S33" s="54">
        <f t="shared" si="24"/>
        <v>1.5</v>
      </c>
      <c r="T33" s="54">
        <f t="shared" si="24"/>
        <v>1.5</v>
      </c>
      <c r="U33" s="54">
        <f t="shared" si="24"/>
        <v>1.5</v>
      </c>
      <c r="V33" s="54">
        <f t="shared" si="24"/>
        <v>1.5</v>
      </c>
      <c r="W33" s="54">
        <f t="shared" si="24"/>
        <v>1.5</v>
      </c>
      <c r="X33" s="54">
        <f t="shared" si="24"/>
        <v>1.5</v>
      </c>
      <c r="Y33" s="54">
        <f t="shared" si="24"/>
        <v>1.5</v>
      </c>
      <c r="Z33" s="54">
        <f t="shared" si="24"/>
        <v>1.5</v>
      </c>
      <c r="AA33" s="54">
        <f t="shared" si="24"/>
        <v>1.5</v>
      </c>
      <c r="AB33" s="54">
        <f t="shared" si="24"/>
        <v>3.5</v>
      </c>
      <c r="AC33" s="54">
        <f t="shared" si="24"/>
        <v>1.5</v>
      </c>
      <c r="AD33" s="54">
        <f t="shared" si="24"/>
        <v>1.5</v>
      </c>
      <c r="AF33" s="62">
        <f t="shared" si="13"/>
        <v>0</v>
      </c>
      <c r="AG33" s="64">
        <v>0</v>
      </c>
      <c r="AH33" s="64">
        <v>0</v>
      </c>
      <c r="AI33" s="65">
        <v>0</v>
      </c>
      <c r="AJ33" s="66"/>
      <c r="AK33" s="64"/>
      <c r="AL33" s="64"/>
      <c r="AM33" s="64"/>
      <c r="AN33" s="64"/>
      <c r="AO33" s="64"/>
      <c r="AP33" s="64"/>
      <c r="AQ33" s="64"/>
      <c r="AR33" s="64"/>
      <c r="AS33" s="67">
        <f t="shared" si="14"/>
        <v>20</v>
      </c>
      <c r="AT33" s="68"/>
      <c r="AU33" s="69">
        <v>7.6576923076923151</v>
      </c>
      <c r="AV33" s="62">
        <f t="shared" si="29"/>
        <v>237.00000000000006</v>
      </c>
      <c r="AW33" s="54">
        <f t="shared" si="25"/>
        <v>17.775000000000002</v>
      </c>
      <c r="AX33" s="54">
        <f t="shared" si="25"/>
        <v>17.775000000000002</v>
      </c>
      <c r="AY33" s="54">
        <f t="shared" si="25"/>
        <v>17.775000000000002</v>
      </c>
      <c r="AZ33" s="54">
        <f t="shared" si="25"/>
        <v>17.775000000000002</v>
      </c>
      <c r="BA33" s="54">
        <f t="shared" si="25"/>
        <v>17.775000000000002</v>
      </c>
      <c r="BB33" s="54">
        <f t="shared" si="25"/>
        <v>17.775000000000002</v>
      </c>
      <c r="BC33" s="54">
        <f t="shared" si="25"/>
        <v>17.775000000000002</v>
      </c>
      <c r="BD33" s="54">
        <f t="shared" si="25"/>
        <v>17.775000000000002</v>
      </c>
      <c r="BE33" s="54">
        <f t="shared" si="25"/>
        <v>17.775000000000002</v>
      </c>
      <c r="BF33" s="54">
        <f t="shared" si="25"/>
        <v>41.475000000000009</v>
      </c>
      <c r="BG33" s="54">
        <f t="shared" si="25"/>
        <v>17.775000000000002</v>
      </c>
      <c r="BH33" s="54">
        <f t="shared" si="25"/>
        <v>17.775000000000002</v>
      </c>
      <c r="BI33" s="62">
        <f t="shared" si="16"/>
        <v>0</v>
      </c>
      <c r="BJ33" s="59">
        <f t="shared" si="30"/>
        <v>0</v>
      </c>
      <c r="BK33" s="59">
        <f t="shared" si="30"/>
        <v>0</v>
      </c>
      <c r="BL33" s="59">
        <f t="shared" si="30"/>
        <v>0</v>
      </c>
      <c r="BM33" s="59">
        <f t="shared" si="30"/>
        <v>0</v>
      </c>
      <c r="BN33" s="59">
        <f t="shared" si="30"/>
        <v>0</v>
      </c>
      <c r="BO33" s="59">
        <f t="shared" si="30"/>
        <v>0</v>
      </c>
      <c r="BP33" s="59">
        <f t="shared" si="30"/>
        <v>0</v>
      </c>
      <c r="BQ33" s="59">
        <f t="shared" si="30"/>
        <v>0</v>
      </c>
      <c r="BR33" s="59">
        <f t="shared" si="30"/>
        <v>0</v>
      </c>
      <c r="BS33" s="59">
        <f t="shared" si="30"/>
        <v>0</v>
      </c>
      <c r="BT33" s="59">
        <f t="shared" si="30"/>
        <v>0</v>
      </c>
      <c r="BU33" s="59">
        <f t="shared" si="30"/>
        <v>0</v>
      </c>
      <c r="BV33" s="67">
        <f t="shared" si="18"/>
        <v>244.65769230769237</v>
      </c>
      <c r="BX33" s="54">
        <f t="shared" si="32"/>
        <v>23.107500000000002</v>
      </c>
      <c r="BY33" s="54">
        <f t="shared" si="32"/>
        <v>23.107500000000002</v>
      </c>
      <c r="BZ33" s="54">
        <f t="shared" si="32"/>
        <v>23.107500000000002</v>
      </c>
      <c r="CA33" s="54">
        <f t="shared" si="32"/>
        <v>23.107500000000002</v>
      </c>
      <c r="CB33" s="54">
        <f t="shared" si="32"/>
        <v>23.107500000000002</v>
      </c>
      <c r="CC33" s="54">
        <f t="shared" si="32"/>
        <v>23.107500000000002</v>
      </c>
      <c r="CD33" s="54">
        <f t="shared" si="31"/>
        <v>23.107500000000002</v>
      </c>
      <c r="CE33" s="54">
        <f t="shared" si="31"/>
        <v>23.107500000000002</v>
      </c>
      <c r="CF33" s="54">
        <f t="shared" si="31"/>
        <v>23.107500000000002</v>
      </c>
      <c r="CG33" s="54">
        <f t="shared" si="31"/>
        <v>53.917500000000004</v>
      </c>
      <c r="CH33" s="54">
        <f t="shared" si="31"/>
        <v>23.107500000000002</v>
      </c>
      <c r="CI33" s="54">
        <f t="shared" si="31"/>
        <v>23.107500000000002</v>
      </c>
      <c r="CJ33" s="74">
        <f t="shared" si="27"/>
        <v>308.10000000000008</v>
      </c>
      <c r="CK33" s="59">
        <f t="shared" si="26"/>
        <v>20</v>
      </c>
      <c r="CL33" s="9">
        <f t="shared" si="28"/>
        <v>0</v>
      </c>
      <c r="CM33" s="71">
        <f t="shared" si="21"/>
        <v>308.10000000000002</v>
      </c>
      <c r="CN33" s="72"/>
      <c r="CO33" s="73"/>
    </row>
    <row r="34" spans="1:94" ht="20.25" customHeight="1">
      <c r="A34" s="75" t="s">
        <v>116</v>
      </c>
      <c r="B34" s="1" t="s">
        <v>117</v>
      </c>
      <c r="C34" s="1" t="s">
        <v>118</v>
      </c>
      <c r="D34" s="58">
        <f>+VLOOKUP(A34,'[1]BDD-Avk Tx'!B:CE,82,0)</f>
        <v>160</v>
      </c>
      <c r="E34" s="59">
        <v>356.2</v>
      </c>
      <c r="G34" s="4">
        <v>41153</v>
      </c>
      <c r="H34" s="4">
        <f t="shared" si="10"/>
        <v>45647</v>
      </c>
      <c r="I34" s="60" t="str">
        <f>+VLOOKUP(A34,'[1]BDD-Avk Tx'!B:BZ,77,0)</f>
        <v>CDI</v>
      </c>
      <c r="J34" s="4">
        <f t="shared" si="11"/>
        <v>45647</v>
      </c>
      <c r="N34" s="3"/>
      <c r="P34" s="54">
        <f t="shared" si="22"/>
        <v>13.25</v>
      </c>
      <c r="Q34" s="61">
        <v>0</v>
      </c>
      <c r="R34" s="62">
        <f t="shared" si="23"/>
        <v>20</v>
      </c>
      <c r="S34" s="54">
        <f t="shared" si="24"/>
        <v>1.5</v>
      </c>
      <c r="T34" s="54">
        <f t="shared" si="24"/>
        <v>1.5</v>
      </c>
      <c r="U34" s="54">
        <f t="shared" si="24"/>
        <v>1.5</v>
      </c>
      <c r="V34" s="54">
        <f t="shared" si="24"/>
        <v>1.5</v>
      </c>
      <c r="W34" s="54">
        <f t="shared" si="24"/>
        <v>1.5</v>
      </c>
      <c r="X34" s="54">
        <f t="shared" si="24"/>
        <v>1.5</v>
      </c>
      <c r="Y34" s="54">
        <f t="shared" si="24"/>
        <v>1.5</v>
      </c>
      <c r="Z34" s="54">
        <f t="shared" si="24"/>
        <v>1.5</v>
      </c>
      <c r="AA34" s="54">
        <f t="shared" si="24"/>
        <v>1.5</v>
      </c>
      <c r="AB34" s="54">
        <f t="shared" si="24"/>
        <v>3.5</v>
      </c>
      <c r="AC34" s="54">
        <f t="shared" si="24"/>
        <v>1.5</v>
      </c>
      <c r="AD34" s="54">
        <f t="shared" si="24"/>
        <v>1.5</v>
      </c>
      <c r="AF34" s="62">
        <f t="shared" si="13"/>
        <v>0</v>
      </c>
      <c r="AG34" s="64">
        <v>0</v>
      </c>
      <c r="AH34" s="64">
        <v>0</v>
      </c>
      <c r="AI34" s="65">
        <v>0</v>
      </c>
      <c r="AJ34" s="66"/>
      <c r="AK34" s="64"/>
      <c r="AL34" s="64"/>
      <c r="AM34" s="64"/>
      <c r="AN34" s="64"/>
      <c r="AO34" s="64"/>
      <c r="AP34" s="64"/>
      <c r="AQ34" s="64"/>
      <c r="AR34" s="64"/>
      <c r="AS34" s="67">
        <f t="shared" si="14"/>
        <v>20</v>
      </c>
      <c r="AT34" s="68"/>
      <c r="AU34" s="69">
        <v>-1.6692307692308077</v>
      </c>
      <c r="AV34" s="62">
        <f t="shared" si="29"/>
        <v>274</v>
      </c>
      <c r="AW34" s="54">
        <f t="shared" si="25"/>
        <v>20.549999999999997</v>
      </c>
      <c r="AX34" s="54">
        <f t="shared" si="25"/>
        <v>20.549999999999997</v>
      </c>
      <c r="AY34" s="54">
        <f t="shared" si="25"/>
        <v>20.549999999999997</v>
      </c>
      <c r="AZ34" s="54">
        <f t="shared" si="25"/>
        <v>20.549999999999997</v>
      </c>
      <c r="BA34" s="54">
        <f t="shared" si="25"/>
        <v>20.549999999999997</v>
      </c>
      <c r="BB34" s="54">
        <f t="shared" si="25"/>
        <v>20.549999999999997</v>
      </c>
      <c r="BC34" s="54">
        <f t="shared" si="25"/>
        <v>20.549999999999997</v>
      </c>
      <c r="BD34" s="54">
        <f t="shared" si="25"/>
        <v>20.549999999999997</v>
      </c>
      <c r="BE34" s="54">
        <f t="shared" si="25"/>
        <v>20.549999999999997</v>
      </c>
      <c r="BF34" s="54">
        <f t="shared" si="25"/>
        <v>47.949999999999996</v>
      </c>
      <c r="BG34" s="54">
        <f t="shared" si="25"/>
        <v>20.549999999999997</v>
      </c>
      <c r="BH34" s="54">
        <f t="shared" si="25"/>
        <v>20.549999999999997</v>
      </c>
      <c r="BI34" s="62">
        <f t="shared" si="16"/>
        <v>0</v>
      </c>
      <c r="BJ34" s="59">
        <f t="shared" si="30"/>
        <v>0</v>
      </c>
      <c r="BK34" s="59">
        <f t="shared" si="30"/>
        <v>0</v>
      </c>
      <c r="BL34" s="59">
        <f t="shared" si="30"/>
        <v>0</v>
      </c>
      <c r="BM34" s="59">
        <f t="shared" si="30"/>
        <v>0</v>
      </c>
      <c r="BN34" s="59">
        <f t="shared" si="30"/>
        <v>0</v>
      </c>
      <c r="BO34" s="59">
        <f t="shared" si="30"/>
        <v>0</v>
      </c>
      <c r="BP34" s="59">
        <f t="shared" si="30"/>
        <v>0</v>
      </c>
      <c r="BQ34" s="59">
        <f t="shared" si="30"/>
        <v>0</v>
      </c>
      <c r="BR34" s="59">
        <f t="shared" si="30"/>
        <v>0</v>
      </c>
      <c r="BS34" s="59">
        <f t="shared" si="30"/>
        <v>0</v>
      </c>
      <c r="BT34" s="59">
        <f t="shared" si="30"/>
        <v>0</v>
      </c>
      <c r="BU34" s="59">
        <f t="shared" si="30"/>
        <v>0</v>
      </c>
      <c r="BV34" s="67">
        <f t="shared" si="18"/>
        <v>272.33076923076919</v>
      </c>
      <c r="BX34" s="54">
        <f t="shared" si="32"/>
        <v>26.714999999999996</v>
      </c>
      <c r="BY34" s="54">
        <f t="shared" si="32"/>
        <v>26.714999999999996</v>
      </c>
      <c r="BZ34" s="54">
        <f t="shared" si="32"/>
        <v>26.714999999999996</v>
      </c>
      <c r="CA34" s="54">
        <f t="shared" si="32"/>
        <v>26.714999999999996</v>
      </c>
      <c r="CB34" s="54">
        <f t="shared" si="32"/>
        <v>26.714999999999996</v>
      </c>
      <c r="CC34" s="54">
        <f t="shared" si="32"/>
        <v>26.714999999999996</v>
      </c>
      <c r="CD34" s="54">
        <f t="shared" si="31"/>
        <v>26.714999999999996</v>
      </c>
      <c r="CE34" s="54">
        <f t="shared" si="31"/>
        <v>26.714999999999996</v>
      </c>
      <c r="CF34" s="54">
        <f t="shared" si="31"/>
        <v>26.714999999999996</v>
      </c>
      <c r="CG34" s="54">
        <f t="shared" si="31"/>
        <v>62.334999999999994</v>
      </c>
      <c r="CH34" s="54">
        <f t="shared" si="31"/>
        <v>26.714999999999996</v>
      </c>
      <c r="CI34" s="54">
        <f t="shared" si="31"/>
        <v>26.714999999999996</v>
      </c>
      <c r="CJ34" s="74">
        <f t="shared" si="27"/>
        <v>356.19999999999993</v>
      </c>
      <c r="CK34" s="59">
        <f t="shared" si="26"/>
        <v>20</v>
      </c>
      <c r="CL34" s="9">
        <f t="shared" si="28"/>
        <v>0</v>
      </c>
      <c r="CM34" s="71">
        <f t="shared" si="21"/>
        <v>356.2</v>
      </c>
      <c r="CN34" s="54"/>
      <c r="CO34" s="73"/>
      <c r="CP34" s="56"/>
    </row>
    <row r="35" spans="1:94" ht="20.25" customHeight="1">
      <c r="A35" s="1" t="s">
        <v>119</v>
      </c>
      <c r="B35" s="1" t="s">
        <v>120</v>
      </c>
      <c r="C35" s="1" t="s">
        <v>121</v>
      </c>
      <c r="D35" s="58">
        <f>+VLOOKUP(A35,'[1]BDD-Avk Tx'!B:CE,82,0)</f>
        <v>160</v>
      </c>
      <c r="E35" s="59">
        <v>172.9</v>
      </c>
      <c r="G35" s="4">
        <v>41153</v>
      </c>
      <c r="H35" s="4">
        <f t="shared" si="10"/>
        <v>45647</v>
      </c>
      <c r="I35" s="60" t="str">
        <f>+VLOOKUP(A35,'[1]BDD-Avk Tx'!B:BZ,77,0)</f>
        <v>CDI</v>
      </c>
      <c r="J35" s="4">
        <f t="shared" si="11"/>
        <v>45647</v>
      </c>
      <c r="N35" s="3"/>
      <c r="P35" s="54">
        <f t="shared" si="22"/>
        <v>13.25</v>
      </c>
      <c r="Q35" s="61">
        <v>1</v>
      </c>
      <c r="R35" s="62">
        <f t="shared" si="23"/>
        <v>20</v>
      </c>
      <c r="S35" s="54">
        <f t="shared" si="24"/>
        <v>1.5</v>
      </c>
      <c r="T35" s="54">
        <f t="shared" si="24"/>
        <v>1.5</v>
      </c>
      <c r="U35" s="54">
        <f t="shared" si="24"/>
        <v>1.5</v>
      </c>
      <c r="V35" s="54">
        <f t="shared" si="24"/>
        <v>1.5</v>
      </c>
      <c r="W35" s="54">
        <f t="shared" si="24"/>
        <v>1.5</v>
      </c>
      <c r="X35" s="54">
        <f t="shared" si="24"/>
        <v>1.5</v>
      </c>
      <c r="Y35" s="54">
        <f t="shared" si="24"/>
        <v>1.5</v>
      </c>
      <c r="Z35" s="54">
        <f t="shared" si="24"/>
        <v>1.5</v>
      </c>
      <c r="AA35" s="54">
        <f t="shared" si="24"/>
        <v>1.5</v>
      </c>
      <c r="AB35" s="54">
        <f t="shared" si="24"/>
        <v>3.5</v>
      </c>
      <c r="AC35" s="54">
        <f t="shared" si="24"/>
        <v>1.5</v>
      </c>
      <c r="AD35" s="54">
        <f t="shared" si="24"/>
        <v>1.5</v>
      </c>
      <c r="AF35" s="62">
        <f t="shared" si="13"/>
        <v>0</v>
      </c>
      <c r="AG35" s="64">
        <v>0</v>
      </c>
      <c r="AH35" s="64">
        <v>0</v>
      </c>
      <c r="AI35" s="65">
        <v>0</v>
      </c>
      <c r="AJ35" s="66"/>
      <c r="AK35" s="64"/>
      <c r="AL35" s="64"/>
      <c r="AM35" s="64"/>
      <c r="AN35" s="64"/>
      <c r="AO35" s="64"/>
      <c r="AP35" s="64"/>
      <c r="AQ35" s="64"/>
      <c r="AR35" s="64"/>
      <c r="AS35" s="67">
        <f t="shared" si="14"/>
        <v>21</v>
      </c>
      <c r="AT35" s="68"/>
      <c r="AU35" s="69">
        <v>1.6557692307691525</v>
      </c>
      <c r="AV35" s="62">
        <f t="shared" si="29"/>
        <v>133</v>
      </c>
      <c r="AW35" s="54">
        <f t="shared" si="25"/>
        <v>9.9750000000000014</v>
      </c>
      <c r="AX35" s="54">
        <f t="shared" si="25"/>
        <v>9.9750000000000014</v>
      </c>
      <c r="AY35" s="54">
        <f t="shared" si="25"/>
        <v>9.9750000000000014</v>
      </c>
      <c r="AZ35" s="54">
        <f t="shared" si="25"/>
        <v>9.9750000000000014</v>
      </c>
      <c r="BA35" s="54">
        <f t="shared" si="25"/>
        <v>9.9750000000000014</v>
      </c>
      <c r="BB35" s="54">
        <f t="shared" si="25"/>
        <v>9.9750000000000014</v>
      </c>
      <c r="BC35" s="54">
        <f t="shared" si="25"/>
        <v>9.9750000000000014</v>
      </c>
      <c r="BD35" s="54">
        <f t="shared" si="25"/>
        <v>9.9750000000000014</v>
      </c>
      <c r="BE35" s="54">
        <f t="shared" si="25"/>
        <v>9.9750000000000014</v>
      </c>
      <c r="BF35" s="54">
        <f t="shared" si="25"/>
        <v>23.275000000000002</v>
      </c>
      <c r="BG35" s="54">
        <f t="shared" si="25"/>
        <v>9.9750000000000014</v>
      </c>
      <c r="BH35" s="54">
        <f t="shared" si="25"/>
        <v>9.9750000000000014</v>
      </c>
      <c r="BI35" s="62">
        <f t="shared" si="16"/>
        <v>0</v>
      </c>
      <c r="BJ35" s="59">
        <f t="shared" si="30"/>
        <v>0</v>
      </c>
      <c r="BK35" s="59">
        <f t="shared" si="30"/>
        <v>0</v>
      </c>
      <c r="BL35" s="59">
        <f t="shared" si="30"/>
        <v>0</v>
      </c>
      <c r="BM35" s="59">
        <f t="shared" si="30"/>
        <v>0</v>
      </c>
      <c r="BN35" s="59">
        <f t="shared" si="30"/>
        <v>0</v>
      </c>
      <c r="BO35" s="59">
        <f t="shared" si="30"/>
        <v>0</v>
      </c>
      <c r="BP35" s="59">
        <f t="shared" si="30"/>
        <v>0</v>
      </c>
      <c r="BQ35" s="59">
        <f t="shared" si="30"/>
        <v>0</v>
      </c>
      <c r="BR35" s="59">
        <f t="shared" si="30"/>
        <v>0</v>
      </c>
      <c r="BS35" s="59">
        <f t="shared" si="30"/>
        <v>0</v>
      </c>
      <c r="BT35" s="59">
        <f t="shared" si="30"/>
        <v>0</v>
      </c>
      <c r="BU35" s="59">
        <f t="shared" si="30"/>
        <v>0</v>
      </c>
      <c r="BV35" s="67">
        <f t="shared" si="18"/>
        <v>134.65576923076915</v>
      </c>
      <c r="BX35" s="54">
        <f t="shared" si="32"/>
        <v>12.967499999999999</v>
      </c>
      <c r="BY35" s="54">
        <f t="shared" si="32"/>
        <v>12.967499999999999</v>
      </c>
      <c r="BZ35" s="54">
        <f t="shared" si="32"/>
        <v>12.967499999999999</v>
      </c>
      <c r="CA35" s="54">
        <f t="shared" si="32"/>
        <v>12.967499999999999</v>
      </c>
      <c r="CB35" s="54">
        <f t="shared" si="32"/>
        <v>12.967499999999999</v>
      </c>
      <c r="CC35" s="54">
        <f t="shared" si="32"/>
        <v>12.967499999999999</v>
      </c>
      <c r="CD35" s="54">
        <f t="shared" si="31"/>
        <v>12.967499999999999</v>
      </c>
      <c r="CE35" s="54">
        <f t="shared" si="31"/>
        <v>12.967499999999999</v>
      </c>
      <c r="CF35" s="54">
        <f t="shared" si="31"/>
        <v>12.967499999999999</v>
      </c>
      <c r="CG35" s="54">
        <f t="shared" si="31"/>
        <v>30.2575</v>
      </c>
      <c r="CH35" s="54">
        <f t="shared" si="31"/>
        <v>12.967499999999999</v>
      </c>
      <c r="CI35" s="54">
        <f t="shared" si="31"/>
        <v>12.967499999999999</v>
      </c>
      <c r="CJ35" s="74">
        <f t="shared" si="27"/>
        <v>172.9</v>
      </c>
      <c r="CK35" s="59">
        <f t="shared" si="26"/>
        <v>20</v>
      </c>
      <c r="CL35" s="9">
        <f t="shared" si="28"/>
        <v>0</v>
      </c>
      <c r="CM35" s="71">
        <f t="shared" si="21"/>
        <v>172.9</v>
      </c>
      <c r="CN35" s="72"/>
      <c r="CO35" s="73"/>
    </row>
    <row r="36" spans="1:94" ht="20.25" customHeight="1">
      <c r="A36" s="75" t="s">
        <v>122</v>
      </c>
      <c r="B36" s="1" t="s">
        <v>123</v>
      </c>
      <c r="C36" s="1" t="s">
        <v>121</v>
      </c>
      <c r="D36" s="58">
        <f>+VLOOKUP(A36,'[1]BDD-Avk Tx'!B:CE,82,0)</f>
        <v>160</v>
      </c>
      <c r="E36" s="59">
        <v>172.9</v>
      </c>
      <c r="G36" s="4">
        <v>41153</v>
      </c>
      <c r="H36" s="4">
        <f t="shared" si="10"/>
        <v>45647</v>
      </c>
      <c r="I36" s="60" t="str">
        <f>+VLOOKUP(A36,'[1]BDD-Avk Tx'!B:BZ,77,0)</f>
        <v>CDI</v>
      </c>
      <c r="J36" s="4">
        <f t="shared" si="11"/>
        <v>45647</v>
      </c>
      <c r="N36" s="3"/>
      <c r="P36" s="54">
        <f t="shared" si="22"/>
        <v>13.25</v>
      </c>
      <c r="Q36" s="61">
        <v>0</v>
      </c>
      <c r="R36" s="62">
        <f t="shared" si="23"/>
        <v>20</v>
      </c>
      <c r="S36" s="54">
        <f t="shared" si="24"/>
        <v>1.5</v>
      </c>
      <c r="T36" s="54">
        <f t="shared" si="24"/>
        <v>1.5</v>
      </c>
      <c r="U36" s="54">
        <f t="shared" si="24"/>
        <v>1.5</v>
      </c>
      <c r="V36" s="54">
        <f t="shared" si="24"/>
        <v>1.5</v>
      </c>
      <c r="W36" s="54">
        <f t="shared" si="24"/>
        <v>1.5</v>
      </c>
      <c r="X36" s="54">
        <f t="shared" si="24"/>
        <v>1.5</v>
      </c>
      <c r="Y36" s="54">
        <f t="shared" si="24"/>
        <v>1.5</v>
      </c>
      <c r="Z36" s="54">
        <f t="shared" si="24"/>
        <v>1.5</v>
      </c>
      <c r="AA36" s="54">
        <f t="shared" si="24"/>
        <v>1.5</v>
      </c>
      <c r="AB36" s="54">
        <f t="shared" si="24"/>
        <v>3.5</v>
      </c>
      <c r="AC36" s="54">
        <f t="shared" si="24"/>
        <v>1.5</v>
      </c>
      <c r="AD36" s="54">
        <f t="shared" si="24"/>
        <v>1.5</v>
      </c>
      <c r="AF36" s="62">
        <f t="shared" si="13"/>
        <v>0</v>
      </c>
      <c r="AG36" s="64">
        <v>0</v>
      </c>
      <c r="AH36" s="64">
        <v>0</v>
      </c>
      <c r="AI36" s="65">
        <v>0</v>
      </c>
      <c r="AJ36" s="66"/>
      <c r="AK36" s="64"/>
      <c r="AL36" s="64"/>
      <c r="AM36" s="64"/>
      <c r="AN36" s="64"/>
      <c r="AO36" s="64"/>
      <c r="AP36" s="64"/>
      <c r="AQ36" s="64"/>
      <c r="AR36" s="64"/>
      <c r="AS36" s="67">
        <f t="shared" si="14"/>
        <v>20</v>
      </c>
      <c r="AT36" s="68"/>
      <c r="AU36" s="69">
        <v>-4.9942307692308248</v>
      </c>
      <c r="AV36" s="62">
        <f t="shared" si="29"/>
        <v>133</v>
      </c>
      <c r="AW36" s="54">
        <f t="shared" si="25"/>
        <v>9.9750000000000014</v>
      </c>
      <c r="AX36" s="54">
        <f t="shared" si="25"/>
        <v>9.9750000000000014</v>
      </c>
      <c r="AY36" s="54">
        <f t="shared" si="25"/>
        <v>9.9750000000000014</v>
      </c>
      <c r="AZ36" s="54">
        <f t="shared" si="25"/>
        <v>9.9750000000000014</v>
      </c>
      <c r="BA36" s="54">
        <f t="shared" si="25"/>
        <v>9.9750000000000014</v>
      </c>
      <c r="BB36" s="54">
        <f t="shared" si="25"/>
        <v>9.9750000000000014</v>
      </c>
      <c r="BC36" s="54">
        <f t="shared" si="25"/>
        <v>9.9750000000000014</v>
      </c>
      <c r="BD36" s="54">
        <f t="shared" si="25"/>
        <v>9.9750000000000014</v>
      </c>
      <c r="BE36" s="54">
        <f t="shared" si="25"/>
        <v>9.9750000000000014</v>
      </c>
      <c r="BF36" s="54">
        <f t="shared" si="25"/>
        <v>23.275000000000002</v>
      </c>
      <c r="BG36" s="54">
        <f t="shared" si="25"/>
        <v>9.9750000000000014</v>
      </c>
      <c r="BH36" s="54">
        <f t="shared" si="25"/>
        <v>9.9750000000000014</v>
      </c>
      <c r="BI36" s="62">
        <f t="shared" si="16"/>
        <v>0</v>
      </c>
      <c r="BJ36" s="59">
        <f t="shared" si="30"/>
        <v>0</v>
      </c>
      <c r="BK36" s="59">
        <f t="shared" si="30"/>
        <v>0</v>
      </c>
      <c r="BL36" s="59">
        <f t="shared" si="30"/>
        <v>0</v>
      </c>
      <c r="BM36" s="59">
        <f t="shared" si="30"/>
        <v>0</v>
      </c>
      <c r="BN36" s="59">
        <f t="shared" si="30"/>
        <v>0</v>
      </c>
      <c r="BO36" s="59">
        <f t="shared" si="30"/>
        <v>0</v>
      </c>
      <c r="BP36" s="59">
        <f t="shared" si="30"/>
        <v>0</v>
      </c>
      <c r="BQ36" s="59">
        <f t="shared" si="30"/>
        <v>0</v>
      </c>
      <c r="BR36" s="59">
        <f t="shared" si="30"/>
        <v>0</v>
      </c>
      <c r="BS36" s="59">
        <f t="shared" si="30"/>
        <v>0</v>
      </c>
      <c r="BT36" s="59">
        <f t="shared" si="30"/>
        <v>0</v>
      </c>
      <c r="BU36" s="59">
        <f t="shared" si="30"/>
        <v>0</v>
      </c>
      <c r="BV36" s="67">
        <f t="shared" si="18"/>
        <v>128.00576923076918</v>
      </c>
      <c r="BX36" s="54">
        <f t="shared" si="32"/>
        <v>12.967499999999999</v>
      </c>
      <c r="BY36" s="54">
        <f t="shared" si="32"/>
        <v>12.967499999999999</v>
      </c>
      <c r="BZ36" s="54">
        <f t="shared" si="32"/>
        <v>12.967499999999999</v>
      </c>
      <c r="CA36" s="54">
        <f t="shared" si="32"/>
        <v>12.967499999999999</v>
      </c>
      <c r="CB36" s="54">
        <f t="shared" si="32"/>
        <v>12.967499999999999</v>
      </c>
      <c r="CC36" s="54">
        <f t="shared" si="32"/>
        <v>12.967499999999999</v>
      </c>
      <c r="CD36" s="54">
        <f t="shared" si="31"/>
        <v>12.967499999999999</v>
      </c>
      <c r="CE36" s="54">
        <f t="shared" si="31"/>
        <v>12.967499999999999</v>
      </c>
      <c r="CF36" s="54">
        <f t="shared" si="31"/>
        <v>12.967499999999999</v>
      </c>
      <c r="CG36" s="54">
        <f t="shared" si="31"/>
        <v>30.2575</v>
      </c>
      <c r="CH36" s="54">
        <f t="shared" si="31"/>
        <v>12.967499999999999</v>
      </c>
      <c r="CI36" s="54">
        <f t="shared" si="31"/>
        <v>12.967499999999999</v>
      </c>
      <c r="CJ36" s="74">
        <f t="shared" si="27"/>
        <v>172.9</v>
      </c>
      <c r="CK36" s="59">
        <f t="shared" si="26"/>
        <v>20</v>
      </c>
      <c r="CL36" s="9">
        <f t="shared" si="28"/>
        <v>0</v>
      </c>
      <c r="CM36" s="71">
        <f t="shared" si="21"/>
        <v>172.9</v>
      </c>
      <c r="CN36" s="54"/>
      <c r="CO36" s="73"/>
      <c r="CP36" s="56"/>
    </row>
    <row r="37" spans="1:94" ht="20.25" customHeight="1">
      <c r="A37" s="75" t="s">
        <v>124</v>
      </c>
      <c r="B37" s="1" t="s">
        <v>125</v>
      </c>
      <c r="C37" s="1" t="s">
        <v>126</v>
      </c>
      <c r="D37" s="58">
        <f>+VLOOKUP(A37,'[1]BDD-Avk Tx'!B:CE,82,0)</f>
        <v>160</v>
      </c>
      <c r="E37" s="59">
        <v>308.10000000000002</v>
      </c>
      <c r="G37" s="4">
        <v>41153</v>
      </c>
      <c r="H37" s="4">
        <f t="shared" si="10"/>
        <v>45647</v>
      </c>
      <c r="I37" s="60" t="str">
        <f>+VLOOKUP(A37,'[1]BDD-Avk Tx'!B:BZ,77,0)</f>
        <v>CDI</v>
      </c>
      <c r="J37" s="4">
        <f t="shared" si="11"/>
        <v>45647</v>
      </c>
      <c r="N37" s="3"/>
      <c r="P37" s="54">
        <f t="shared" si="22"/>
        <v>13.25</v>
      </c>
      <c r="Q37" s="61">
        <v>10</v>
      </c>
      <c r="R37" s="62">
        <f t="shared" si="23"/>
        <v>20</v>
      </c>
      <c r="S37" s="54">
        <f t="shared" si="24"/>
        <v>1.5</v>
      </c>
      <c r="T37" s="54">
        <f t="shared" si="24"/>
        <v>1.5</v>
      </c>
      <c r="U37" s="54">
        <f t="shared" si="24"/>
        <v>1.5</v>
      </c>
      <c r="V37" s="54">
        <f t="shared" si="24"/>
        <v>1.5</v>
      </c>
      <c r="W37" s="54">
        <f t="shared" si="24"/>
        <v>1.5</v>
      </c>
      <c r="X37" s="54">
        <f t="shared" si="24"/>
        <v>1.5</v>
      </c>
      <c r="Y37" s="54">
        <f t="shared" si="24"/>
        <v>1.5</v>
      </c>
      <c r="Z37" s="54">
        <f t="shared" si="24"/>
        <v>1.5</v>
      </c>
      <c r="AA37" s="54">
        <f t="shared" si="24"/>
        <v>1.5</v>
      </c>
      <c r="AB37" s="54">
        <f t="shared" si="24"/>
        <v>3.5</v>
      </c>
      <c r="AC37" s="54">
        <f t="shared" si="24"/>
        <v>1.5</v>
      </c>
      <c r="AD37" s="54">
        <f t="shared" si="24"/>
        <v>1.5</v>
      </c>
      <c r="AF37" s="62">
        <f t="shared" si="13"/>
        <v>9</v>
      </c>
      <c r="AG37" s="64">
        <v>9</v>
      </c>
      <c r="AH37" s="64">
        <v>0</v>
      </c>
      <c r="AI37" s="65">
        <v>0</v>
      </c>
      <c r="AJ37" s="66"/>
      <c r="AK37" s="64"/>
      <c r="AL37" s="64"/>
      <c r="AM37" s="64"/>
      <c r="AN37" s="64"/>
      <c r="AO37" s="64"/>
      <c r="AP37" s="64"/>
      <c r="AQ37" s="64"/>
      <c r="AR37" s="64"/>
      <c r="AS37" s="67">
        <f t="shared" si="14"/>
        <v>21</v>
      </c>
      <c r="AT37" s="68"/>
      <c r="AU37" s="69">
        <v>61.505769230769005</v>
      </c>
      <c r="AV37" s="62">
        <f t="shared" si="29"/>
        <v>237.00000000000006</v>
      </c>
      <c r="AW37" s="54">
        <f t="shared" si="25"/>
        <v>17.775000000000002</v>
      </c>
      <c r="AX37" s="54">
        <f t="shared" si="25"/>
        <v>17.775000000000002</v>
      </c>
      <c r="AY37" s="54">
        <f t="shared" si="25"/>
        <v>17.775000000000002</v>
      </c>
      <c r="AZ37" s="54">
        <f t="shared" si="25"/>
        <v>17.775000000000002</v>
      </c>
      <c r="BA37" s="54">
        <f t="shared" si="25"/>
        <v>17.775000000000002</v>
      </c>
      <c r="BB37" s="54">
        <f t="shared" si="25"/>
        <v>17.775000000000002</v>
      </c>
      <c r="BC37" s="54">
        <f t="shared" si="25"/>
        <v>17.775000000000002</v>
      </c>
      <c r="BD37" s="54">
        <f t="shared" si="25"/>
        <v>17.775000000000002</v>
      </c>
      <c r="BE37" s="54">
        <f t="shared" si="25"/>
        <v>17.775000000000002</v>
      </c>
      <c r="BF37" s="54">
        <f t="shared" si="25"/>
        <v>41.475000000000009</v>
      </c>
      <c r="BG37" s="54">
        <f t="shared" si="25"/>
        <v>17.775000000000002</v>
      </c>
      <c r="BH37" s="54">
        <f t="shared" si="25"/>
        <v>17.775000000000002</v>
      </c>
      <c r="BI37" s="62">
        <f t="shared" si="16"/>
        <v>-106.65</v>
      </c>
      <c r="BJ37" s="59">
        <f t="shared" si="30"/>
        <v>-106.65</v>
      </c>
      <c r="BK37" s="59">
        <f t="shared" si="30"/>
        <v>0</v>
      </c>
      <c r="BL37" s="59">
        <f t="shared" si="30"/>
        <v>0</v>
      </c>
      <c r="BM37" s="59">
        <f t="shared" si="30"/>
        <v>0</v>
      </c>
      <c r="BN37" s="59">
        <f t="shared" si="30"/>
        <v>0</v>
      </c>
      <c r="BO37" s="59">
        <f t="shared" si="30"/>
        <v>0</v>
      </c>
      <c r="BP37" s="59">
        <f t="shared" si="30"/>
        <v>0</v>
      </c>
      <c r="BQ37" s="59">
        <f t="shared" si="30"/>
        <v>0</v>
      </c>
      <c r="BR37" s="59">
        <f t="shared" si="30"/>
        <v>0</v>
      </c>
      <c r="BS37" s="59">
        <f t="shared" si="30"/>
        <v>0</v>
      </c>
      <c r="BT37" s="59">
        <f t="shared" si="30"/>
        <v>0</v>
      </c>
      <c r="BU37" s="59">
        <f t="shared" si="30"/>
        <v>0</v>
      </c>
      <c r="BV37" s="67">
        <f t="shared" si="18"/>
        <v>191.85576923076903</v>
      </c>
      <c r="BX37" s="54">
        <f t="shared" si="32"/>
        <v>23.107500000000002</v>
      </c>
      <c r="BY37" s="54">
        <f t="shared" si="32"/>
        <v>23.107500000000002</v>
      </c>
      <c r="BZ37" s="54">
        <f t="shared" si="32"/>
        <v>23.107500000000002</v>
      </c>
      <c r="CA37" s="54">
        <f t="shared" si="32"/>
        <v>23.107500000000002</v>
      </c>
      <c r="CB37" s="54">
        <f t="shared" si="32"/>
        <v>23.107500000000002</v>
      </c>
      <c r="CC37" s="54">
        <f t="shared" si="32"/>
        <v>23.107500000000002</v>
      </c>
      <c r="CD37" s="54">
        <f t="shared" si="31"/>
        <v>23.107500000000002</v>
      </c>
      <c r="CE37" s="54">
        <f t="shared" si="31"/>
        <v>23.107500000000002</v>
      </c>
      <c r="CF37" s="54">
        <f t="shared" si="31"/>
        <v>23.107500000000002</v>
      </c>
      <c r="CG37" s="54">
        <f t="shared" si="31"/>
        <v>53.917500000000004</v>
      </c>
      <c r="CH37" s="54">
        <f t="shared" si="31"/>
        <v>23.107500000000002</v>
      </c>
      <c r="CI37" s="54">
        <f t="shared" si="31"/>
        <v>23.107500000000002</v>
      </c>
      <c r="CJ37" s="74">
        <f t="shared" si="27"/>
        <v>308.10000000000008</v>
      </c>
      <c r="CK37" s="59">
        <f t="shared" si="26"/>
        <v>20</v>
      </c>
      <c r="CL37" s="9">
        <f t="shared" si="28"/>
        <v>0</v>
      </c>
      <c r="CM37" s="71">
        <f t="shared" si="21"/>
        <v>308.10000000000002</v>
      </c>
      <c r="CN37" s="72"/>
      <c r="CO37" s="73"/>
    </row>
    <row r="38" spans="1:94" ht="20.25" customHeight="1">
      <c r="A38" s="1" t="s">
        <v>127</v>
      </c>
      <c r="B38" s="1" t="s">
        <v>128</v>
      </c>
      <c r="C38" s="1" t="s">
        <v>129</v>
      </c>
      <c r="D38" s="58">
        <f>+VLOOKUP(A38,'[1]BDD-Avk Tx'!B:CE,82,0)</f>
        <v>160</v>
      </c>
      <c r="E38" s="59">
        <v>172.9</v>
      </c>
      <c r="G38" s="4">
        <v>41153</v>
      </c>
      <c r="H38" s="4">
        <f t="shared" si="10"/>
        <v>45647</v>
      </c>
      <c r="I38" s="60" t="str">
        <f>+VLOOKUP(A38,'[1]BDD-Avk Tx'!B:BZ,77,0)</f>
        <v>CDI</v>
      </c>
      <c r="J38" s="4">
        <f t="shared" si="11"/>
        <v>45647</v>
      </c>
      <c r="N38" s="3"/>
      <c r="P38" s="54">
        <f t="shared" si="22"/>
        <v>13.25</v>
      </c>
      <c r="Q38" s="61">
        <v>-1</v>
      </c>
      <c r="R38" s="62">
        <f t="shared" si="23"/>
        <v>20</v>
      </c>
      <c r="S38" s="54">
        <f t="shared" si="24"/>
        <v>1.5</v>
      </c>
      <c r="T38" s="54">
        <f t="shared" si="24"/>
        <v>1.5</v>
      </c>
      <c r="U38" s="54">
        <f t="shared" si="24"/>
        <v>1.5</v>
      </c>
      <c r="V38" s="54">
        <f t="shared" si="24"/>
        <v>1.5</v>
      </c>
      <c r="W38" s="54">
        <f t="shared" si="24"/>
        <v>1.5</v>
      </c>
      <c r="X38" s="54">
        <f t="shared" si="24"/>
        <v>1.5</v>
      </c>
      <c r="Y38" s="54">
        <f t="shared" si="24"/>
        <v>1.5</v>
      </c>
      <c r="Z38" s="54">
        <f t="shared" si="24"/>
        <v>1.5</v>
      </c>
      <c r="AA38" s="54">
        <f t="shared" si="24"/>
        <v>1.5</v>
      </c>
      <c r="AB38" s="54">
        <f t="shared" si="24"/>
        <v>3.5</v>
      </c>
      <c r="AC38" s="54">
        <f t="shared" si="24"/>
        <v>1.5</v>
      </c>
      <c r="AD38" s="54">
        <f t="shared" si="24"/>
        <v>1.5</v>
      </c>
      <c r="AF38" s="62">
        <f t="shared" si="13"/>
        <v>0</v>
      </c>
      <c r="AG38" s="64">
        <v>0</v>
      </c>
      <c r="AH38" s="64">
        <v>0</v>
      </c>
      <c r="AI38" s="65">
        <v>0</v>
      </c>
      <c r="AJ38" s="66"/>
      <c r="AK38" s="64"/>
      <c r="AL38" s="64"/>
      <c r="AM38" s="64"/>
      <c r="AN38" s="64"/>
      <c r="AO38" s="64"/>
      <c r="AP38" s="64"/>
      <c r="AQ38" s="64"/>
      <c r="AR38" s="64"/>
      <c r="AS38" s="67">
        <f t="shared" si="14"/>
        <v>19</v>
      </c>
      <c r="AT38" s="68"/>
      <c r="AU38" s="69">
        <v>-12.357692307692361</v>
      </c>
      <c r="AV38" s="62">
        <f t="shared" si="29"/>
        <v>133</v>
      </c>
      <c r="AW38" s="54">
        <f t="shared" si="25"/>
        <v>9.9750000000000014</v>
      </c>
      <c r="AX38" s="54">
        <f t="shared" si="25"/>
        <v>9.9750000000000014</v>
      </c>
      <c r="AY38" s="54">
        <f t="shared" si="25"/>
        <v>9.9750000000000014</v>
      </c>
      <c r="AZ38" s="54">
        <f t="shared" si="25"/>
        <v>9.9750000000000014</v>
      </c>
      <c r="BA38" s="54">
        <f t="shared" si="25"/>
        <v>9.9750000000000014</v>
      </c>
      <c r="BB38" s="54">
        <f t="shared" si="25"/>
        <v>9.9750000000000014</v>
      </c>
      <c r="BC38" s="54">
        <f t="shared" si="25"/>
        <v>9.9750000000000014</v>
      </c>
      <c r="BD38" s="54">
        <f t="shared" si="25"/>
        <v>9.9750000000000014</v>
      </c>
      <c r="BE38" s="54">
        <f t="shared" si="25"/>
        <v>9.9750000000000014</v>
      </c>
      <c r="BF38" s="54">
        <f t="shared" si="25"/>
        <v>23.275000000000002</v>
      </c>
      <c r="BG38" s="54">
        <f t="shared" si="25"/>
        <v>9.9750000000000014</v>
      </c>
      <c r="BH38" s="54">
        <f t="shared" si="25"/>
        <v>9.9750000000000014</v>
      </c>
      <c r="BI38" s="62">
        <f t="shared" si="16"/>
        <v>0</v>
      </c>
      <c r="BJ38" s="59">
        <f t="shared" si="30"/>
        <v>0</v>
      </c>
      <c r="BK38" s="59">
        <f t="shared" si="30"/>
        <v>0</v>
      </c>
      <c r="BL38" s="59">
        <f t="shared" si="30"/>
        <v>0</v>
      </c>
      <c r="BM38" s="59">
        <f t="shared" si="30"/>
        <v>0</v>
      </c>
      <c r="BN38" s="59">
        <f t="shared" si="30"/>
        <v>0</v>
      </c>
      <c r="BO38" s="59">
        <f t="shared" si="30"/>
        <v>0</v>
      </c>
      <c r="BP38" s="59">
        <f t="shared" si="30"/>
        <v>0</v>
      </c>
      <c r="BQ38" s="59">
        <f t="shared" si="30"/>
        <v>0</v>
      </c>
      <c r="BR38" s="59">
        <f t="shared" si="30"/>
        <v>0</v>
      </c>
      <c r="BS38" s="59">
        <f t="shared" si="30"/>
        <v>0</v>
      </c>
      <c r="BT38" s="59">
        <f t="shared" si="30"/>
        <v>0</v>
      </c>
      <c r="BU38" s="59">
        <f t="shared" si="30"/>
        <v>0</v>
      </c>
      <c r="BV38" s="67">
        <f t="shared" si="18"/>
        <v>120.64230769230764</v>
      </c>
      <c r="BX38" s="54">
        <f t="shared" si="32"/>
        <v>12.967499999999999</v>
      </c>
      <c r="BY38" s="54">
        <f t="shared" si="32"/>
        <v>12.967499999999999</v>
      </c>
      <c r="BZ38" s="54">
        <f t="shared" si="32"/>
        <v>12.967499999999999</v>
      </c>
      <c r="CA38" s="54">
        <f t="shared" si="32"/>
        <v>12.967499999999999</v>
      </c>
      <c r="CB38" s="54">
        <f t="shared" si="32"/>
        <v>12.967499999999999</v>
      </c>
      <c r="CC38" s="54">
        <f t="shared" si="32"/>
        <v>12.967499999999999</v>
      </c>
      <c r="CD38" s="54">
        <f t="shared" si="31"/>
        <v>12.967499999999999</v>
      </c>
      <c r="CE38" s="54">
        <f t="shared" si="31"/>
        <v>12.967499999999999</v>
      </c>
      <c r="CF38" s="54">
        <f t="shared" si="31"/>
        <v>12.967499999999999</v>
      </c>
      <c r="CG38" s="54">
        <f t="shared" si="31"/>
        <v>30.2575</v>
      </c>
      <c r="CH38" s="54">
        <f t="shared" si="31"/>
        <v>12.967499999999999</v>
      </c>
      <c r="CI38" s="54">
        <f t="shared" si="31"/>
        <v>12.967499999999999</v>
      </c>
      <c r="CJ38" s="74">
        <f t="shared" si="27"/>
        <v>172.9</v>
      </c>
      <c r="CK38" s="59">
        <f t="shared" si="26"/>
        <v>20</v>
      </c>
      <c r="CL38" s="9">
        <f t="shared" si="28"/>
        <v>0</v>
      </c>
      <c r="CM38" s="71">
        <f t="shared" si="21"/>
        <v>172.9</v>
      </c>
      <c r="CN38" s="54"/>
      <c r="CO38" s="73"/>
      <c r="CP38" s="56"/>
    </row>
    <row r="39" spans="1:94" ht="20.25" customHeight="1">
      <c r="A39" s="75" t="s">
        <v>130</v>
      </c>
      <c r="B39" s="1" t="s">
        <v>131</v>
      </c>
      <c r="C39" s="1" t="s">
        <v>121</v>
      </c>
      <c r="D39" s="58">
        <f>+VLOOKUP(A39,'[1]BDD-Avk Tx'!B:CE,82,0)</f>
        <v>160</v>
      </c>
      <c r="E39" s="59">
        <v>172.9</v>
      </c>
      <c r="G39" s="4">
        <v>41153</v>
      </c>
      <c r="H39" s="4">
        <f t="shared" si="10"/>
        <v>45647</v>
      </c>
      <c r="I39" s="60" t="str">
        <f>+VLOOKUP(A39,'[1]BDD-Avk Tx'!B:BZ,77,0)</f>
        <v>CDI</v>
      </c>
      <c r="J39" s="4">
        <f t="shared" si="11"/>
        <v>45647</v>
      </c>
      <c r="N39" s="3"/>
      <c r="P39" s="54">
        <f t="shared" si="22"/>
        <v>13.25</v>
      </c>
      <c r="Q39" s="61">
        <v>0</v>
      </c>
      <c r="R39" s="62">
        <f t="shared" si="23"/>
        <v>20</v>
      </c>
      <c r="S39" s="54">
        <f t="shared" si="24"/>
        <v>1.5</v>
      </c>
      <c r="T39" s="54">
        <f t="shared" si="24"/>
        <v>1.5</v>
      </c>
      <c r="U39" s="54">
        <f t="shared" si="24"/>
        <v>1.5</v>
      </c>
      <c r="V39" s="54">
        <f t="shared" si="24"/>
        <v>1.5</v>
      </c>
      <c r="W39" s="54">
        <f t="shared" si="24"/>
        <v>1.5</v>
      </c>
      <c r="X39" s="54">
        <f t="shared" si="24"/>
        <v>1.5</v>
      </c>
      <c r="Y39" s="54">
        <f t="shared" si="24"/>
        <v>1.5</v>
      </c>
      <c r="Z39" s="54">
        <f t="shared" si="24"/>
        <v>1.5</v>
      </c>
      <c r="AA39" s="54">
        <f t="shared" si="24"/>
        <v>1.5</v>
      </c>
      <c r="AB39" s="54">
        <f t="shared" si="24"/>
        <v>3.5</v>
      </c>
      <c r="AC39" s="54">
        <f t="shared" si="24"/>
        <v>1.5</v>
      </c>
      <c r="AD39" s="54">
        <f t="shared" si="24"/>
        <v>1.5</v>
      </c>
      <c r="AF39" s="62">
        <f t="shared" si="13"/>
        <v>0</v>
      </c>
      <c r="AG39" s="64">
        <v>0</v>
      </c>
      <c r="AH39" s="64">
        <v>0</v>
      </c>
      <c r="AI39" s="65">
        <v>0</v>
      </c>
      <c r="AJ39" s="66"/>
      <c r="AK39" s="64"/>
      <c r="AL39" s="64"/>
      <c r="AM39" s="64"/>
      <c r="AN39" s="64"/>
      <c r="AO39" s="64"/>
      <c r="AP39" s="64"/>
      <c r="AQ39" s="64"/>
      <c r="AR39" s="64"/>
      <c r="AS39" s="67">
        <f t="shared" si="14"/>
        <v>20</v>
      </c>
      <c r="AT39" s="68"/>
      <c r="AU39" s="69">
        <v>-12.128846153846183</v>
      </c>
      <c r="AV39" s="62">
        <f t="shared" si="29"/>
        <v>133</v>
      </c>
      <c r="AW39" s="54">
        <f t="shared" si="25"/>
        <v>9.9750000000000014</v>
      </c>
      <c r="AX39" s="54">
        <f t="shared" si="25"/>
        <v>9.9750000000000014</v>
      </c>
      <c r="AY39" s="54">
        <f t="shared" si="25"/>
        <v>9.9750000000000014</v>
      </c>
      <c r="AZ39" s="54">
        <f t="shared" si="25"/>
        <v>9.9750000000000014</v>
      </c>
      <c r="BA39" s="54">
        <f t="shared" si="25"/>
        <v>9.9750000000000014</v>
      </c>
      <c r="BB39" s="54">
        <f t="shared" si="25"/>
        <v>9.9750000000000014</v>
      </c>
      <c r="BC39" s="54">
        <f t="shared" si="25"/>
        <v>9.9750000000000014</v>
      </c>
      <c r="BD39" s="54">
        <f t="shared" si="25"/>
        <v>9.9750000000000014</v>
      </c>
      <c r="BE39" s="54">
        <f t="shared" si="25"/>
        <v>9.9750000000000014</v>
      </c>
      <c r="BF39" s="54">
        <f t="shared" si="25"/>
        <v>23.275000000000002</v>
      </c>
      <c r="BG39" s="54">
        <f t="shared" si="25"/>
        <v>9.9750000000000014</v>
      </c>
      <c r="BH39" s="54">
        <f t="shared" si="25"/>
        <v>9.9750000000000014</v>
      </c>
      <c r="BI39" s="62">
        <f t="shared" si="16"/>
        <v>0</v>
      </c>
      <c r="BJ39" s="59">
        <f t="shared" si="30"/>
        <v>0</v>
      </c>
      <c r="BK39" s="59">
        <f t="shared" si="30"/>
        <v>0</v>
      </c>
      <c r="BL39" s="59">
        <f t="shared" si="30"/>
        <v>0</v>
      </c>
      <c r="BM39" s="59">
        <f t="shared" si="30"/>
        <v>0</v>
      </c>
      <c r="BN39" s="59">
        <f t="shared" si="30"/>
        <v>0</v>
      </c>
      <c r="BO39" s="59">
        <f t="shared" si="30"/>
        <v>0</v>
      </c>
      <c r="BP39" s="59">
        <f t="shared" si="30"/>
        <v>0</v>
      </c>
      <c r="BQ39" s="59">
        <f t="shared" si="30"/>
        <v>0</v>
      </c>
      <c r="BR39" s="59">
        <f t="shared" si="30"/>
        <v>0</v>
      </c>
      <c r="BS39" s="59">
        <f t="shared" si="30"/>
        <v>0</v>
      </c>
      <c r="BT39" s="59">
        <f t="shared" si="30"/>
        <v>0</v>
      </c>
      <c r="BU39" s="59">
        <f t="shared" si="30"/>
        <v>0</v>
      </c>
      <c r="BV39" s="67">
        <f t="shared" si="18"/>
        <v>120.87115384615382</v>
      </c>
      <c r="BX39" s="54">
        <f t="shared" si="32"/>
        <v>12.967499999999999</v>
      </c>
      <c r="BY39" s="54">
        <f t="shared" si="32"/>
        <v>12.967499999999999</v>
      </c>
      <c r="BZ39" s="54">
        <f t="shared" si="32"/>
        <v>12.967499999999999</v>
      </c>
      <c r="CA39" s="54">
        <f t="shared" si="32"/>
        <v>12.967499999999999</v>
      </c>
      <c r="CB39" s="54">
        <f t="shared" si="32"/>
        <v>12.967499999999999</v>
      </c>
      <c r="CC39" s="54">
        <f t="shared" si="32"/>
        <v>12.967499999999999</v>
      </c>
      <c r="CD39" s="54">
        <f t="shared" si="31"/>
        <v>12.967499999999999</v>
      </c>
      <c r="CE39" s="54">
        <f t="shared" si="31"/>
        <v>12.967499999999999</v>
      </c>
      <c r="CF39" s="54">
        <f t="shared" si="31"/>
        <v>12.967499999999999</v>
      </c>
      <c r="CG39" s="54">
        <f t="shared" si="31"/>
        <v>30.2575</v>
      </c>
      <c r="CH39" s="54">
        <f t="shared" si="31"/>
        <v>12.967499999999999</v>
      </c>
      <c r="CI39" s="54">
        <f t="shared" si="31"/>
        <v>12.967499999999999</v>
      </c>
      <c r="CJ39" s="74">
        <f t="shared" si="27"/>
        <v>172.9</v>
      </c>
      <c r="CK39" s="59">
        <f t="shared" si="26"/>
        <v>20</v>
      </c>
      <c r="CL39" s="9">
        <f t="shared" si="28"/>
        <v>0</v>
      </c>
      <c r="CM39" s="71">
        <f t="shared" si="21"/>
        <v>172.9</v>
      </c>
      <c r="CN39" s="72"/>
      <c r="CO39" s="73"/>
    </row>
    <row r="40" spans="1:94" ht="20.25" customHeight="1">
      <c r="A40" s="75" t="s">
        <v>132</v>
      </c>
      <c r="B40" s="1" t="s">
        <v>133</v>
      </c>
      <c r="C40" s="1" t="s">
        <v>134</v>
      </c>
      <c r="D40" s="58">
        <f>+VLOOKUP(A40,'[1]BDD-Avk Tx'!B:CE,82,0)</f>
        <v>160</v>
      </c>
      <c r="E40" s="59">
        <v>172.9</v>
      </c>
      <c r="G40" s="4">
        <v>41153</v>
      </c>
      <c r="H40" s="4">
        <f t="shared" si="10"/>
        <v>45647</v>
      </c>
      <c r="I40" s="60" t="str">
        <f>+VLOOKUP(A40,'[1]BDD-Avk Tx'!B:BZ,77,0)</f>
        <v>CDI</v>
      </c>
      <c r="J40" s="4">
        <f t="shared" si="11"/>
        <v>45647</v>
      </c>
      <c r="N40" s="3"/>
      <c r="P40" s="54">
        <f t="shared" si="22"/>
        <v>13.25</v>
      </c>
      <c r="Q40" s="61">
        <v>-1</v>
      </c>
      <c r="R40" s="62">
        <f t="shared" si="23"/>
        <v>20</v>
      </c>
      <c r="S40" s="54">
        <f t="shared" ref="S40:AD60" si="33">+IF(AND(AND($O40="",$P40&gt;=10,MONTH($G40)=MONTH(S$5))),1.5+2,+IF(AND(AND($O40="",$P40&gt;=5,MONTH($G40)=MONTH(S$5))),1.5+1,+IF(AND(AND($P40=5,$O40="",MONTH($G40)=MONTH(S$5))),1.5,+IF(AND($H40&gt;S$5,MONTH($H40)=MONTH(S$5)),1.5/30*(S$4-DAY($H40)),+IF(AND(MONTH($H40)&lt;MONTH(S$5),$O40=""),1.5,+IF(AND($H40=$S$5,$O40=""),1.5,IF($O40&lt;S$5,0,IF(MONTH($O40)=MONTH(S$5),1.5/30*($O40-S$5),1.5))))))))</f>
        <v>1.5</v>
      </c>
      <c r="T40" s="54">
        <f t="shared" si="33"/>
        <v>1.5</v>
      </c>
      <c r="U40" s="54">
        <f t="shared" si="33"/>
        <v>1.5</v>
      </c>
      <c r="V40" s="54">
        <f t="shared" si="33"/>
        <v>1.5</v>
      </c>
      <c r="W40" s="54">
        <f t="shared" si="33"/>
        <v>1.5</v>
      </c>
      <c r="X40" s="54">
        <f t="shared" si="33"/>
        <v>1.5</v>
      </c>
      <c r="Y40" s="54">
        <f t="shared" si="33"/>
        <v>1.5</v>
      </c>
      <c r="Z40" s="54">
        <f t="shared" si="33"/>
        <v>1.5</v>
      </c>
      <c r="AA40" s="54">
        <f t="shared" si="33"/>
        <v>1.5</v>
      </c>
      <c r="AB40" s="54">
        <f t="shared" si="33"/>
        <v>3.5</v>
      </c>
      <c r="AC40" s="54">
        <f t="shared" si="33"/>
        <v>1.5</v>
      </c>
      <c r="AD40" s="54">
        <f t="shared" si="33"/>
        <v>1.5</v>
      </c>
      <c r="AF40" s="62">
        <f t="shared" si="13"/>
        <v>0</v>
      </c>
      <c r="AG40" s="64">
        <v>0</v>
      </c>
      <c r="AH40" s="64">
        <v>0</v>
      </c>
      <c r="AI40" s="65">
        <v>0</v>
      </c>
      <c r="AJ40" s="66"/>
      <c r="AK40" s="64"/>
      <c r="AL40" s="64"/>
      <c r="AM40" s="64"/>
      <c r="AN40" s="64"/>
      <c r="AO40" s="64"/>
      <c r="AP40" s="64"/>
      <c r="AQ40" s="64"/>
      <c r="AR40" s="64"/>
      <c r="AS40" s="67">
        <f t="shared" si="14"/>
        <v>19</v>
      </c>
      <c r="AT40" s="68"/>
      <c r="AU40" s="69">
        <v>-4.5096153846154436</v>
      </c>
      <c r="AV40" s="62">
        <f t="shared" si="29"/>
        <v>133</v>
      </c>
      <c r="AW40" s="54">
        <f t="shared" si="25"/>
        <v>9.9750000000000014</v>
      </c>
      <c r="AX40" s="54">
        <f t="shared" si="25"/>
        <v>9.9750000000000014</v>
      </c>
      <c r="AY40" s="54">
        <f t="shared" si="25"/>
        <v>9.9750000000000014</v>
      </c>
      <c r="AZ40" s="54">
        <f t="shared" si="25"/>
        <v>9.9750000000000014</v>
      </c>
      <c r="BA40" s="54">
        <f t="shared" si="25"/>
        <v>9.9750000000000014</v>
      </c>
      <c r="BB40" s="54">
        <f t="shared" si="25"/>
        <v>9.9750000000000014</v>
      </c>
      <c r="BC40" s="54">
        <f t="shared" si="25"/>
        <v>9.9750000000000014</v>
      </c>
      <c r="BD40" s="54">
        <f t="shared" si="25"/>
        <v>9.9750000000000014</v>
      </c>
      <c r="BE40" s="54">
        <f t="shared" si="25"/>
        <v>9.9750000000000014</v>
      </c>
      <c r="BF40" s="54">
        <f t="shared" si="25"/>
        <v>23.275000000000002</v>
      </c>
      <c r="BG40" s="54">
        <f t="shared" si="25"/>
        <v>9.9750000000000014</v>
      </c>
      <c r="BH40" s="54">
        <f t="shared" si="25"/>
        <v>9.9750000000000014</v>
      </c>
      <c r="BI40" s="62">
        <f t="shared" si="16"/>
        <v>0</v>
      </c>
      <c r="BJ40" s="59">
        <f t="shared" si="30"/>
        <v>0</v>
      </c>
      <c r="BK40" s="59">
        <f t="shared" si="30"/>
        <v>0</v>
      </c>
      <c r="BL40" s="59">
        <f t="shared" si="30"/>
        <v>0</v>
      </c>
      <c r="BM40" s="59">
        <f t="shared" si="30"/>
        <v>0</v>
      </c>
      <c r="BN40" s="59">
        <f t="shared" si="30"/>
        <v>0</v>
      </c>
      <c r="BO40" s="59">
        <f t="shared" si="30"/>
        <v>0</v>
      </c>
      <c r="BP40" s="59">
        <f t="shared" si="30"/>
        <v>0</v>
      </c>
      <c r="BQ40" s="59">
        <f t="shared" si="30"/>
        <v>0</v>
      </c>
      <c r="BR40" s="59">
        <f t="shared" si="30"/>
        <v>0</v>
      </c>
      <c r="BS40" s="59">
        <f t="shared" si="30"/>
        <v>0</v>
      </c>
      <c r="BT40" s="59">
        <f t="shared" si="30"/>
        <v>0</v>
      </c>
      <c r="BU40" s="59">
        <f t="shared" si="30"/>
        <v>0</v>
      </c>
      <c r="BV40" s="67">
        <f t="shared" si="18"/>
        <v>128.49038461538456</v>
      </c>
      <c r="BX40" s="54">
        <f t="shared" si="32"/>
        <v>12.967499999999999</v>
      </c>
      <c r="BY40" s="54">
        <f t="shared" si="32"/>
        <v>12.967499999999999</v>
      </c>
      <c r="BZ40" s="54">
        <f t="shared" si="32"/>
        <v>12.967499999999999</v>
      </c>
      <c r="CA40" s="54">
        <f t="shared" si="32"/>
        <v>12.967499999999999</v>
      </c>
      <c r="CB40" s="54">
        <f t="shared" si="32"/>
        <v>12.967499999999999</v>
      </c>
      <c r="CC40" s="54">
        <f t="shared" si="32"/>
        <v>12.967499999999999</v>
      </c>
      <c r="CD40" s="54">
        <f t="shared" si="31"/>
        <v>12.967499999999999</v>
      </c>
      <c r="CE40" s="54">
        <f t="shared" si="31"/>
        <v>12.967499999999999</v>
      </c>
      <c r="CF40" s="54">
        <f t="shared" si="31"/>
        <v>12.967499999999999</v>
      </c>
      <c r="CG40" s="54">
        <f t="shared" si="31"/>
        <v>30.2575</v>
      </c>
      <c r="CH40" s="54">
        <f t="shared" si="31"/>
        <v>12.967499999999999</v>
      </c>
      <c r="CI40" s="54">
        <f t="shared" si="31"/>
        <v>12.967499999999999</v>
      </c>
      <c r="CJ40" s="74">
        <f t="shared" si="27"/>
        <v>172.9</v>
      </c>
      <c r="CK40" s="59">
        <f t="shared" si="26"/>
        <v>20</v>
      </c>
      <c r="CL40" s="9">
        <f t="shared" si="28"/>
        <v>0</v>
      </c>
      <c r="CM40" s="71">
        <f t="shared" si="21"/>
        <v>172.9</v>
      </c>
      <c r="CN40" s="72"/>
      <c r="CO40" s="73"/>
    </row>
    <row r="41" spans="1:94" ht="20.25" customHeight="1">
      <c r="A41" s="1" t="s">
        <v>135</v>
      </c>
      <c r="B41" s="1" t="s">
        <v>136</v>
      </c>
      <c r="C41" s="1" t="s">
        <v>134</v>
      </c>
      <c r="D41" s="58">
        <f>+VLOOKUP(A41,'[1]BDD-Avk Tx'!B:CE,82,0)</f>
        <v>160</v>
      </c>
      <c r="E41" s="59">
        <v>231.4</v>
      </c>
      <c r="G41" s="4">
        <v>41153</v>
      </c>
      <c r="H41" s="4">
        <f t="shared" si="10"/>
        <v>45647</v>
      </c>
      <c r="I41" s="60" t="str">
        <f>+VLOOKUP(A41,'[1]BDD-Avk Tx'!B:BZ,77,0)</f>
        <v>CDI</v>
      </c>
      <c r="J41" s="4">
        <f t="shared" si="11"/>
        <v>45647</v>
      </c>
      <c r="N41" s="3"/>
      <c r="P41" s="54">
        <f t="shared" si="22"/>
        <v>13.25</v>
      </c>
      <c r="Q41" s="61">
        <v>0</v>
      </c>
      <c r="R41" s="62">
        <f t="shared" si="23"/>
        <v>20</v>
      </c>
      <c r="S41" s="54">
        <f t="shared" si="33"/>
        <v>1.5</v>
      </c>
      <c r="T41" s="54">
        <f t="shared" si="33"/>
        <v>1.5</v>
      </c>
      <c r="U41" s="54">
        <f t="shared" si="33"/>
        <v>1.5</v>
      </c>
      <c r="V41" s="54">
        <f t="shared" si="33"/>
        <v>1.5</v>
      </c>
      <c r="W41" s="54">
        <f t="shared" si="33"/>
        <v>1.5</v>
      </c>
      <c r="X41" s="54">
        <f t="shared" si="33"/>
        <v>1.5</v>
      </c>
      <c r="Y41" s="54">
        <f t="shared" si="33"/>
        <v>1.5</v>
      </c>
      <c r="Z41" s="54">
        <f t="shared" si="33"/>
        <v>1.5</v>
      </c>
      <c r="AA41" s="54">
        <f t="shared" si="33"/>
        <v>1.5</v>
      </c>
      <c r="AB41" s="54">
        <f t="shared" si="33"/>
        <v>3.5</v>
      </c>
      <c r="AC41" s="54">
        <f t="shared" si="33"/>
        <v>1.5</v>
      </c>
      <c r="AD41" s="54">
        <f t="shared" si="33"/>
        <v>1.5</v>
      </c>
      <c r="AF41" s="62">
        <f t="shared" si="13"/>
        <v>0</v>
      </c>
      <c r="AG41" s="64">
        <v>0</v>
      </c>
      <c r="AH41" s="64">
        <v>0</v>
      </c>
      <c r="AI41" s="65">
        <v>0</v>
      </c>
      <c r="AJ41" s="66"/>
      <c r="AK41" s="64"/>
      <c r="AL41" s="64"/>
      <c r="AM41" s="64"/>
      <c r="AN41" s="64"/>
      <c r="AO41" s="64"/>
      <c r="AP41" s="64"/>
      <c r="AQ41" s="64"/>
      <c r="AR41" s="64"/>
      <c r="AS41" s="67">
        <f t="shared" si="14"/>
        <v>20</v>
      </c>
      <c r="AT41" s="68"/>
      <c r="AU41" s="69">
        <v>-7.2826923076920025</v>
      </c>
      <c r="AV41" s="62">
        <f t="shared" si="29"/>
        <v>177.99999999999997</v>
      </c>
      <c r="AW41" s="54">
        <f t="shared" si="25"/>
        <v>13.350000000000001</v>
      </c>
      <c r="AX41" s="54">
        <f t="shared" si="25"/>
        <v>13.350000000000001</v>
      </c>
      <c r="AY41" s="54">
        <f t="shared" si="25"/>
        <v>13.350000000000001</v>
      </c>
      <c r="AZ41" s="54">
        <f t="shared" si="25"/>
        <v>13.350000000000001</v>
      </c>
      <c r="BA41" s="54">
        <f t="shared" si="25"/>
        <v>13.350000000000001</v>
      </c>
      <c r="BB41" s="54">
        <f t="shared" si="25"/>
        <v>13.350000000000001</v>
      </c>
      <c r="BC41" s="54">
        <f t="shared" si="25"/>
        <v>13.350000000000001</v>
      </c>
      <c r="BD41" s="54">
        <f t="shared" si="25"/>
        <v>13.350000000000001</v>
      </c>
      <c r="BE41" s="54">
        <f t="shared" si="25"/>
        <v>13.350000000000001</v>
      </c>
      <c r="BF41" s="54">
        <f t="shared" si="25"/>
        <v>31.150000000000002</v>
      </c>
      <c r="BG41" s="54">
        <f t="shared" si="25"/>
        <v>13.350000000000001</v>
      </c>
      <c r="BH41" s="54">
        <f t="shared" si="25"/>
        <v>13.350000000000001</v>
      </c>
      <c r="BI41" s="62">
        <f t="shared" si="16"/>
        <v>0</v>
      </c>
      <c r="BJ41" s="59">
        <f t="shared" si="30"/>
        <v>0</v>
      </c>
      <c r="BK41" s="59">
        <f t="shared" si="30"/>
        <v>0</v>
      </c>
      <c r="BL41" s="59">
        <f t="shared" si="30"/>
        <v>0</v>
      </c>
      <c r="BM41" s="59">
        <f t="shared" si="30"/>
        <v>0</v>
      </c>
      <c r="BN41" s="59">
        <f t="shared" si="30"/>
        <v>0</v>
      </c>
      <c r="BO41" s="59">
        <f t="shared" si="30"/>
        <v>0</v>
      </c>
      <c r="BP41" s="59">
        <f t="shared" si="30"/>
        <v>0</v>
      </c>
      <c r="BQ41" s="59">
        <f t="shared" si="30"/>
        <v>0</v>
      </c>
      <c r="BR41" s="59">
        <f t="shared" si="30"/>
        <v>0</v>
      </c>
      <c r="BS41" s="59">
        <f t="shared" si="30"/>
        <v>0</v>
      </c>
      <c r="BT41" s="59">
        <f t="shared" si="30"/>
        <v>0</v>
      </c>
      <c r="BU41" s="59">
        <f t="shared" si="30"/>
        <v>0</v>
      </c>
      <c r="BV41" s="67">
        <f t="shared" si="18"/>
        <v>170.71730769230797</v>
      </c>
      <c r="BX41" s="54">
        <f t="shared" si="32"/>
        <v>17.355</v>
      </c>
      <c r="BY41" s="54">
        <f t="shared" si="32"/>
        <v>17.355</v>
      </c>
      <c r="BZ41" s="54">
        <f t="shared" si="32"/>
        <v>17.355</v>
      </c>
      <c r="CA41" s="54">
        <f t="shared" si="32"/>
        <v>17.355</v>
      </c>
      <c r="CB41" s="54">
        <f t="shared" si="32"/>
        <v>17.355</v>
      </c>
      <c r="CC41" s="54">
        <f t="shared" si="32"/>
        <v>17.355</v>
      </c>
      <c r="CD41" s="54">
        <f t="shared" si="31"/>
        <v>17.355</v>
      </c>
      <c r="CE41" s="54">
        <f t="shared" si="31"/>
        <v>17.355</v>
      </c>
      <c r="CF41" s="54">
        <f t="shared" si="31"/>
        <v>17.355</v>
      </c>
      <c r="CG41" s="54">
        <f t="shared" si="31"/>
        <v>40.495000000000005</v>
      </c>
      <c r="CH41" s="54">
        <f t="shared" si="31"/>
        <v>17.355</v>
      </c>
      <c r="CI41" s="54">
        <f t="shared" si="31"/>
        <v>17.355</v>
      </c>
      <c r="CJ41" s="74">
        <f t="shared" si="27"/>
        <v>231.39999999999998</v>
      </c>
      <c r="CK41" s="59">
        <f t="shared" si="26"/>
        <v>20</v>
      </c>
      <c r="CL41" s="9">
        <f t="shared" si="28"/>
        <v>0</v>
      </c>
      <c r="CM41" s="71">
        <f t="shared" si="21"/>
        <v>231.4</v>
      </c>
      <c r="CN41" s="54"/>
      <c r="CO41" s="73"/>
      <c r="CP41" s="56"/>
    </row>
    <row r="42" spans="1:94" ht="20.25" customHeight="1">
      <c r="A42" s="75" t="s">
        <v>137</v>
      </c>
      <c r="B42" s="1" t="s">
        <v>138</v>
      </c>
      <c r="C42" s="1" t="s">
        <v>139</v>
      </c>
      <c r="D42" s="58">
        <f>+VLOOKUP(A42,'[1]BDD-Avk Tx'!B:CE,82,0)</f>
        <v>160</v>
      </c>
      <c r="E42" s="59">
        <v>412.1</v>
      </c>
      <c r="G42" s="4">
        <v>41153</v>
      </c>
      <c r="H42" s="4">
        <f t="shared" si="10"/>
        <v>45647</v>
      </c>
      <c r="I42" s="60" t="str">
        <f>+VLOOKUP(A42,'[1]BDD-Avk Tx'!B:BZ,77,0)</f>
        <v>CDI</v>
      </c>
      <c r="J42" s="4">
        <f t="shared" si="11"/>
        <v>45647</v>
      </c>
      <c r="N42" s="3"/>
      <c r="P42" s="54">
        <f t="shared" si="22"/>
        <v>13.25</v>
      </c>
      <c r="Q42" s="61">
        <v>0</v>
      </c>
      <c r="R42" s="62">
        <f t="shared" si="23"/>
        <v>20</v>
      </c>
      <c r="S42" s="54">
        <f t="shared" si="33"/>
        <v>1.5</v>
      </c>
      <c r="T42" s="54">
        <f t="shared" si="33"/>
        <v>1.5</v>
      </c>
      <c r="U42" s="54">
        <f t="shared" si="33"/>
        <v>1.5</v>
      </c>
      <c r="V42" s="54">
        <f t="shared" si="33"/>
        <v>1.5</v>
      </c>
      <c r="W42" s="54">
        <f t="shared" si="33"/>
        <v>1.5</v>
      </c>
      <c r="X42" s="54">
        <f t="shared" si="33"/>
        <v>1.5</v>
      </c>
      <c r="Y42" s="54">
        <f t="shared" si="33"/>
        <v>1.5</v>
      </c>
      <c r="Z42" s="54">
        <f t="shared" si="33"/>
        <v>1.5</v>
      </c>
      <c r="AA42" s="54">
        <f t="shared" si="33"/>
        <v>1.5</v>
      </c>
      <c r="AB42" s="54">
        <f t="shared" si="33"/>
        <v>3.5</v>
      </c>
      <c r="AC42" s="54">
        <f t="shared" si="33"/>
        <v>1.5</v>
      </c>
      <c r="AD42" s="54">
        <f t="shared" si="33"/>
        <v>1.5</v>
      </c>
      <c r="AF42" s="62">
        <f t="shared" si="13"/>
        <v>0</v>
      </c>
      <c r="AG42" s="64">
        <v>0</v>
      </c>
      <c r="AH42" s="64">
        <v>0</v>
      </c>
      <c r="AI42" s="65">
        <v>0</v>
      </c>
      <c r="AJ42" s="66"/>
      <c r="AK42" s="64"/>
      <c r="AL42" s="64"/>
      <c r="AM42" s="64"/>
      <c r="AN42" s="64"/>
      <c r="AO42" s="64"/>
      <c r="AP42" s="64"/>
      <c r="AQ42" s="64"/>
      <c r="AR42" s="64"/>
      <c r="AS42" s="67">
        <f t="shared" si="14"/>
        <v>20</v>
      </c>
      <c r="AT42" s="68"/>
      <c r="AU42" s="69">
        <v>24.015384615384619</v>
      </c>
      <c r="AV42" s="62">
        <f t="shared" si="29"/>
        <v>317</v>
      </c>
      <c r="AW42" s="54">
        <f t="shared" si="25"/>
        <v>23.775000000000002</v>
      </c>
      <c r="AX42" s="54">
        <f t="shared" si="25"/>
        <v>23.775000000000002</v>
      </c>
      <c r="AY42" s="54">
        <f t="shared" si="25"/>
        <v>23.775000000000002</v>
      </c>
      <c r="AZ42" s="54">
        <f t="shared" si="25"/>
        <v>23.775000000000002</v>
      </c>
      <c r="BA42" s="54">
        <f t="shared" si="25"/>
        <v>23.775000000000002</v>
      </c>
      <c r="BB42" s="54">
        <f t="shared" si="25"/>
        <v>23.775000000000002</v>
      </c>
      <c r="BC42" s="54">
        <f t="shared" si="25"/>
        <v>23.775000000000002</v>
      </c>
      <c r="BD42" s="54">
        <f t="shared" si="25"/>
        <v>23.775000000000002</v>
      </c>
      <c r="BE42" s="54">
        <f t="shared" si="25"/>
        <v>23.775000000000002</v>
      </c>
      <c r="BF42" s="54">
        <f t="shared" si="25"/>
        <v>55.475000000000009</v>
      </c>
      <c r="BG42" s="54">
        <f t="shared" si="25"/>
        <v>23.775000000000002</v>
      </c>
      <c r="BH42" s="54">
        <f t="shared" si="25"/>
        <v>23.775000000000002</v>
      </c>
      <c r="BI42" s="62">
        <f t="shared" si="16"/>
        <v>0</v>
      </c>
      <c r="BJ42" s="59">
        <f t="shared" si="30"/>
        <v>0</v>
      </c>
      <c r="BK42" s="59">
        <f t="shared" si="30"/>
        <v>0</v>
      </c>
      <c r="BL42" s="59">
        <f t="shared" si="30"/>
        <v>0</v>
      </c>
      <c r="BM42" s="59">
        <f t="shared" si="30"/>
        <v>0</v>
      </c>
      <c r="BN42" s="59">
        <f t="shared" si="30"/>
        <v>0</v>
      </c>
      <c r="BO42" s="59">
        <f t="shared" si="30"/>
        <v>0</v>
      </c>
      <c r="BP42" s="59">
        <f t="shared" si="30"/>
        <v>0</v>
      </c>
      <c r="BQ42" s="59">
        <f t="shared" si="30"/>
        <v>0</v>
      </c>
      <c r="BR42" s="59">
        <f t="shared" si="30"/>
        <v>0</v>
      </c>
      <c r="BS42" s="59">
        <f t="shared" si="30"/>
        <v>0</v>
      </c>
      <c r="BT42" s="59">
        <f t="shared" si="30"/>
        <v>0</v>
      </c>
      <c r="BU42" s="59">
        <f t="shared" si="30"/>
        <v>0</v>
      </c>
      <c r="BV42" s="67">
        <f t="shared" si="18"/>
        <v>341.01538461538462</v>
      </c>
      <c r="BX42" s="54">
        <f t="shared" si="32"/>
        <v>30.907499999999999</v>
      </c>
      <c r="BY42" s="54">
        <f t="shared" si="32"/>
        <v>30.907499999999999</v>
      </c>
      <c r="BZ42" s="54">
        <f t="shared" si="32"/>
        <v>30.907499999999999</v>
      </c>
      <c r="CA42" s="54">
        <f t="shared" si="32"/>
        <v>30.907499999999999</v>
      </c>
      <c r="CB42" s="54">
        <f t="shared" si="32"/>
        <v>30.907499999999999</v>
      </c>
      <c r="CC42" s="54">
        <f t="shared" si="32"/>
        <v>30.907499999999999</v>
      </c>
      <c r="CD42" s="54">
        <f t="shared" si="31"/>
        <v>30.907499999999999</v>
      </c>
      <c r="CE42" s="54">
        <f t="shared" si="31"/>
        <v>30.907499999999999</v>
      </c>
      <c r="CF42" s="54">
        <f t="shared" si="31"/>
        <v>30.907499999999999</v>
      </c>
      <c r="CG42" s="54">
        <f t="shared" si="31"/>
        <v>72.117500000000007</v>
      </c>
      <c r="CH42" s="54">
        <f t="shared" si="31"/>
        <v>30.907499999999999</v>
      </c>
      <c r="CI42" s="54">
        <f t="shared" si="31"/>
        <v>30.907499999999999</v>
      </c>
      <c r="CJ42" s="74">
        <f t="shared" si="27"/>
        <v>412.1</v>
      </c>
      <c r="CK42" s="59">
        <f t="shared" si="26"/>
        <v>20</v>
      </c>
      <c r="CL42" s="9">
        <f t="shared" si="28"/>
        <v>0</v>
      </c>
      <c r="CM42" s="71">
        <f t="shared" si="21"/>
        <v>412.1</v>
      </c>
      <c r="CN42" s="72"/>
      <c r="CO42" s="73"/>
    </row>
    <row r="43" spans="1:94" ht="20.25" customHeight="1">
      <c r="A43" s="1" t="s">
        <v>140</v>
      </c>
      <c r="B43" s="1" t="s">
        <v>141</v>
      </c>
      <c r="C43" s="1" t="s">
        <v>139</v>
      </c>
      <c r="D43" s="58">
        <f>+VLOOKUP(A43,'[1]BDD-Avk Tx'!B:CE,82,0)</f>
        <v>160</v>
      </c>
      <c r="E43" s="59">
        <v>308.10000000000002</v>
      </c>
      <c r="G43" s="4">
        <v>41153</v>
      </c>
      <c r="H43" s="4">
        <f t="shared" si="10"/>
        <v>45647</v>
      </c>
      <c r="I43" s="60" t="str">
        <f>+VLOOKUP(A43,'[1]BDD-Avk Tx'!B:BZ,77,0)</f>
        <v>CDI</v>
      </c>
      <c r="J43" s="4">
        <f t="shared" si="11"/>
        <v>45647</v>
      </c>
      <c r="N43" s="3"/>
      <c r="P43" s="54">
        <f t="shared" si="22"/>
        <v>13.25</v>
      </c>
      <c r="Q43" s="61">
        <v>0</v>
      </c>
      <c r="R43" s="62">
        <f t="shared" si="23"/>
        <v>20</v>
      </c>
      <c r="S43" s="54">
        <f t="shared" si="33"/>
        <v>1.5</v>
      </c>
      <c r="T43" s="54">
        <f t="shared" si="33"/>
        <v>1.5</v>
      </c>
      <c r="U43" s="54">
        <f t="shared" si="33"/>
        <v>1.5</v>
      </c>
      <c r="V43" s="54">
        <f t="shared" si="33"/>
        <v>1.5</v>
      </c>
      <c r="W43" s="54">
        <f t="shared" si="33"/>
        <v>1.5</v>
      </c>
      <c r="X43" s="54">
        <f t="shared" si="33"/>
        <v>1.5</v>
      </c>
      <c r="Y43" s="54">
        <f t="shared" si="33"/>
        <v>1.5</v>
      </c>
      <c r="Z43" s="54">
        <f t="shared" si="33"/>
        <v>1.5</v>
      </c>
      <c r="AA43" s="54">
        <f t="shared" si="33"/>
        <v>1.5</v>
      </c>
      <c r="AB43" s="54">
        <f t="shared" si="33"/>
        <v>3.5</v>
      </c>
      <c r="AC43" s="54">
        <f t="shared" si="33"/>
        <v>1.5</v>
      </c>
      <c r="AD43" s="54">
        <f t="shared" si="33"/>
        <v>1.5</v>
      </c>
      <c r="AF43" s="62">
        <f t="shared" si="13"/>
        <v>6</v>
      </c>
      <c r="AG43" s="64">
        <v>0</v>
      </c>
      <c r="AH43" s="64">
        <v>0</v>
      </c>
      <c r="AI43" s="65">
        <v>6</v>
      </c>
      <c r="AJ43" s="66"/>
      <c r="AK43" s="64"/>
      <c r="AL43" s="64"/>
      <c r="AM43" s="64"/>
      <c r="AN43" s="64"/>
      <c r="AO43" s="64"/>
      <c r="AP43" s="64"/>
      <c r="AQ43" s="64"/>
      <c r="AR43" s="64"/>
      <c r="AS43" s="67">
        <f t="shared" si="14"/>
        <v>14</v>
      </c>
      <c r="AT43" s="68"/>
      <c r="AU43" s="69">
        <v>-66.787307692307564</v>
      </c>
      <c r="AV43" s="62">
        <f t="shared" si="29"/>
        <v>237.00000000000006</v>
      </c>
      <c r="AW43" s="54">
        <f t="shared" si="25"/>
        <v>17.775000000000002</v>
      </c>
      <c r="AX43" s="54">
        <f t="shared" si="25"/>
        <v>17.775000000000002</v>
      </c>
      <c r="AY43" s="54">
        <f t="shared" si="25"/>
        <v>17.775000000000002</v>
      </c>
      <c r="AZ43" s="54">
        <f t="shared" si="25"/>
        <v>17.775000000000002</v>
      </c>
      <c r="BA43" s="54">
        <f t="shared" si="25"/>
        <v>17.775000000000002</v>
      </c>
      <c r="BB43" s="54">
        <f t="shared" si="25"/>
        <v>17.775000000000002</v>
      </c>
      <c r="BC43" s="54">
        <f t="shared" si="25"/>
        <v>17.775000000000002</v>
      </c>
      <c r="BD43" s="54">
        <f t="shared" si="25"/>
        <v>17.775000000000002</v>
      </c>
      <c r="BE43" s="54">
        <f t="shared" si="25"/>
        <v>17.775000000000002</v>
      </c>
      <c r="BF43" s="54">
        <f t="shared" si="25"/>
        <v>41.475000000000009</v>
      </c>
      <c r="BG43" s="54">
        <f t="shared" si="25"/>
        <v>17.775000000000002</v>
      </c>
      <c r="BH43" s="54">
        <f t="shared" si="25"/>
        <v>17.775000000000002</v>
      </c>
      <c r="BI43" s="62">
        <f t="shared" si="16"/>
        <v>-71.100000000000009</v>
      </c>
      <c r="BJ43" s="59">
        <f t="shared" si="30"/>
        <v>0</v>
      </c>
      <c r="BK43" s="59">
        <f t="shared" si="30"/>
        <v>0</v>
      </c>
      <c r="BL43" s="59">
        <f t="shared" si="30"/>
        <v>-71.100000000000009</v>
      </c>
      <c r="BM43" s="59">
        <f t="shared" si="30"/>
        <v>0</v>
      </c>
      <c r="BN43" s="59">
        <f t="shared" si="30"/>
        <v>0</v>
      </c>
      <c r="BO43" s="59">
        <f t="shared" si="30"/>
        <v>0</v>
      </c>
      <c r="BP43" s="59">
        <f t="shared" si="30"/>
        <v>0</v>
      </c>
      <c r="BQ43" s="59">
        <f t="shared" si="30"/>
        <v>0</v>
      </c>
      <c r="BR43" s="59">
        <f t="shared" si="30"/>
        <v>0</v>
      </c>
      <c r="BS43" s="59">
        <f t="shared" si="30"/>
        <v>0</v>
      </c>
      <c r="BT43" s="59">
        <f t="shared" si="30"/>
        <v>0</v>
      </c>
      <c r="BU43" s="59">
        <f t="shared" si="30"/>
        <v>0</v>
      </c>
      <c r="BV43" s="67">
        <f t="shared" si="18"/>
        <v>99.112692307692484</v>
      </c>
      <c r="BX43" s="54">
        <f t="shared" si="32"/>
        <v>23.107500000000002</v>
      </c>
      <c r="BY43" s="54">
        <f t="shared" si="32"/>
        <v>23.107500000000002</v>
      </c>
      <c r="BZ43" s="54">
        <f t="shared" si="32"/>
        <v>23.107500000000002</v>
      </c>
      <c r="CA43" s="54">
        <f t="shared" si="32"/>
        <v>23.107500000000002</v>
      </c>
      <c r="CB43" s="54">
        <f t="shared" si="32"/>
        <v>23.107500000000002</v>
      </c>
      <c r="CC43" s="54">
        <f t="shared" si="32"/>
        <v>23.107500000000002</v>
      </c>
      <c r="CD43" s="54">
        <f t="shared" si="31"/>
        <v>23.107500000000002</v>
      </c>
      <c r="CE43" s="54">
        <f t="shared" si="31"/>
        <v>23.107500000000002</v>
      </c>
      <c r="CF43" s="54">
        <f t="shared" si="31"/>
        <v>23.107500000000002</v>
      </c>
      <c r="CG43" s="54">
        <f t="shared" si="31"/>
        <v>53.917500000000004</v>
      </c>
      <c r="CH43" s="54">
        <f t="shared" si="31"/>
        <v>23.107500000000002</v>
      </c>
      <c r="CI43" s="54">
        <f t="shared" si="31"/>
        <v>23.107500000000002</v>
      </c>
      <c r="CJ43" s="74">
        <f t="shared" si="27"/>
        <v>308.10000000000008</v>
      </c>
      <c r="CK43" s="59">
        <f t="shared" si="26"/>
        <v>20</v>
      </c>
      <c r="CL43" s="9">
        <f t="shared" si="28"/>
        <v>0</v>
      </c>
      <c r="CM43" s="71">
        <f t="shared" si="21"/>
        <v>308.10000000000002</v>
      </c>
      <c r="CN43" s="54"/>
      <c r="CO43" s="73"/>
      <c r="CP43" s="56"/>
    </row>
    <row r="44" spans="1:94" ht="20.25" customHeight="1">
      <c r="A44" s="75" t="s">
        <v>142</v>
      </c>
      <c r="B44" s="1" t="s">
        <v>143</v>
      </c>
      <c r="C44" s="1" t="s">
        <v>139</v>
      </c>
      <c r="D44" s="58">
        <f>+VLOOKUP(A44,'[1]BDD-Avk Tx'!B:CE,82,0)</f>
        <v>160</v>
      </c>
      <c r="E44" s="59">
        <v>308.10000000000002</v>
      </c>
      <c r="G44" s="4">
        <v>41153</v>
      </c>
      <c r="H44" s="4">
        <f t="shared" si="10"/>
        <v>45647</v>
      </c>
      <c r="I44" s="60" t="str">
        <f>+VLOOKUP(A44,'[1]BDD-Avk Tx'!B:BZ,77,0)</f>
        <v>CDI</v>
      </c>
      <c r="J44" s="4">
        <f t="shared" si="11"/>
        <v>45647</v>
      </c>
      <c r="N44" s="3"/>
      <c r="P44" s="54">
        <f t="shared" si="22"/>
        <v>13.25</v>
      </c>
      <c r="Q44" s="61">
        <v>0</v>
      </c>
      <c r="R44" s="62">
        <f t="shared" si="23"/>
        <v>20</v>
      </c>
      <c r="S44" s="54">
        <f t="shared" si="33"/>
        <v>1.5</v>
      </c>
      <c r="T44" s="54">
        <f t="shared" si="33"/>
        <v>1.5</v>
      </c>
      <c r="U44" s="54">
        <f t="shared" si="33"/>
        <v>1.5</v>
      </c>
      <c r="V44" s="54">
        <f t="shared" si="33"/>
        <v>1.5</v>
      </c>
      <c r="W44" s="54">
        <f t="shared" si="33"/>
        <v>1.5</v>
      </c>
      <c r="X44" s="54">
        <f t="shared" si="33"/>
        <v>1.5</v>
      </c>
      <c r="Y44" s="54">
        <f t="shared" si="33"/>
        <v>1.5</v>
      </c>
      <c r="Z44" s="54">
        <f t="shared" si="33"/>
        <v>1.5</v>
      </c>
      <c r="AA44" s="54">
        <f t="shared" si="33"/>
        <v>1.5</v>
      </c>
      <c r="AB44" s="54">
        <f t="shared" si="33"/>
        <v>3.5</v>
      </c>
      <c r="AC44" s="54">
        <f t="shared" si="33"/>
        <v>1.5</v>
      </c>
      <c r="AD44" s="54">
        <f t="shared" si="33"/>
        <v>1.5</v>
      </c>
      <c r="AF44" s="62">
        <f t="shared" si="13"/>
        <v>0</v>
      </c>
      <c r="AG44" s="64">
        <v>0</v>
      </c>
      <c r="AH44" s="64">
        <v>0</v>
      </c>
      <c r="AI44" s="65">
        <v>0</v>
      </c>
      <c r="AJ44" s="66"/>
      <c r="AK44" s="64"/>
      <c r="AL44" s="64"/>
      <c r="AM44" s="64"/>
      <c r="AN44" s="64"/>
      <c r="AO44" s="64"/>
      <c r="AP44" s="64"/>
      <c r="AQ44" s="64"/>
      <c r="AR44" s="64"/>
      <c r="AS44" s="67">
        <f t="shared" si="14"/>
        <v>20</v>
      </c>
      <c r="AT44" s="68"/>
      <c r="AU44" s="69">
        <v>-4.8730769230768942</v>
      </c>
      <c r="AV44" s="62">
        <f t="shared" si="29"/>
        <v>237.00000000000006</v>
      </c>
      <c r="AW44" s="54">
        <f t="shared" ref="AW44:BH105" si="34">+IF($K44="",$E44/26*S44,IF(MONTH($K44)=MONTH(AW$5),$L44/26*S44,IF(AND($K44&lt;AW$5,(MONTH($K44)&lt;&gt;MONTH(AW$5))),$L44/26*S44,$E44/26*S44)))</f>
        <v>17.775000000000002</v>
      </c>
      <c r="AX44" s="54">
        <f t="shared" si="34"/>
        <v>17.775000000000002</v>
      </c>
      <c r="AY44" s="54">
        <f t="shared" si="34"/>
        <v>17.775000000000002</v>
      </c>
      <c r="AZ44" s="54">
        <f t="shared" si="34"/>
        <v>17.775000000000002</v>
      </c>
      <c r="BA44" s="54">
        <f t="shared" si="34"/>
        <v>17.775000000000002</v>
      </c>
      <c r="BB44" s="54">
        <f t="shared" si="34"/>
        <v>17.775000000000002</v>
      </c>
      <c r="BC44" s="54">
        <f t="shared" si="34"/>
        <v>17.775000000000002</v>
      </c>
      <c r="BD44" s="54">
        <f t="shared" si="34"/>
        <v>17.775000000000002</v>
      </c>
      <c r="BE44" s="54">
        <f t="shared" si="34"/>
        <v>17.775000000000002</v>
      </c>
      <c r="BF44" s="54">
        <f t="shared" si="34"/>
        <v>41.475000000000009</v>
      </c>
      <c r="BG44" s="54">
        <f t="shared" si="34"/>
        <v>17.775000000000002</v>
      </c>
      <c r="BH44" s="54">
        <f t="shared" si="34"/>
        <v>17.775000000000002</v>
      </c>
      <c r="BI44" s="62">
        <f t="shared" si="16"/>
        <v>0</v>
      </c>
      <c r="BJ44" s="59">
        <f t="shared" si="30"/>
        <v>0</v>
      </c>
      <c r="BK44" s="59">
        <f t="shared" si="30"/>
        <v>0</v>
      </c>
      <c r="BL44" s="59">
        <f t="shared" si="30"/>
        <v>0</v>
      </c>
      <c r="BM44" s="59">
        <f t="shared" si="30"/>
        <v>0</v>
      </c>
      <c r="BN44" s="59">
        <f t="shared" si="30"/>
        <v>0</v>
      </c>
      <c r="BO44" s="59">
        <f t="shared" si="30"/>
        <v>0</v>
      </c>
      <c r="BP44" s="59">
        <f t="shared" si="30"/>
        <v>0</v>
      </c>
      <c r="BQ44" s="59">
        <f t="shared" si="30"/>
        <v>0</v>
      </c>
      <c r="BR44" s="59">
        <f t="shared" si="30"/>
        <v>0</v>
      </c>
      <c r="BS44" s="59">
        <f t="shared" si="30"/>
        <v>0</v>
      </c>
      <c r="BT44" s="59">
        <f t="shared" si="30"/>
        <v>0</v>
      </c>
      <c r="BU44" s="59">
        <f t="shared" si="30"/>
        <v>0</v>
      </c>
      <c r="BV44" s="67">
        <f t="shared" si="18"/>
        <v>232.12692307692316</v>
      </c>
      <c r="BX44" s="54">
        <f t="shared" si="32"/>
        <v>23.107500000000002</v>
      </c>
      <c r="BY44" s="54">
        <f t="shared" si="32"/>
        <v>23.107500000000002</v>
      </c>
      <c r="BZ44" s="54">
        <f t="shared" si="32"/>
        <v>23.107500000000002</v>
      </c>
      <c r="CA44" s="54">
        <f t="shared" si="32"/>
        <v>23.107500000000002</v>
      </c>
      <c r="CB44" s="54">
        <f t="shared" si="32"/>
        <v>23.107500000000002</v>
      </c>
      <c r="CC44" s="54">
        <f t="shared" si="32"/>
        <v>23.107500000000002</v>
      </c>
      <c r="CD44" s="54">
        <f t="shared" si="31"/>
        <v>23.107500000000002</v>
      </c>
      <c r="CE44" s="54">
        <f t="shared" si="31"/>
        <v>23.107500000000002</v>
      </c>
      <c r="CF44" s="54">
        <f t="shared" si="31"/>
        <v>23.107500000000002</v>
      </c>
      <c r="CG44" s="54">
        <f t="shared" si="31"/>
        <v>53.917500000000004</v>
      </c>
      <c r="CH44" s="54">
        <f t="shared" si="31"/>
        <v>23.107500000000002</v>
      </c>
      <c r="CI44" s="54">
        <f t="shared" si="31"/>
        <v>23.107500000000002</v>
      </c>
      <c r="CJ44" s="74">
        <f t="shared" si="27"/>
        <v>308.10000000000008</v>
      </c>
      <c r="CK44" s="59">
        <f t="shared" si="26"/>
        <v>20</v>
      </c>
      <c r="CL44" s="9">
        <f t="shared" si="28"/>
        <v>0</v>
      </c>
      <c r="CM44" s="71">
        <f t="shared" si="21"/>
        <v>308.10000000000002</v>
      </c>
      <c r="CN44" s="72"/>
      <c r="CO44" s="73"/>
    </row>
    <row r="45" spans="1:94" ht="20.25" customHeight="1">
      <c r="A45" s="1" t="s">
        <v>144</v>
      </c>
      <c r="B45" s="1" t="s">
        <v>145</v>
      </c>
      <c r="C45" s="1" t="s">
        <v>126</v>
      </c>
      <c r="D45" s="58">
        <f>+VLOOKUP(A45,'[1]BDD-Avk Tx'!B:CE,82,0)</f>
        <v>160</v>
      </c>
      <c r="E45" s="59">
        <v>308.10000000000002</v>
      </c>
      <c r="G45" s="4">
        <v>41153</v>
      </c>
      <c r="H45" s="4">
        <f t="shared" si="10"/>
        <v>45647</v>
      </c>
      <c r="I45" s="60" t="str">
        <f>+VLOOKUP(A45,'[1]BDD-Avk Tx'!B:BZ,77,0)</f>
        <v>CDI</v>
      </c>
      <c r="J45" s="4">
        <f t="shared" si="11"/>
        <v>45647</v>
      </c>
      <c r="N45" s="3"/>
      <c r="P45" s="54">
        <f t="shared" si="22"/>
        <v>13.25</v>
      </c>
      <c r="Q45" s="61">
        <v>0</v>
      </c>
      <c r="R45" s="62">
        <f t="shared" si="23"/>
        <v>20</v>
      </c>
      <c r="S45" s="54">
        <f t="shared" si="33"/>
        <v>1.5</v>
      </c>
      <c r="T45" s="54">
        <f t="shared" si="33"/>
        <v>1.5</v>
      </c>
      <c r="U45" s="54">
        <f t="shared" si="33"/>
        <v>1.5</v>
      </c>
      <c r="V45" s="54">
        <f t="shared" si="33"/>
        <v>1.5</v>
      </c>
      <c r="W45" s="54">
        <f t="shared" si="33"/>
        <v>1.5</v>
      </c>
      <c r="X45" s="54">
        <f t="shared" si="33"/>
        <v>1.5</v>
      </c>
      <c r="Y45" s="54">
        <f t="shared" si="33"/>
        <v>1.5</v>
      </c>
      <c r="Z45" s="54">
        <f t="shared" si="33"/>
        <v>1.5</v>
      </c>
      <c r="AA45" s="54">
        <f t="shared" si="33"/>
        <v>1.5</v>
      </c>
      <c r="AB45" s="54">
        <f t="shared" si="33"/>
        <v>3.5</v>
      </c>
      <c r="AC45" s="54">
        <f t="shared" si="33"/>
        <v>1.5</v>
      </c>
      <c r="AD45" s="54">
        <f t="shared" si="33"/>
        <v>1.5</v>
      </c>
      <c r="AF45" s="62">
        <f t="shared" si="13"/>
        <v>20</v>
      </c>
      <c r="AG45" s="64">
        <v>0</v>
      </c>
      <c r="AH45" s="64">
        <v>20</v>
      </c>
      <c r="AI45" s="65">
        <v>0</v>
      </c>
      <c r="AJ45" s="66"/>
      <c r="AK45" s="64"/>
      <c r="AL45" s="64"/>
      <c r="AM45" s="64"/>
      <c r="AN45" s="64"/>
      <c r="AO45" s="64"/>
      <c r="AP45" s="64"/>
      <c r="AQ45" s="64"/>
      <c r="AR45" s="64"/>
      <c r="AS45" s="67">
        <f t="shared" si="14"/>
        <v>0</v>
      </c>
      <c r="AT45" s="68"/>
      <c r="AU45" s="69">
        <v>-6.2423076923077474</v>
      </c>
      <c r="AV45" s="62">
        <f t="shared" si="29"/>
        <v>237.00000000000006</v>
      </c>
      <c r="AW45" s="54">
        <f t="shared" si="34"/>
        <v>17.775000000000002</v>
      </c>
      <c r="AX45" s="54">
        <f t="shared" si="34"/>
        <v>17.775000000000002</v>
      </c>
      <c r="AY45" s="54">
        <f t="shared" si="34"/>
        <v>17.775000000000002</v>
      </c>
      <c r="AZ45" s="54">
        <f t="shared" si="34"/>
        <v>17.775000000000002</v>
      </c>
      <c r="BA45" s="54">
        <f t="shared" si="34"/>
        <v>17.775000000000002</v>
      </c>
      <c r="BB45" s="54">
        <f t="shared" si="34"/>
        <v>17.775000000000002</v>
      </c>
      <c r="BC45" s="54">
        <f t="shared" si="34"/>
        <v>17.775000000000002</v>
      </c>
      <c r="BD45" s="54">
        <f t="shared" si="34"/>
        <v>17.775000000000002</v>
      </c>
      <c r="BE45" s="54">
        <f t="shared" si="34"/>
        <v>17.775000000000002</v>
      </c>
      <c r="BF45" s="54">
        <f t="shared" si="34"/>
        <v>41.475000000000009</v>
      </c>
      <c r="BG45" s="54">
        <f t="shared" si="34"/>
        <v>17.775000000000002</v>
      </c>
      <c r="BH45" s="54">
        <f t="shared" si="34"/>
        <v>17.775000000000002</v>
      </c>
      <c r="BI45" s="62">
        <f t="shared" si="16"/>
        <v>-237.00000000000003</v>
      </c>
      <c r="BJ45" s="59">
        <f t="shared" si="30"/>
        <v>0</v>
      </c>
      <c r="BK45" s="59">
        <f t="shared" si="30"/>
        <v>-237.00000000000003</v>
      </c>
      <c r="BL45" s="59">
        <f t="shared" si="30"/>
        <v>0</v>
      </c>
      <c r="BM45" s="59">
        <f t="shared" ref="BJ45:BU63" si="35">(+IF($K45="",$E45/26*AJ45,IF(MONTH($K45)=MONTH(BM$5),$L45/26*AJ45,IF(AND($K45&lt;BM$5,(MONTH($K45)&lt;&gt;MONTH(BM$5))),$L45/26*AJ45,$E45/26*AJ45))))*-1</f>
        <v>0</v>
      </c>
      <c r="BN45" s="59">
        <f t="shared" si="35"/>
        <v>0</v>
      </c>
      <c r="BO45" s="59">
        <f t="shared" si="35"/>
        <v>0</v>
      </c>
      <c r="BP45" s="59">
        <f t="shared" si="35"/>
        <v>0</v>
      </c>
      <c r="BQ45" s="59">
        <f t="shared" si="35"/>
        <v>0</v>
      </c>
      <c r="BR45" s="59">
        <f t="shared" si="35"/>
        <v>0</v>
      </c>
      <c r="BS45" s="59">
        <f t="shared" si="35"/>
        <v>0</v>
      </c>
      <c r="BT45" s="59">
        <f t="shared" si="35"/>
        <v>0</v>
      </c>
      <c r="BU45" s="59">
        <f t="shared" si="35"/>
        <v>0</v>
      </c>
      <c r="BV45" s="67">
        <f t="shared" si="18"/>
        <v>-6.242307692307719</v>
      </c>
      <c r="BX45" s="54">
        <f t="shared" si="32"/>
        <v>23.107500000000002</v>
      </c>
      <c r="BY45" s="54">
        <f t="shared" si="32"/>
        <v>23.107500000000002</v>
      </c>
      <c r="BZ45" s="54">
        <f t="shared" si="32"/>
        <v>23.107500000000002</v>
      </c>
      <c r="CA45" s="54">
        <f t="shared" si="32"/>
        <v>23.107500000000002</v>
      </c>
      <c r="CB45" s="54">
        <f t="shared" si="32"/>
        <v>23.107500000000002</v>
      </c>
      <c r="CC45" s="54">
        <f t="shared" si="32"/>
        <v>23.107500000000002</v>
      </c>
      <c r="CD45" s="54">
        <f t="shared" si="31"/>
        <v>23.107500000000002</v>
      </c>
      <c r="CE45" s="54">
        <f t="shared" si="31"/>
        <v>23.107500000000002</v>
      </c>
      <c r="CF45" s="54">
        <f t="shared" si="31"/>
        <v>23.107500000000002</v>
      </c>
      <c r="CG45" s="54">
        <f t="shared" si="31"/>
        <v>53.917500000000004</v>
      </c>
      <c r="CH45" s="54">
        <f t="shared" si="31"/>
        <v>23.107500000000002</v>
      </c>
      <c r="CI45" s="54">
        <f t="shared" si="31"/>
        <v>23.107500000000002</v>
      </c>
      <c r="CJ45" s="74">
        <f t="shared" si="27"/>
        <v>308.10000000000008</v>
      </c>
      <c r="CK45" s="59">
        <f t="shared" si="26"/>
        <v>20</v>
      </c>
      <c r="CL45" s="9">
        <f t="shared" si="28"/>
        <v>0</v>
      </c>
      <c r="CM45" s="71">
        <f t="shared" si="21"/>
        <v>308.10000000000002</v>
      </c>
      <c r="CN45" s="54"/>
      <c r="CO45" s="73"/>
      <c r="CP45" s="56"/>
    </row>
    <row r="46" spans="1:94" ht="20.25" customHeight="1">
      <c r="A46" s="75" t="s">
        <v>146</v>
      </c>
      <c r="B46" s="1" t="s">
        <v>147</v>
      </c>
      <c r="C46" s="1" t="s">
        <v>134</v>
      </c>
      <c r="D46" s="58">
        <f>+VLOOKUP(A46,'[1]BDD-Avk Tx'!B:CE,82,0)</f>
        <v>160</v>
      </c>
      <c r="E46" s="59">
        <v>172.9</v>
      </c>
      <c r="G46" s="4">
        <v>41153</v>
      </c>
      <c r="H46" s="4">
        <f t="shared" si="10"/>
        <v>45647</v>
      </c>
      <c r="I46" s="60" t="str">
        <f>+VLOOKUP(A46,'[1]BDD-Avk Tx'!B:BZ,77,0)</f>
        <v>CDI</v>
      </c>
      <c r="J46" s="4">
        <f t="shared" si="11"/>
        <v>45647</v>
      </c>
      <c r="N46" s="3"/>
      <c r="P46" s="54">
        <f t="shared" si="22"/>
        <v>13.25</v>
      </c>
      <c r="Q46" s="61">
        <v>1</v>
      </c>
      <c r="R46" s="62">
        <f t="shared" si="23"/>
        <v>20</v>
      </c>
      <c r="S46" s="54">
        <f t="shared" si="33"/>
        <v>1.5</v>
      </c>
      <c r="T46" s="54">
        <f t="shared" si="33"/>
        <v>1.5</v>
      </c>
      <c r="U46" s="54">
        <f t="shared" si="33"/>
        <v>1.5</v>
      </c>
      <c r="V46" s="54">
        <f t="shared" si="33"/>
        <v>1.5</v>
      </c>
      <c r="W46" s="54">
        <f t="shared" si="33"/>
        <v>1.5</v>
      </c>
      <c r="X46" s="54">
        <f t="shared" si="33"/>
        <v>1.5</v>
      </c>
      <c r="Y46" s="54">
        <f t="shared" si="33"/>
        <v>1.5</v>
      </c>
      <c r="Z46" s="54">
        <f t="shared" si="33"/>
        <v>1.5</v>
      </c>
      <c r="AA46" s="54">
        <f t="shared" si="33"/>
        <v>1.5</v>
      </c>
      <c r="AB46" s="54">
        <f t="shared" si="33"/>
        <v>3.5</v>
      </c>
      <c r="AC46" s="54">
        <f t="shared" si="33"/>
        <v>1.5</v>
      </c>
      <c r="AD46" s="54">
        <f t="shared" si="33"/>
        <v>1.5</v>
      </c>
      <c r="AF46" s="62">
        <f t="shared" si="13"/>
        <v>0</v>
      </c>
      <c r="AG46" s="64">
        <v>0</v>
      </c>
      <c r="AH46" s="64">
        <v>0</v>
      </c>
      <c r="AI46" s="65">
        <v>0</v>
      </c>
      <c r="AJ46" s="66"/>
      <c r="AK46" s="64"/>
      <c r="AL46" s="64"/>
      <c r="AM46" s="64"/>
      <c r="AN46" s="64"/>
      <c r="AO46" s="64"/>
      <c r="AP46" s="64"/>
      <c r="AQ46" s="64"/>
      <c r="AR46" s="64"/>
      <c r="AS46" s="67">
        <f t="shared" si="14"/>
        <v>21</v>
      </c>
      <c r="AT46" s="68"/>
      <c r="AU46" s="69">
        <v>1.6557692307692093</v>
      </c>
      <c r="AV46" s="62">
        <f t="shared" si="29"/>
        <v>133</v>
      </c>
      <c r="AW46" s="54">
        <f t="shared" si="34"/>
        <v>9.9750000000000014</v>
      </c>
      <c r="AX46" s="54">
        <f t="shared" si="34"/>
        <v>9.9750000000000014</v>
      </c>
      <c r="AY46" s="54">
        <f t="shared" si="34"/>
        <v>9.9750000000000014</v>
      </c>
      <c r="AZ46" s="54">
        <f t="shared" si="34"/>
        <v>9.9750000000000014</v>
      </c>
      <c r="BA46" s="54">
        <f t="shared" si="34"/>
        <v>9.9750000000000014</v>
      </c>
      <c r="BB46" s="54">
        <f t="shared" si="34"/>
        <v>9.9750000000000014</v>
      </c>
      <c r="BC46" s="54">
        <f t="shared" si="34"/>
        <v>9.9750000000000014</v>
      </c>
      <c r="BD46" s="54">
        <f t="shared" si="34"/>
        <v>9.9750000000000014</v>
      </c>
      <c r="BE46" s="54">
        <f t="shared" si="34"/>
        <v>9.9750000000000014</v>
      </c>
      <c r="BF46" s="54">
        <f t="shared" si="34"/>
        <v>23.275000000000002</v>
      </c>
      <c r="BG46" s="54">
        <f t="shared" si="34"/>
        <v>9.9750000000000014</v>
      </c>
      <c r="BH46" s="54">
        <f t="shared" si="34"/>
        <v>9.9750000000000014</v>
      </c>
      <c r="BI46" s="62">
        <f t="shared" si="16"/>
        <v>0</v>
      </c>
      <c r="BJ46" s="59">
        <f t="shared" si="35"/>
        <v>0</v>
      </c>
      <c r="BK46" s="59">
        <f t="shared" si="35"/>
        <v>0</v>
      </c>
      <c r="BL46" s="59">
        <f t="shared" si="35"/>
        <v>0</v>
      </c>
      <c r="BM46" s="59">
        <f t="shared" si="35"/>
        <v>0</v>
      </c>
      <c r="BN46" s="59">
        <f t="shared" si="35"/>
        <v>0</v>
      </c>
      <c r="BO46" s="59">
        <f t="shared" si="35"/>
        <v>0</v>
      </c>
      <c r="BP46" s="59">
        <f t="shared" si="35"/>
        <v>0</v>
      </c>
      <c r="BQ46" s="59">
        <f t="shared" si="35"/>
        <v>0</v>
      </c>
      <c r="BR46" s="59">
        <f t="shared" si="35"/>
        <v>0</v>
      </c>
      <c r="BS46" s="59">
        <f t="shared" si="35"/>
        <v>0</v>
      </c>
      <c r="BT46" s="59">
        <f t="shared" si="35"/>
        <v>0</v>
      </c>
      <c r="BU46" s="59">
        <f t="shared" si="35"/>
        <v>0</v>
      </c>
      <c r="BV46" s="67">
        <f t="shared" si="18"/>
        <v>134.65576923076921</v>
      </c>
      <c r="BX46" s="54">
        <f t="shared" si="32"/>
        <v>12.967499999999999</v>
      </c>
      <c r="BY46" s="54">
        <f t="shared" si="32"/>
        <v>12.967499999999999</v>
      </c>
      <c r="BZ46" s="54">
        <f t="shared" si="32"/>
        <v>12.967499999999999</v>
      </c>
      <c r="CA46" s="54">
        <f t="shared" si="32"/>
        <v>12.967499999999999</v>
      </c>
      <c r="CB46" s="54">
        <f t="shared" si="32"/>
        <v>12.967499999999999</v>
      </c>
      <c r="CC46" s="54">
        <f t="shared" si="32"/>
        <v>12.967499999999999</v>
      </c>
      <c r="CD46" s="54">
        <f t="shared" si="31"/>
        <v>12.967499999999999</v>
      </c>
      <c r="CE46" s="54">
        <f t="shared" si="31"/>
        <v>12.967499999999999</v>
      </c>
      <c r="CF46" s="54">
        <f t="shared" si="31"/>
        <v>12.967499999999999</v>
      </c>
      <c r="CG46" s="54">
        <f t="shared" si="31"/>
        <v>30.2575</v>
      </c>
      <c r="CH46" s="54">
        <f t="shared" si="31"/>
        <v>12.967499999999999</v>
      </c>
      <c r="CI46" s="54">
        <f t="shared" si="31"/>
        <v>12.967499999999999</v>
      </c>
      <c r="CJ46" s="74">
        <f t="shared" si="27"/>
        <v>172.9</v>
      </c>
      <c r="CK46" s="59">
        <f t="shared" si="26"/>
        <v>20</v>
      </c>
      <c r="CL46" s="9">
        <f t="shared" si="28"/>
        <v>0</v>
      </c>
      <c r="CM46" s="71">
        <f t="shared" si="21"/>
        <v>172.9</v>
      </c>
      <c r="CN46" s="72"/>
      <c r="CO46" s="73"/>
    </row>
    <row r="47" spans="1:94" ht="20.25" customHeight="1">
      <c r="A47" s="1" t="s">
        <v>148</v>
      </c>
      <c r="B47" s="1" t="s">
        <v>149</v>
      </c>
      <c r="C47" s="1" t="s">
        <v>150</v>
      </c>
      <c r="D47" s="58">
        <f>+VLOOKUP(A47,'[1]BDD-Avk Tx'!B:CE,82,0)</f>
        <v>160</v>
      </c>
      <c r="E47" s="59">
        <v>231.4</v>
      </c>
      <c r="G47" s="4">
        <v>41153</v>
      </c>
      <c r="H47" s="4">
        <f t="shared" si="10"/>
        <v>45647</v>
      </c>
      <c r="I47" s="60" t="str">
        <f>+VLOOKUP(A47,'[1]BDD-Avk Tx'!B:BZ,77,0)</f>
        <v>CDI</v>
      </c>
      <c r="J47" s="4">
        <f t="shared" si="11"/>
        <v>45647</v>
      </c>
      <c r="N47" s="3"/>
      <c r="P47" s="54">
        <f t="shared" si="22"/>
        <v>13.25</v>
      </c>
      <c r="Q47" s="61">
        <v>0</v>
      </c>
      <c r="R47" s="62">
        <f t="shared" si="23"/>
        <v>20</v>
      </c>
      <c r="S47" s="54">
        <f t="shared" si="33"/>
        <v>1.5</v>
      </c>
      <c r="T47" s="54">
        <f t="shared" si="33"/>
        <v>1.5</v>
      </c>
      <c r="U47" s="54">
        <f t="shared" si="33"/>
        <v>1.5</v>
      </c>
      <c r="V47" s="54">
        <f t="shared" si="33"/>
        <v>1.5</v>
      </c>
      <c r="W47" s="54">
        <f t="shared" si="33"/>
        <v>1.5</v>
      </c>
      <c r="X47" s="54">
        <f t="shared" si="33"/>
        <v>1.5</v>
      </c>
      <c r="Y47" s="54">
        <f t="shared" si="33"/>
        <v>1.5</v>
      </c>
      <c r="Z47" s="54">
        <f t="shared" si="33"/>
        <v>1.5</v>
      </c>
      <c r="AA47" s="54">
        <f t="shared" si="33"/>
        <v>1.5</v>
      </c>
      <c r="AB47" s="54">
        <f t="shared" si="33"/>
        <v>3.5</v>
      </c>
      <c r="AC47" s="54">
        <f t="shared" si="33"/>
        <v>1.5</v>
      </c>
      <c r="AD47" s="54">
        <f t="shared" si="33"/>
        <v>1.5</v>
      </c>
      <c r="AF47" s="62">
        <f t="shared" si="13"/>
        <v>20</v>
      </c>
      <c r="AG47" s="64">
        <v>0</v>
      </c>
      <c r="AH47" s="64">
        <v>14</v>
      </c>
      <c r="AI47" s="65">
        <v>6</v>
      </c>
      <c r="AJ47" s="66"/>
      <c r="AK47" s="64"/>
      <c r="AL47" s="64"/>
      <c r="AM47" s="64"/>
      <c r="AN47" s="64"/>
      <c r="AO47" s="64"/>
      <c r="AP47" s="64"/>
      <c r="AQ47" s="64"/>
      <c r="AR47" s="64"/>
      <c r="AS47" s="67">
        <f t="shared" si="14"/>
        <v>0</v>
      </c>
      <c r="AT47" s="68"/>
      <c r="AU47" s="69">
        <v>-7.0153846153850168</v>
      </c>
      <c r="AV47" s="62">
        <f t="shared" si="29"/>
        <v>177.99999999999997</v>
      </c>
      <c r="AW47" s="54">
        <f t="shared" si="34"/>
        <v>13.350000000000001</v>
      </c>
      <c r="AX47" s="54">
        <f t="shared" si="34"/>
        <v>13.350000000000001</v>
      </c>
      <c r="AY47" s="54">
        <f t="shared" si="34"/>
        <v>13.350000000000001</v>
      </c>
      <c r="AZ47" s="54">
        <f t="shared" si="34"/>
        <v>13.350000000000001</v>
      </c>
      <c r="BA47" s="54">
        <f t="shared" si="34"/>
        <v>13.350000000000001</v>
      </c>
      <c r="BB47" s="54">
        <f t="shared" si="34"/>
        <v>13.350000000000001</v>
      </c>
      <c r="BC47" s="54">
        <f t="shared" si="34"/>
        <v>13.350000000000001</v>
      </c>
      <c r="BD47" s="54">
        <f t="shared" si="34"/>
        <v>13.350000000000001</v>
      </c>
      <c r="BE47" s="54">
        <f t="shared" si="34"/>
        <v>13.350000000000001</v>
      </c>
      <c r="BF47" s="54">
        <f t="shared" si="34"/>
        <v>31.150000000000002</v>
      </c>
      <c r="BG47" s="54">
        <f t="shared" si="34"/>
        <v>13.350000000000001</v>
      </c>
      <c r="BH47" s="54">
        <f t="shared" si="34"/>
        <v>13.350000000000001</v>
      </c>
      <c r="BI47" s="62">
        <f t="shared" si="16"/>
        <v>-178</v>
      </c>
      <c r="BJ47" s="59">
        <f t="shared" si="35"/>
        <v>0</v>
      </c>
      <c r="BK47" s="59">
        <f t="shared" si="35"/>
        <v>-124.60000000000001</v>
      </c>
      <c r="BL47" s="59">
        <f t="shared" si="35"/>
        <v>-53.400000000000006</v>
      </c>
      <c r="BM47" s="59">
        <f t="shared" si="35"/>
        <v>0</v>
      </c>
      <c r="BN47" s="59">
        <f t="shared" si="35"/>
        <v>0</v>
      </c>
      <c r="BO47" s="59">
        <f t="shared" si="35"/>
        <v>0</v>
      </c>
      <c r="BP47" s="59">
        <f t="shared" si="35"/>
        <v>0</v>
      </c>
      <c r="BQ47" s="59">
        <f t="shared" si="35"/>
        <v>0</v>
      </c>
      <c r="BR47" s="59">
        <f t="shared" si="35"/>
        <v>0</v>
      </c>
      <c r="BS47" s="59">
        <f t="shared" si="35"/>
        <v>0</v>
      </c>
      <c r="BT47" s="59">
        <f t="shared" si="35"/>
        <v>0</v>
      </c>
      <c r="BU47" s="59">
        <f t="shared" si="35"/>
        <v>0</v>
      </c>
      <c r="BV47" s="67">
        <f t="shared" si="18"/>
        <v>-7.0153846153850452</v>
      </c>
      <c r="BX47" s="54">
        <f t="shared" si="32"/>
        <v>17.355</v>
      </c>
      <c r="BY47" s="54">
        <f t="shared" si="32"/>
        <v>17.355</v>
      </c>
      <c r="BZ47" s="54">
        <f t="shared" si="32"/>
        <v>17.355</v>
      </c>
      <c r="CA47" s="54">
        <f t="shared" si="32"/>
        <v>17.355</v>
      </c>
      <c r="CB47" s="54">
        <f t="shared" si="32"/>
        <v>17.355</v>
      </c>
      <c r="CC47" s="54">
        <f t="shared" si="32"/>
        <v>17.355</v>
      </c>
      <c r="CD47" s="54">
        <f t="shared" si="31"/>
        <v>17.355</v>
      </c>
      <c r="CE47" s="54">
        <f t="shared" si="31"/>
        <v>17.355</v>
      </c>
      <c r="CF47" s="54">
        <f t="shared" si="31"/>
        <v>17.355</v>
      </c>
      <c r="CG47" s="54">
        <f t="shared" si="31"/>
        <v>40.495000000000005</v>
      </c>
      <c r="CH47" s="54">
        <f t="shared" si="31"/>
        <v>17.355</v>
      </c>
      <c r="CI47" s="54">
        <f t="shared" si="31"/>
        <v>17.355</v>
      </c>
      <c r="CJ47" s="74">
        <f t="shared" si="27"/>
        <v>231.39999999999998</v>
      </c>
      <c r="CK47" s="59">
        <f t="shared" si="26"/>
        <v>20</v>
      </c>
      <c r="CL47" s="9">
        <f t="shared" si="28"/>
        <v>0</v>
      </c>
      <c r="CM47" s="71">
        <f t="shared" si="21"/>
        <v>231.4</v>
      </c>
      <c r="CN47" s="54"/>
      <c r="CO47" s="73"/>
      <c r="CP47" s="56"/>
    </row>
    <row r="48" spans="1:94" ht="20.25" customHeight="1">
      <c r="A48" s="75" t="s">
        <v>151</v>
      </c>
      <c r="B48" s="1" t="s">
        <v>152</v>
      </c>
      <c r="C48" s="1" t="s">
        <v>134</v>
      </c>
      <c r="D48" s="58">
        <f>+VLOOKUP(A48,'[1]BDD-Avk Tx'!B:CE,82,0)</f>
        <v>160</v>
      </c>
      <c r="E48" s="59">
        <v>172.9</v>
      </c>
      <c r="G48" s="4">
        <v>41153</v>
      </c>
      <c r="H48" s="4">
        <f t="shared" si="10"/>
        <v>45647</v>
      </c>
      <c r="I48" s="60" t="str">
        <f>+VLOOKUP(A48,'[1]BDD-Avk Tx'!B:BZ,77,0)</f>
        <v>CDI</v>
      </c>
      <c r="J48" s="4">
        <f t="shared" si="11"/>
        <v>45647</v>
      </c>
      <c r="N48" s="3"/>
      <c r="P48" s="54">
        <f t="shared" si="22"/>
        <v>13.25</v>
      </c>
      <c r="Q48" s="61">
        <v>0</v>
      </c>
      <c r="R48" s="62">
        <f t="shared" si="23"/>
        <v>20</v>
      </c>
      <c r="S48" s="54">
        <f t="shared" si="33"/>
        <v>1.5</v>
      </c>
      <c r="T48" s="54">
        <f t="shared" si="33"/>
        <v>1.5</v>
      </c>
      <c r="U48" s="54">
        <f t="shared" si="33"/>
        <v>1.5</v>
      </c>
      <c r="V48" s="54">
        <f t="shared" si="33"/>
        <v>1.5</v>
      </c>
      <c r="W48" s="54">
        <f t="shared" si="33"/>
        <v>1.5</v>
      </c>
      <c r="X48" s="54">
        <f t="shared" si="33"/>
        <v>1.5</v>
      </c>
      <c r="Y48" s="54">
        <f t="shared" si="33"/>
        <v>1.5</v>
      </c>
      <c r="Z48" s="54">
        <f t="shared" si="33"/>
        <v>1.5</v>
      </c>
      <c r="AA48" s="54">
        <f t="shared" si="33"/>
        <v>1.5</v>
      </c>
      <c r="AB48" s="54">
        <f t="shared" si="33"/>
        <v>3.5</v>
      </c>
      <c r="AC48" s="54">
        <f t="shared" si="33"/>
        <v>1.5</v>
      </c>
      <c r="AD48" s="54">
        <f t="shared" si="33"/>
        <v>1.5</v>
      </c>
      <c r="AF48" s="62">
        <f t="shared" si="13"/>
        <v>0</v>
      </c>
      <c r="AG48" s="64">
        <v>0</v>
      </c>
      <c r="AH48" s="64">
        <v>0</v>
      </c>
      <c r="AI48" s="65">
        <v>0</v>
      </c>
      <c r="AJ48" s="66"/>
      <c r="AK48" s="64"/>
      <c r="AL48" s="64"/>
      <c r="AM48" s="64"/>
      <c r="AN48" s="64"/>
      <c r="AO48" s="64"/>
      <c r="AP48" s="64"/>
      <c r="AQ48" s="64"/>
      <c r="AR48" s="64"/>
      <c r="AS48" s="67">
        <f t="shared" si="14"/>
        <v>20</v>
      </c>
      <c r="AT48" s="68"/>
      <c r="AU48" s="69">
        <v>-4.9942307692308248</v>
      </c>
      <c r="AV48" s="62">
        <f t="shared" si="29"/>
        <v>133</v>
      </c>
      <c r="AW48" s="54">
        <f t="shared" si="34"/>
        <v>9.9750000000000014</v>
      </c>
      <c r="AX48" s="54">
        <f t="shared" si="34"/>
        <v>9.9750000000000014</v>
      </c>
      <c r="AY48" s="54">
        <f t="shared" si="34"/>
        <v>9.9750000000000014</v>
      </c>
      <c r="AZ48" s="54">
        <f t="shared" si="34"/>
        <v>9.9750000000000014</v>
      </c>
      <c r="BA48" s="54">
        <f t="shared" si="34"/>
        <v>9.9750000000000014</v>
      </c>
      <c r="BB48" s="54">
        <f t="shared" si="34"/>
        <v>9.9750000000000014</v>
      </c>
      <c r="BC48" s="54">
        <f t="shared" si="34"/>
        <v>9.9750000000000014</v>
      </c>
      <c r="BD48" s="54">
        <f t="shared" si="34"/>
        <v>9.9750000000000014</v>
      </c>
      <c r="BE48" s="54">
        <f t="shared" si="34"/>
        <v>9.9750000000000014</v>
      </c>
      <c r="BF48" s="54">
        <f t="shared" si="34"/>
        <v>23.275000000000002</v>
      </c>
      <c r="BG48" s="54">
        <f t="shared" si="34"/>
        <v>9.9750000000000014</v>
      </c>
      <c r="BH48" s="54">
        <f t="shared" si="34"/>
        <v>9.9750000000000014</v>
      </c>
      <c r="BI48" s="62">
        <f t="shared" si="16"/>
        <v>0</v>
      </c>
      <c r="BJ48" s="59">
        <f t="shared" si="35"/>
        <v>0</v>
      </c>
      <c r="BK48" s="59">
        <f t="shared" si="35"/>
        <v>0</v>
      </c>
      <c r="BL48" s="59">
        <f t="shared" si="35"/>
        <v>0</v>
      </c>
      <c r="BM48" s="59">
        <f t="shared" si="35"/>
        <v>0</v>
      </c>
      <c r="BN48" s="59">
        <f t="shared" si="35"/>
        <v>0</v>
      </c>
      <c r="BO48" s="59">
        <f t="shared" si="35"/>
        <v>0</v>
      </c>
      <c r="BP48" s="59">
        <f t="shared" si="35"/>
        <v>0</v>
      </c>
      <c r="BQ48" s="59">
        <f t="shared" si="35"/>
        <v>0</v>
      </c>
      <c r="BR48" s="59">
        <f t="shared" si="35"/>
        <v>0</v>
      </c>
      <c r="BS48" s="59">
        <f t="shared" si="35"/>
        <v>0</v>
      </c>
      <c r="BT48" s="59">
        <f t="shared" si="35"/>
        <v>0</v>
      </c>
      <c r="BU48" s="59">
        <f t="shared" si="35"/>
        <v>0</v>
      </c>
      <c r="BV48" s="67">
        <f t="shared" si="18"/>
        <v>128.00576923076918</v>
      </c>
      <c r="BX48" s="54">
        <f t="shared" si="32"/>
        <v>12.967499999999999</v>
      </c>
      <c r="BY48" s="54">
        <f t="shared" si="32"/>
        <v>12.967499999999999</v>
      </c>
      <c r="BZ48" s="54">
        <f t="shared" si="32"/>
        <v>12.967499999999999</v>
      </c>
      <c r="CA48" s="54">
        <f t="shared" si="32"/>
        <v>12.967499999999999</v>
      </c>
      <c r="CB48" s="54">
        <f t="shared" si="32"/>
        <v>12.967499999999999</v>
      </c>
      <c r="CC48" s="54">
        <f t="shared" si="32"/>
        <v>12.967499999999999</v>
      </c>
      <c r="CD48" s="54">
        <f t="shared" si="31"/>
        <v>12.967499999999999</v>
      </c>
      <c r="CE48" s="54">
        <f t="shared" si="31"/>
        <v>12.967499999999999</v>
      </c>
      <c r="CF48" s="54">
        <f t="shared" si="31"/>
        <v>12.967499999999999</v>
      </c>
      <c r="CG48" s="54">
        <f t="shared" si="31"/>
        <v>30.2575</v>
      </c>
      <c r="CH48" s="54">
        <f t="shared" si="31"/>
        <v>12.967499999999999</v>
      </c>
      <c r="CI48" s="54">
        <f t="shared" si="31"/>
        <v>12.967499999999999</v>
      </c>
      <c r="CJ48" s="74">
        <f t="shared" si="27"/>
        <v>172.9</v>
      </c>
      <c r="CK48" s="59">
        <f t="shared" si="26"/>
        <v>20</v>
      </c>
      <c r="CL48" s="9">
        <f t="shared" si="28"/>
        <v>0</v>
      </c>
      <c r="CM48" s="71">
        <f t="shared" si="21"/>
        <v>172.9</v>
      </c>
      <c r="CN48" s="72"/>
      <c r="CO48" s="73"/>
    </row>
    <row r="49" spans="1:94" ht="20.25" customHeight="1">
      <c r="A49" s="1" t="s">
        <v>153</v>
      </c>
      <c r="B49" s="1" t="s">
        <v>154</v>
      </c>
      <c r="C49" s="1" t="s">
        <v>134</v>
      </c>
      <c r="D49" s="58">
        <f>+VLOOKUP(A49,'[1]BDD-Avk Tx'!B:CE,82,0)</f>
        <v>160</v>
      </c>
      <c r="E49" s="59">
        <v>231.4</v>
      </c>
      <c r="G49" s="4">
        <v>41153</v>
      </c>
      <c r="H49" s="4">
        <f t="shared" si="10"/>
        <v>45647</v>
      </c>
      <c r="I49" s="60" t="str">
        <f>+VLOOKUP(A49,'[1]BDD-Avk Tx'!B:BZ,77,0)</f>
        <v>CDI</v>
      </c>
      <c r="J49" s="4">
        <f t="shared" si="11"/>
        <v>45647</v>
      </c>
      <c r="N49" s="3"/>
      <c r="P49" s="54">
        <f t="shared" si="22"/>
        <v>13.25</v>
      </c>
      <c r="Q49" s="61">
        <v>0</v>
      </c>
      <c r="R49" s="62">
        <f t="shared" si="23"/>
        <v>20</v>
      </c>
      <c r="S49" s="54">
        <f t="shared" si="33"/>
        <v>1.5</v>
      </c>
      <c r="T49" s="54">
        <f t="shared" si="33"/>
        <v>1.5</v>
      </c>
      <c r="U49" s="54">
        <f t="shared" si="33"/>
        <v>1.5</v>
      </c>
      <c r="V49" s="54">
        <f t="shared" si="33"/>
        <v>1.5</v>
      </c>
      <c r="W49" s="54">
        <f t="shared" si="33"/>
        <v>1.5</v>
      </c>
      <c r="X49" s="54">
        <f t="shared" si="33"/>
        <v>1.5</v>
      </c>
      <c r="Y49" s="54">
        <f t="shared" si="33"/>
        <v>1.5</v>
      </c>
      <c r="Z49" s="54">
        <f t="shared" si="33"/>
        <v>1.5</v>
      </c>
      <c r="AA49" s="54">
        <f t="shared" si="33"/>
        <v>1.5</v>
      </c>
      <c r="AB49" s="54">
        <f t="shared" si="33"/>
        <v>3.5</v>
      </c>
      <c r="AC49" s="54">
        <f t="shared" si="33"/>
        <v>1.5</v>
      </c>
      <c r="AD49" s="54">
        <f t="shared" si="33"/>
        <v>1.5</v>
      </c>
      <c r="AF49" s="62">
        <f t="shared" si="13"/>
        <v>20</v>
      </c>
      <c r="AG49" s="64">
        <v>0</v>
      </c>
      <c r="AH49" s="64">
        <v>3</v>
      </c>
      <c r="AI49" s="65">
        <v>17</v>
      </c>
      <c r="AJ49" s="66"/>
      <c r="AK49" s="64"/>
      <c r="AL49" s="64"/>
      <c r="AM49" s="64"/>
      <c r="AN49" s="64"/>
      <c r="AO49" s="64"/>
      <c r="AP49" s="64"/>
      <c r="AQ49" s="64"/>
      <c r="AR49" s="64"/>
      <c r="AS49" s="67">
        <f t="shared" si="14"/>
        <v>0</v>
      </c>
      <c r="AT49" s="68"/>
      <c r="AU49" s="69">
        <v>12.484615384615381</v>
      </c>
      <c r="AV49" s="62">
        <f t="shared" si="29"/>
        <v>177.99999999999997</v>
      </c>
      <c r="AW49" s="54">
        <f t="shared" si="34"/>
        <v>13.350000000000001</v>
      </c>
      <c r="AX49" s="54">
        <f t="shared" si="34"/>
        <v>13.350000000000001</v>
      </c>
      <c r="AY49" s="54">
        <f t="shared" si="34"/>
        <v>13.350000000000001</v>
      </c>
      <c r="AZ49" s="54">
        <f t="shared" si="34"/>
        <v>13.350000000000001</v>
      </c>
      <c r="BA49" s="54">
        <f t="shared" si="34"/>
        <v>13.350000000000001</v>
      </c>
      <c r="BB49" s="54">
        <f t="shared" si="34"/>
        <v>13.350000000000001</v>
      </c>
      <c r="BC49" s="54">
        <f t="shared" si="34"/>
        <v>13.350000000000001</v>
      </c>
      <c r="BD49" s="54">
        <f t="shared" si="34"/>
        <v>13.350000000000001</v>
      </c>
      <c r="BE49" s="54">
        <f t="shared" si="34"/>
        <v>13.350000000000001</v>
      </c>
      <c r="BF49" s="54">
        <f t="shared" si="34"/>
        <v>31.150000000000002</v>
      </c>
      <c r="BG49" s="54">
        <f t="shared" si="34"/>
        <v>13.350000000000001</v>
      </c>
      <c r="BH49" s="54">
        <f t="shared" si="34"/>
        <v>13.350000000000001</v>
      </c>
      <c r="BI49" s="62">
        <f t="shared" si="16"/>
        <v>-178</v>
      </c>
      <c r="BJ49" s="59">
        <f t="shared" si="35"/>
        <v>0</v>
      </c>
      <c r="BK49" s="59">
        <f t="shared" si="35"/>
        <v>-26.700000000000003</v>
      </c>
      <c r="BL49" s="59">
        <f t="shared" si="35"/>
        <v>-151.30000000000001</v>
      </c>
      <c r="BM49" s="59">
        <f t="shared" si="35"/>
        <v>0</v>
      </c>
      <c r="BN49" s="59">
        <f t="shared" si="35"/>
        <v>0</v>
      </c>
      <c r="BO49" s="59">
        <f t="shared" si="35"/>
        <v>0</v>
      </c>
      <c r="BP49" s="59">
        <f t="shared" si="35"/>
        <v>0</v>
      </c>
      <c r="BQ49" s="59">
        <f t="shared" si="35"/>
        <v>0</v>
      </c>
      <c r="BR49" s="59">
        <f t="shared" si="35"/>
        <v>0</v>
      </c>
      <c r="BS49" s="59">
        <f t="shared" si="35"/>
        <v>0</v>
      </c>
      <c r="BT49" s="59">
        <f t="shared" si="35"/>
        <v>0</v>
      </c>
      <c r="BU49" s="59">
        <f t="shared" si="35"/>
        <v>0</v>
      </c>
      <c r="BV49" s="67">
        <f t="shared" si="18"/>
        <v>12.484615384615353</v>
      </c>
      <c r="BX49" s="54">
        <f t="shared" si="32"/>
        <v>17.355</v>
      </c>
      <c r="BY49" s="54">
        <f t="shared" si="32"/>
        <v>17.355</v>
      </c>
      <c r="BZ49" s="54">
        <f t="shared" si="32"/>
        <v>17.355</v>
      </c>
      <c r="CA49" s="54">
        <f t="shared" si="32"/>
        <v>17.355</v>
      </c>
      <c r="CB49" s="54">
        <f t="shared" si="32"/>
        <v>17.355</v>
      </c>
      <c r="CC49" s="54">
        <f t="shared" si="32"/>
        <v>17.355</v>
      </c>
      <c r="CD49" s="54">
        <f t="shared" si="31"/>
        <v>17.355</v>
      </c>
      <c r="CE49" s="54">
        <f t="shared" si="31"/>
        <v>17.355</v>
      </c>
      <c r="CF49" s="54">
        <f t="shared" si="31"/>
        <v>17.355</v>
      </c>
      <c r="CG49" s="54">
        <f t="shared" si="31"/>
        <v>40.495000000000005</v>
      </c>
      <c r="CH49" s="54">
        <f t="shared" si="31"/>
        <v>17.355</v>
      </c>
      <c r="CI49" s="54">
        <f t="shared" si="31"/>
        <v>17.355</v>
      </c>
      <c r="CJ49" s="74">
        <f t="shared" si="27"/>
        <v>231.39999999999998</v>
      </c>
      <c r="CK49" s="59">
        <f t="shared" si="26"/>
        <v>20</v>
      </c>
      <c r="CL49" s="9">
        <f t="shared" si="28"/>
        <v>0</v>
      </c>
      <c r="CM49" s="71">
        <f t="shared" si="21"/>
        <v>231.4</v>
      </c>
      <c r="CN49" s="54"/>
      <c r="CO49" s="73"/>
      <c r="CP49" s="56"/>
    </row>
    <row r="50" spans="1:94" ht="20.25" customHeight="1">
      <c r="A50" s="75" t="s">
        <v>155</v>
      </c>
      <c r="B50" s="1" t="s">
        <v>156</v>
      </c>
      <c r="C50" s="1" t="s">
        <v>134</v>
      </c>
      <c r="D50" s="58">
        <f>+VLOOKUP(A50,'[1]BDD-Avk Tx'!B:CE,82,0)</f>
        <v>160</v>
      </c>
      <c r="E50" s="59">
        <v>172.9</v>
      </c>
      <c r="G50" s="4">
        <v>41153</v>
      </c>
      <c r="H50" s="4">
        <f t="shared" si="10"/>
        <v>45647</v>
      </c>
      <c r="I50" s="60" t="str">
        <f>+VLOOKUP(A50,'[1]BDD-Avk Tx'!B:BZ,77,0)</f>
        <v>CDI</v>
      </c>
      <c r="J50" s="4">
        <f t="shared" si="11"/>
        <v>45647</v>
      </c>
      <c r="N50" s="3"/>
      <c r="P50" s="54">
        <f t="shared" si="22"/>
        <v>13.25</v>
      </c>
      <c r="Q50" s="61">
        <v>0</v>
      </c>
      <c r="R50" s="62">
        <f t="shared" si="23"/>
        <v>20</v>
      </c>
      <c r="S50" s="54">
        <f t="shared" si="33"/>
        <v>1.5</v>
      </c>
      <c r="T50" s="54">
        <f t="shared" si="33"/>
        <v>1.5</v>
      </c>
      <c r="U50" s="54">
        <f t="shared" si="33"/>
        <v>1.5</v>
      </c>
      <c r="V50" s="54">
        <f t="shared" si="33"/>
        <v>1.5</v>
      </c>
      <c r="W50" s="54">
        <f t="shared" si="33"/>
        <v>1.5</v>
      </c>
      <c r="X50" s="54">
        <f t="shared" si="33"/>
        <v>1.5</v>
      </c>
      <c r="Y50" s="54">
        <f t="shared" si="33"/>
        <v>1.5</v>
      </c>
      <c r="Z50" s="54">
        <f t="shared" si="33"/>
        <v>1.5</v>
      </c>
      <c r="AA50" s="54">
        <f t="shared" si="33"/>
        <v>1.5</v>
      </c>
      <c r="AB50" s="54">
        <f t="shared" si="33"/>
        <v>3.5</v>
      </c>
      <c r="AC50" s="54">
        <f t="shared" si="33"/>
        <v>1.5</v>
      </c>
      <c r="AD50" s="54">
        <f t="shared" si="33"/>
        <v>1.5</v>
      </c>
      <c r="AF50" s="62">
        <f t="shared" si="13"/>
        <v>7</v>
      </c>
      <c r="AG50" s="64">
        <v>0</v>
      </c>
      <c r="AH50" s="64">
        <v>0</v>
      </c>
      <c r="AI50" s="65">
        <v>7</v>
      </c>
      <c r="AJ50" s="66"/>
      <c r="AK50" s="64"/>
      <c r="AL50" s="64"/>
      <c r="AM50" s="64"/>
      <c r="AN50" s="64"/>
      <c r="AO50" s="64"/>
      <c r="AP50" s="64"/>
      <c r="AQ50" s="64"/>
      <c r="AR50" s="64"/>
      <c r="AS50" s="67">
        <f t="shared" si="14"/>
        <v>13</v>
      </c>
      <c r="AT50" s="68"/>
      <c r="AU50" s="69">
        <v>-4.9942307692308248</v>
      </c>
      <c r="AV50" s="62">
        <f t="shared" si="29"/>
        <v>133</v>
      </c>
      <c r="AW50" s="54">
        <f t="shared" si="34"/>
        <v>9.9750000000000014</v>
      </c>
      <c r="AX50" s="54">
        <f t="shared" si="34"/>
        <v>9.9750000000000014</v>
      </c>
      <c r="AY50" s="54">
        <f t="shared" si="34"/>
        <v>9.9750000000000014</v>
      </c>
      <c r="AZ50" s="54">
        <f t="shared" si="34"/>
        <v>9.9750000000000014</v>
      </c>
      <c r="BA50" s="54">
        <f t="shared" si="34"/>
        <v>9.9750000000000014</v>
      </c>
      <c r="BB50" s="54">
        <f t="shared" si="34"/>
        <v>9.9750000000000014</v>
      </c>
      <c r="BC50" s="54">
        <f t="shared" si="34"/>
        <v>9.9750000000000014</v>
      </c>
      <c r="BD50" s="54">
        <f t="shared" si="34"/>
        <v>9.9750000000000014</v>
      </c>
      <c r="BE50" s="54">
        <f t="shared" si="34"/>
        <v>9.9750000000000014</v>
      </c>
      <c r="BF50" s="54">
        <f t="shared" si="34"/>
        <v>23.275000000000002</v>
      </c>
      <c r="BG50" s="54">
        <f t="shared" si="34"/>
        <v>9.9750000000000014</v>
      </c>
      <c r="BH50" s="54">
        <f t="shared" si="34"/>
        <v>9.9750000000000014</v>
      </c>
      <c r="BI50" s="62">
        <f t="shared" si="16"/>
        <v>-46.550000000000004</v>
      </c>
      <c r="BJ50" s="59">
        <f t="shared" si="35"/>
        <v>0</v>
      </c>
      <c r="BK50" s="59">
        <f t="shared" si="35"/>
        <v>0</v>
      </c>
      <c r="BL50" s="59">
        <f t="shared" si="35"/>
        <v>-46.550000000000004</v>
      </c>
      <c r="BM50" s="59">
        <f t="shared" si="35"/>
        <v>0</v>
      </c>
      <c r="BN50" s="59">
        <f t="shared" si="35"/>
        <v>0</v>
      </c>
      <c r="BO50" s="59">
        <f t="shared" si="35"/>
        <v>0</v>
      </c>
      <c r="BP50" s="59">
        <f t="shared" si="35"/>
        <v>0</v>
      </c>
      <c r="BQ50" s="59">
        <f t="shared" si="35"/>
        <v>0</v>
      </c>
      <c r="BR50" s="59">
        <f t="shared" si="35"/>
        <v>0</v>
      </c>
      <c r="BS50" s="59">
        <f t="shared" si="35"/>
        <v>0</v>
      </c>
      <c r="BT50" s="59">
        <f t="shared" si="35"/>
        <v>0</v>
      </c>
      <c r="BU50" s="59">
        <f t="shared" si="35"/>
        <v>0</v>
      </c>
      <c r="BV50" s="67">
        <f t="shared" si="18"/>
        <v>81.455769230769164</v>
      </c>
      <c r="BX50" s="54">
        <f t="shared" si="32"/>
        <v>12.967499999999999</v>
      </c>
      <c r="BY50" s="54">
        <f t="shared" si="32"/>
        <v>12.967499999999999</v>
      </c>
      <c r="BZ50" s="54">
        <f t="shared" si="32"/>
        <v>12.967499999999999</v>
      </c>
      <c r="CA50" s="54">
        <f t="shared" si="32"/>
        <v>12.967499999999999</v>
      </c>
      <c r="CB50" s="54">
        <f t="shared" si="32"/>
        <v>12.967499999999999</v>
      </c>
      <c r="CC50" s="54">
        <f t="shared" si="32"/>
        <v>12.967499999999999</v>
      </c>
      <c r="CD50" s="54">
        <f t="shared" si="31"/>
        <v>12.967499999999999</v>
      </c>
      <c r="CE50" s="54">
        <f t="shared" si="31"/>
        <v>12.967499999999999</v>
      </c>
      <c r="CF50" s="54">
        <f t="shared" si="31"/>
        <v>12.967499999999999</v>
      </c>
      <c r="CG50" s="54">
        <f t="shared" si="31"/>
        <v>30.2575</v>
      </c>
      <c r="CH50" s="54">
        <f t="shared" si="31"/>
        <v>12.967499999999999</v>
      </c>
      <c r="CI50" s="54">
        <f t="shared" si="31"/>
        <v>12.967499999999999</v>
      </c>
      <c r="CJ50" s="74">
        <f t="shared" si="27"/>
        <v>172.9</v>
      </c>
      <c r="CK50" s="59">
        <f t="shared" si="26"/>
        <v>20</v>
      </c>
      <c r="CL50" s="9">
        <f t="shared" si="28"/>
        <v>0</v>
      </c>
      <c r="CM50" s="71">
        <f t="shared" si="21"/>
        <v>172.9</v>
      </c>
      <c r="CN50" s="72"/>
      <c r="CO50" s="73"/>
    </row>
    <row r="51" spans="1:94" ht="20.25" customHeight="1">
      <c r="A51" s="1" t="s">
        <v>157</v>
      </c>
      <c r="B51" s="1" t="s">
        <v>158</v>
      </c>
      <c r="C51" s="1" t="s">
        <v>134</v>
      </c>
      <c r="D51" s="58">
        <f>+VLOOKUP(A51,'[1]BDD-Avk Tx'!B:CE,82,0)</f>
        <v>160</v>
      </c>
      <c r="E51" s="59">
        <v>172.9</v>
      </c>
      <c r="G51" s="4">
        <v>42084</v>
      </c>
      <c r="H51" s="4">
        <f t="shared" si="10"/>
        <v>45647</v>
      </c>
      <c r="I51" s="60" t="str">
        <f>+VLOOKUP(A51,'[1]BDD-Avk Tx'!B:BZ,77,0)</f>
        <v>CDI</v>
      </c>
      <c r="J51" s="4">
        <f t="shared" si="11"/>
        <v>45647</v>
      </c>
      <c r="N51" s="3"/>
      <c r="P51" s="54">
        <f t="shared" si="22"/>
        <v>10.666666666666666</v>
      </c>
      <c r="Q51" s="61">
        <v>-0.5</v>
      </c>
      <c r="R51" s="62">
        <f t="shared" si="23"/>
        <v>20</v>
      </c>
      <c r="S51" s="54">
        <f t="shared" si="33"/>
        <v>1.5</v>
      </c>
      <c r="T51" s="54">
        <f t="shared" si="33"/>
        <v>1.5</v>
      </c>
      <c r="U51" s="54">
        <f t="shared" si="33"/>
        <v>1.5</v>
      </c>
      <c r="V51" s="54">
        <f t="shared" si="33"/>
        <v>3.5</v>
      </c>
      <c r="W51" s="54">
        <f t="shared" si="33"/>
        <v>1.5</v>
      </c>
      <c r="X51" s="54">
        <f t="shared" si="33"/>
        <v>1.5</v>
      </c>
      <c r="Y51" s="54">
        <f t="shared" si="33"/>
        <v>1.5</v>
      </c>
      <c r="Z51" s="54">
        <f t="shared" si="33"/>
        <v>1.5</v>
      </c>
      <c r="AA51" s="54">
        <f t="shared" si="33"/>
        <v>1.5</v>
      </c>
      <c r="AB51" s="54">
        <f t="shared" si="33"/>
        <v>1.5</v>
      </c>
      <c r="AC51" s="54">
        <f t="shared" si="33"/>
        <v>1.5</v>
      </c>
      <c r="AD51" s="54">
        <f t="shared" si="33"/>
        <v>1.5</v>
      </c>
      <c r="AF51" s="62">
        <f t="shared" si="13"/>
        <v>0</v>
      </c>
      <c r="AG51" s="64">
        <v>0</v>
      </c>
      <c r="AH51" s="64">
        <v>0</v>
      </c>
      <c r="AI51" s="65">
        <v>0</v>
      </c>
      <c r="AJ51" s="66"/>
      <c r="AK51" s="64"/>
      <c r="AL51" s="64"/>
      <c r="AM51" s="64"/>
      <c r="AN51" s="64"/>
      <c r="AO51" s="64"/>
      <c r="AP51" s="64"/>
      <c r="AQ51" s="64"/>
      <c r="AR51" s="64"/>
      <c r="AS51" s="67">
        <f t="shared" si="14"/>
        <v>19.5</v>
      </c>
      <c r="AT51" s="68"/>
      <c r="AU51" s="69">
        <v>-7.9625000000001478</v>
      </c>
      <c r="AV51" s="62">
        <f t="shared" si="29"/>
        <v>132.99999999999997</v>
      </c>
      <c r="AW51" s="54">
        <f t="shared" si="34"/>
        <v>9.9750000000000014</v>
      </c>
      <c r="AX51" s="54">
        <f t="shared" si="34"/>
        <v>9.9750000000000014</v>
      </c>
      <c r="AY51" s="54">
        <f t="shared" si="34"/>
        <v>9.9750000000000014</v>
      </c>
      <c r="AZ51" s="54">
        <f t="shared" si="34"/>
        <v>23.275000000000002</v>
      </c>
      <c r="BA51" s="54">
        <f t="shared" si="34"/>
        <v>9.9750000000000014</v>
      </c>
      <c r="BB51" s="54">
        <f t="shared" si="34"/>
        <v>9.9750000000000014</v>
      </c>
      <c r="BC51" s="54">
        <f t="shared" si="34"/>
        <v>9.9750000000000014</v>
      </c>
      <c r="BD51" s="54">
        <f t="shared" si="34"/>
        <v>9.9750000000000014</v>
      </c>
      <c r="BE51" s="54">
        <f t="shared" si="34"/>
        <v>9.9750000000000014</v>
      </c>
      <c r="BF51" s="54">
        <f t="shared" si="34"/>
        <v>9.9750000000000014</v>
      </c>
      <c r="BG51" s="54">
        <f t="shared" si="34"/>
        <v>9.9750000000000014</v>
      </c>
      <c r="BH51" s="54">
        <f t="shared" si="34"/>
        <v>9.9750000000000014</v>
      </c>
      <c r="BI51" s="62">
        <f t="shared" si="16"/>
        <v>0</v>
      </c>
      <c r="BJ51" s="59">
        <f t="shared" si="35"/>
        <v>0</v>
      </c>
      <c r="BK51" s="59">
        <f t="shared" si="35"/>
        <v>0</v>
      </c>
      <c r="BL51" s="59">
        <f t="shared" si="35"/>
        <v>0</v>
      </c>
      <c r="BM51" s="59">
        <f t="shared" si="35"/>
        <v>0</v>
      </c>
      <c r="BN51" s="59">
        <f t="shared" si="35"/>
        <v>0</v>
      </c>
      <c r="BO51" s="59">
        <f t="shared" si="35"/>
        <v>0</v>
      </c>
      <c r="BP51" s="59">
        <f t="shared" si="35"/>
        <v>0</v>
      </c>
      <c r="BQ51" s="59">
        <f t="shared" si="35"/>
        <v>0</v>
      </c>
      <c r="BR51" s="59">
        <f t="shared" si="35"/>
        <v>0</v>
      </c>
      <c r="BS51" s="59">
        <f t="shared" si="35"/>
        <v>0</v>
      </c>
      <c r="BT51" s="59">
        <f t="shared" si="35"/>
        <v>0</v>
      </c>
      <c r="BU51" s="59">
        <f t="shared" si="35"/>
        <v>0</v>
      </c>
      <c r="BV51" s="67">
        <f t="shared" si="18"/>
        <v>125.03749999999982</v>
      </c>
      <c r="BX51" s="54">
        <f t="shared" si="32"/>
        <v>12.967499999999999</v>
      </c>
      <c r="BY51" s="54">
        <f t="shared" si="32"/>
        <v>12.967499999999999</v>
      </c>
      <c r="BZ51" s="54">
        <f t="shared" si="32"/>
        <v>12.967499999999999</v>
      </c>
      <c r="CA51" s="54">
        <f t="shared" si="32"/>
        <v>30.2575</v>
      </c>
      <c r="CB51" s="54">
        <f t="shared" si="32"/>
        <v>12.967499999999999</v>
      </c>
      <c r="CC51" s="54">
        <f t="shared" si="32"/>
        <v>12.967499999999999</v>
      </c>
      <c r="CD51" s="54">
        <f t="shared" si="31"/>
        <v>12.967499999999999</v>
      </c>
      <c r="CE51" s="54">
        <f t="shared" si="31"/>
        <v>12.967499999999999</v>
      </c>
      <c r="CF51" s="54">
        <f t="shared" si="31"/>
        <v>12.967499999999999</v>
      </c>
      <c r="CG51" s="54">
        <f t="shared" si="31"/>
        <v>12.967499999999999</v>
      </c>
      <c r="CH51" s="54">
        <f t="shared" si="31"/>
        <v>12.967499999999999</v>
      </c>
      <c r="CI51" s="54">
        <f t="shared" si="31"/>
        <v>12.967499999999999</v>
      </c>
      <c r="CJ51" s="74">
        <f t="shared" si="27"/>
        <v>172.9</v>
      </c>
      <c r="CK51" s="59">
        <f t="shared" si="26"/>
        <v>20</v>
      </c>
      <c r="CL51" s="9">
        <f t="shared" si="28"/>
        <v>0</v>
      </c>
      <c r="CM51" s="71">
        <f t="shared" si="21"/>
        <v>172.9</v>
      </c>
      <c r="CN51" s="54"/>
      <c r="CO51" s="73"/>
      <c r="CP51" s="56"/>
    </row>
    <row r="52" spans="1:94" ht="20.25" customHeight="1">
      <c r="A52" s="75" t="s">
        <v>159</v>
      </c>
      <c r="B52" s="1" t="s">
        <v>160</v>
      </c>
      <c r="C52" s="1" t="s">
        <v>134</v>
      </c>
      <c r="D52" s="58">
        <f>+VLOOKUP(A52,'[1]BDD-Avk Tx'!B:CE,82,0)</f>
        <v>160</v>
      </c>
      <c r="E52" s="59">
        <v>172.9</v>
      </c>
      <c r="G52" s="4">
        <v>42147</v>
      </c>
      <c r="H52" s="4">
        <f t="shared" si="10"/>
        <v>45647</v>
      </c>
      <c r="I52" s="60" t="str">
        <f>+VLOOKUP(A52,'[1]BDD-Avk Tx'!B:BZ,77,0)</f>
        <v>CDI</v>
      </c>
      <c r="J52" s="4">
        <f t="shared" si="11"/>
        <v>45647</v>
      </c>
      <c r="N52" s="3"/>
      <c r="P52" s="54">
        <f t="shared" si="22"/>
        <v>10.5</v>
      </c>
      <c r="Q52" s="61">
        <v>-0.5</v>
      </c>
      <c r="R52" s="62">
        <f t="shared" si="23"/>
        <v>20</v>
      </c>
      <c r="S52" s="54">
        <f t="shared" si="33"/>
        <v>1.5</v>
      </c>
      <c r="T52" s="54">
        <f t="shared" si="33"/>
        <v>1.5</v>
      </c>
      <c r="U52" s="54">
        <f t="shared" si="33"/>
        <v>1.5</v>
      </c>
      <c r="V52" s="54">
        <f t="shared" si="33"/>
        <v>1.5</v>
      </c>
      <c r="W52" s="54">
        <f t="shared" si="33"/>
        <v>1.5</v>
      </c>
      <c r="X52" s="54">
        <f t="shared" si="33"/>
        <v>3.5</v>
      </c>
      <c r="Y52" s="54">
        <f t="shared" si="33"/>
        <v>1.5</v>
      </c>
      <c r="Z52" s="54">
        <f t="shared" si="33"/>
        <v>1.5</v>
      </c>
      <c r="AA52" s="54">
        <f t="shared" si="33"/>
        <v>1.5</v>
      </c>
      <c r="AB52" s="54">
        <f t="shared" si="33"/>
        <v>1.5</v>
      </c>
      <c r="AC52" s="54">
        <f t="shared" si="33"/>
        <v>1.5</v>
      </c>
      <c r="AD52" s="54">
        <f t="shared" si="33"/>
        <v>1.5</v>
      </c>
      <c r="AF52" s="62">
        <f t="shared" si="13"/>
        <v>19</v>
      </c>
      <c r="AG52" s="64">
        <v>0</v>
      </c>
      <c r="AH52" s="64">
        <v>4</v>
      </c>
      <c r="AI52" s="65">
        <v>15</v>
      </c>
      <c r="AJ52" s="66"/>
      <c r="AK52" s="64"/>
      <c r="AL52" s="64"/>
      <c r="AM52" s="64"/>
      <c r="AN52" s="64"/>
      <c r="AO52" s="64"/>
      <c r="AP52" s="64"/>
      <c r="AQ52" s="64"/>
      <c r="AR52" s="64"/>
      <c r="AS52" s="67">
        <f t="shared" si="14"/>
        <v>0.5</v>
      </c>
      <c r="AT52" s="68"/>
      <c r="AU52" s="69">
        <v>-7.9625000000001194</v>
      </c>
      <c r="AV52" s="62">
        <f t="shared" si="29"/>
        <v>132.99999999999997</v>
      </c>
      <c r="AW52" s="54">
        <f t="shared" si="34"/>
        <v>9.9750000000000014</v>
      </c>
      <c r="AX52" s="54">
        <f t="shared" si="34"/>
        <v>9.9750000000000014</v>
      </c>
      <c r="AY52" s="54">
        <f t="shared" si="34"/>
        <v>9.9750000000000014</v>
      </c>
      <c r="AZ52" s="54">
        <f t="shared" si="34"/>
        <v>9.9750000000000014</v>
      </c>
      <c r="BA52" s="54">
        <f t="shared" si="34"/>
        <v>9.9750000000000014</v>
      </c>
      <c r="BB52" s="54">
        <f t="shared" si="34"/>
        <v>23.275000000000002</v>
      </c>
      <c r="BC52" s="54">
        <f t="shared" si="34"/>
        <v>9.9750000000000014</v>
      </c>
      <c r="BD52" s="54">
        <f t="shared" si="34"/>
        <v>9.9750000000000014</v>
      </c>
      <c r="BE52" s="54">
        <f t="shared" si="34"/>
        <v>9.9750000000000014</v>
      </c>
      <c r="BF52" s="54">
        <f t="shared" si="34"/>
        <v>9.9750000000000014</v>
      </c>
      <c r="BG52" s="54">
        <f t="shared" si="34"/>
        <v>9.9750000000000014</v>
      </c>
      <c r="BH52" s="54">
        <f t="shared" si="34"/>
        <v>9.9750000000000014</v>
      </c>
      <c r="BI52" s="62">
        <f t="shared" si="16"/>
        <v>-126.35</v>
      </c>
      <c r="BJ52" s="59">
        <f t="shared" si="35"/>
        <v>0</v>
      </c>
      <c r="BK52" s="59">
        <f t="shared" si="35"/>
        <v>-26.6</v>
      </c>
      <c r="BL52" s="59">
        <f t="shared" si="35"/>
        <v>-99.75</v>
      </c>
      <c r="BM52" s="59">
        <f t="shared" si="35"/>
        <v>0</v>
      </c>
      <c r="BN52" s="59">
        <f t="shared" si="35"/>
        <v>0</v>
      </c>
      <c r="BO52" s="59">
        <f t="shared" si="35"/>
        <v>0</v>
      </c>
      <c r="BP52" s="59">
        <f t="shared" si="35"/>
        <v>0</v>
      </c>
      <c r="BQ52" s="59">
        <f t="shared" si="35"/>
        <v>0</v>
      </c>
      <c r="BR52" s="59">
        <f t="shared" si="35"/>
        <v>0</v>
      </c>
      <c r="BS52" s="59">
        <f t="shared" si="35"/>
        <v>0</v>
      </c>
      <c r="BT52" s="59">
        <f t="shared" si="35"/>
        <v>0</v>
      </c>
      <c r="BU52" s="59">
        <f t="shared" si="35"/>
        <v>0</v>
      </c>
      <c r="BV52" s="67">
        <f t="shared" si="18"/>
        <v>-1.3125000000001421</v>
      </c>
      <c r="BX52" s="54">
        <f t="shared" si="32"/>
        <v>12.967499999999999</v>
      </c>
      <c r="BY52" s="54">
        <f t="shared" si="32"/>
        <v>12.967499999999999</v>
      </c>
      <c r="BZ52" s="54">
        <f t="shared" si="32"/>
        <v>12.967499999999999</v>
      </c>
      <c r="CA52" s="54">
        <f t="shared" si="32"/>
        <v>12.967499999999999</v>
      </c>
      <c r="CB52" s="54">
        <f t="shared" si="32"/>
        <v>12.967499999999999</v>
      </c>
      <c r="CC52" s="54">
        <f t="shared" si="32"/>
        <v>30.2575</v>
      </c>
      <c r="CD52" s="54">
        <f t="shared" si="31"/>
        <v>12.967499999999999</v>
      </c>
      <c r="CE52" s="54">
        <f t="shared" si="31"/>
        <v>12.967499999999999</v>
      </c>
      <c r="CF52" s="54">
        <f t="shared" si="31"/>
        <v>12.967499999999999</v>
      </c>
      <c r="CG52" s="54">
        <f t="shared" si="31"/>
        <v>12.967499999999999</v>
      </c>
      <c r="CH52" s="54">
        <f t="shared" si="31"/>
        <v>12.967499999999999</v>
      </c>
      <c r="CI52" s="54">
        <f t="shared" si="31"/>
        <v>12.967499999999999</v>
      </c>
      <c r="CJ52" s="74">
        <f t="shared" si="27"/>
        <v>172.9</v>
      </c>
      <c r="CK52" s="59">
        <f t="shared" si="26"/>
        <v>20</v>
      </c>
      <c r="CL52" s="9">
        <f t="shared" si="28"/>
        <v>0</v>
      </c>
      <c r="CM52" s="71">
        <f t="shared" si="21"/>
        <v>172.9</v>
      </c>
      <c r="CN52" s="72"/>
      <c r="CO52" s="73"/>
    </row>
    <row r="53" spans="1:94" ht="20.25" customHeight="1">
      <c r="A53" s="1" t="s">
        <v>161</v>
      </c>
      <c r="B53" s="1" t="s">
        <v>162</v>
      </c>
      <c r="C53" s="1" t="s">
        <v>163</v>
      </c>
      <c r="D53" s="58">
        <f>+VLOOKUP(A53,'[1]BDD-Avk Tx'!B:CE,82,0)</f>
        <v>972</v>
      </c>
      <c r="E53" s="59">
        <v>150.80000000000001</v>
      </c>
      <c r="G53" s="4">
        <v>41732</v>
      </c>
      <c r="H53" s="4">
        <f t="shared" si="10"/>
        <v>45647</v>
      </c>
      <c r="I53" s="60" t="str">
        <f>+VLOOKUP(A53,'[1]BDD-Avk Tx'!B:BZ,77,0)</f>
        <v>CDI</v>
      </c>
      <c r="J53" s="4">
        <f t="shared" si="11"/>
        <v>45647</v>
      </c>
      <c r="N53" s="3"/>
      <c r="P53" s="54">
        <f t="shared" si="22"/>
        <v>11.666666666666666</v>
      </c>
      <c r="Q53" s="61">
        <v>0</v>
      </c>
      <c r="R53" s="62">
        <f t="shared" si="23"/>
        <v>20</v>
      </c>
      <c r="S53" s="54">
        <f t="shared" si="33"/>
        <v>1.5</v>
      </c>
      <c r="T53" s="54">
        <f t="shared" si="33"/>
        <v>1.5</v>
      </c>
      <c r="U53" s="54">
        <f t="shared" si="33"/>
        <v>1.5</v>
      </c>
      <c r="V53" s="54">
        <f t="shared" si="33"/>
        <v>1.5</v>
      </c>
      <c r="W53" s="54">
        <f t="shared" si="33"/>
        <v>3.5</v>
      </c>
      <c r="X53" s="54">
        <f t="shared" si="33"/>
        <v>1.5</v>
      </c>
      <c r="Y53" s="54">
        <f t="shared" si="33"/>
        <v>1.5</v>
      </c>
      <c r="Z53" s="54">
        <f t="shared" si="33"/>
        <v>1.5</v>
      </c>
      <c r="AA53" s="54">
        <f t="shared" si="33"/>
        <v>1.5</v>
      </c>
      <c r="AB53" s="54">
        <f t="shared" si="33"/>
        <v>1.5</v>
      </c>
      <c r="AC53" s="54">
        <f t="shared" si="33"/>
        <v>1.5</v>
      </c>
      <c r="AD53" s="54">
        <f t="shared" si="33"/>
        <v>1.5</v>
      </c>
      <c r="AF53" s="62">
        <f t="shared" si="13"/>
        <v>20</v>
      </c>
      <c r="AG53" s="64">
        <v>0</v>
      </c>
      <c r="AH53" s="64">
        <v>9</v>
      </c>
      <c r="AI53" s="65">
        <v>11</v>
      </c>
      <c r="AJ53" s="66"/>
      <c r="AK53" s="64"/>
      <c r="AL53" s="64"/>
      <c r="AM53" s="64"/>
      <c r="AN53" s="64"/>
      <c r="AO53" s="64"/>
      <c r="AP53" s="64"/>
      <c r="AQ53" s="64"/>
      <c r="AR53" s="64"/>
      <c r="AS53" s="67">
        <f t="shared" si="14"/>
        <v>0</v>
      </c>
      <c r="AT53" s="68"/>
      <c r="AU53" s="69">
        <v>1.9000000000000199</v>
      </c>
      <c r="AV53" s="62">
        <f t="shared" si="29"/>
        <v>116.00000000000003</v>
      </c>
      <c r="AW53" s="54">
        <f t="shared" si="34"/>
        <v>8.7000000000000011</v>
      </c>
      <c r="AX53" s="54">
        <f t="shared" si="34"/>
        <v>8.7000000000000011</v>
      </c>
      <c r="AY53" s="54">
        <f t="shared" si="34"/>
        <v>8.7000000000000011</v>
      </c>
      <c r="AZ53" s="54">
        <f t="shared" si="34"/>
        <v>8.7000000000000011</v>
      </c>
      <c r="BA53" s="54">
        <f t="shared" si="34"/>
        <v>20.300000000000004</v>
      </c>
      <c r="BB53" s="54">
        <f t="shared" si="34"/>
        <v>8.7000000000000011</v>
      </c>
      <c r="BC53" s="54">
        <f t="shared" si="34"/>
        <v>8.7000000000000011</v>
      </c>
      <c r="BD53" s="54">
        <f t="shared" si="34"/>
        <v>8.7000000000000011</v>
      </c>
      <c r="BE53" s="54">
        <f t="shared" si="34"/>
        <v>8.7000000000000011</v>
      </c>
      <c r="BF53" s="54">
        <f t="shared" si="34"/>
        <v>8.7000000000000011</v>
      </c>
      <c r="BG53" s="54">
        <f t="shared" si="34"/>
        <v>8.7000000000000011</v>
      </c>
      <c r="BH53" s="54">
        <f t="shared" si="34"/>
        <v>8.7000000000000011</v>
      </c>
      <c r="BI53" s="62">
        <f t="shared" si="16"/>
        <v>-116.00000000000001</v>
      </c>
      <c r="BJ53" s="59">
        <f t="shared" si="35"/>
        <v>0</v>
      </c>
      <c r="BK53" s="59">
        <f t="shared" si="35"/>
        <v>-52.2</v>
      </c>
      <c r="BL53" s="59">
        <f t="shared" si="35"/>
        <v>-63.800000000000011</v>
      </c>
      <c r="BM53" s="59">
        <f t="shared" si="35"/>
        <v>0</v>
      </c>
      <c r="BN53" s="59">
        <f t="shared" si="35"/>
        <v>0</v>
      </c>
      <c r="BO53" s="59">
        <f t="shared" si="35"/>
        <v>0</v>
      </c>
      <c r="BP53" s="59">
        <f t="shared" si="35"/>
        <v>0</v>
      </c>
      <c r="BQ53" s="59">
        <f t="shared" si="35"/>
        <v>0</v>
      </c>
      <c r="BR53" s="59">
        <f t="shared" si="35"/>
        <v>0</v>
      </c>
      <c r="BS53" s="59">
        <f t="shared" si="35"/>
        <v>0</v>
      </c>
      <c r="BT53" s="59">
        <f t="shared" si="35"/>
        <v>0</v>
      </c>
      <c r="BU53" s="59">
        <f t="shared" si="35"/>
        <v>0</v>
      </c>
      <c r="BV53" s="67">
        <f t="shared" si="18"/>
        <v>1.9000000000000341</v>
      </c>
      <c r="BX53" s="54">
        <f t="shared" si="32"/>
        <v>11.310000000000002</v>
      </c>
      <c r="BY53" s="54">
        <f t="shared" si="32"/>
        <v>11.310000000000002</v>
      </c>
      <c r="BZ53" s="54">
        <f t="shared" si="32"/>
        <v>11.310000000000002</v>
      </c>
      <c r="CA53" s="54">
        <f t="shared" si="32"/>
        <v>11.310000000000002</v>
      </c>
      <c r="CB53" s="54">
        <f t="shared" si="32"/>
        <v>26.390000000000004</v>
      </c>
      <c r="CC53" s="54">
        <f t="shared" si="32"/>
        <v>11.310000000000002</v>
      </c>
      <c r="CD53" s="54">
        <f t="shared" si="31"/>
        <v>11.310000000000002</v>
      </c>
      <c r="CE53" s="54">
        <f t="shared" si="31"/>
        <v>11.310000000000002</v>
      </c>
      <c r="CF53" s="54">
        <f t="shared" si="31"/>
        <v>11.310000000000002</v>
      </c>
      <c r="CG53" s="54">
        <f t="shared" si="31"/>
        <v>11.310000000000002</v>
      </c>
      <c r="CH53" s="54">
        <f t="shared" si="31"/>
        <v>11.310000000000002</v>
      </c>
      <c r="CI53" s="54">
        <f t="shared" si="31"/>
        <v>11.310000000000002</v>
      </c>
      <c r="CJ53" s="74">
        <f t="shared" si="27"/>
        <v>150.80000000000001</v>
      </c>
      <c r="CK53" s="59">
        <f t="shared" si="26"/>
        <v>20</v>
      </c>
      <c r="CL53" s="9">
        <f t="shared" si="28"/>
        <v>0</v>
      </c>
      <c r="CM53" s="71">
        <f t="shared" si="21"/>
        <v>150.80000000000001</v>
      </c>
      <c r="CN53" s="54"/>
      <c r="CO53" s="73"/>
      <c r="CP53" s="56"/>
    </row>
    <row r="54" spans="1:94" ht="20.25" customHeight="1">
      <c r="A54" s="75" t="s">
        <v>164</v>
      </c>
      <c r="B54" s="1" t="s">
        <v>165</v>
      </c>
      <c r="C54" s="1" t="s">
        <v>121</v>
      </c>
      <c r="D54" s="58">
        <f>+VLOOKUP(A54,'[1]BDD-Avk Tx'!B:CE,82,0)</f>
        <v>160</v>
      </c>
      <c r="E54" s="59">
        <v>172.9</v>
      </c>
      <c r="G54" s="4">
        <v>42315</v>
      </c>
      <c r="H54" s="4">
        <f t="shared" si="10"/>
        <v>45647</v>
      </c>
      <c r="I54" s="60" t="str">
        <f>+VLOOKUP(A54,'[1]BDD-Avk Tx'!B:BZ,77,0)</f>
        <v>CDI</v>
      </c>
      <c r="J54" s="4">
        <f t="shared" si="11"/>
        <v>45647</v>
      </c>
      <c r="N54" s="3"/>
      <c r="P54" s="54">
        <f t="shared" si="22"/>
        <v>10.083333333333334</v>
      </c>
      <c r="Q54" s="61">
        <v>0</v>
      </c>
      <c r="R54" s="62">
        <f t="shared" si="23"/>
        <v>20</v>
      </c>
      <c r="S54" s="54">
        <f t="shared" si="33"/>
        <v>1.5</v>
      </c>
      <c r="T54" s="54">
        <f t="shared" si="33"/>
        <v>1.5</v>
      </c>
      <c r="U54" s="54">
        <f t="shared" si="33"/>
        <v>1.5</v>
      </c>
      <c r="V54" s="54">
        <f t="shared" si="33"/>
        <v>1.5</v>
      </c>
      <c r="W54" s="54">
        <f t="shared" si="33"/>
        <v>1.5</v>
      </c>
      <c r="X54" s="54">
        <f t="shared" si="33"/>
        <v>1.5</v>
      </c>
      <c r="Y54" s="54">
        <f t="shared" si="33"/>
        <v>1.5</v>
      </c>
      <c r="Z54" s="54">
        <f t="shared" si="33"/>
        <v>1.5</v>
      </c>
      <c r="AA54" s="54">
        <f t="shared" si="33"/>
        <v>1.5</v>
      </c>
      <c r="AB54" s="54">
        <f t="shared" si="33"/>
        <v>1.5</v>
      </c>
      <c r="AC54" s="54">
        <f t="shared" si="33"/>
        <v>1.5</v>
      </c>
      <c r="AD54" s="54">
        <f t="shared" si="33"/>
        <v>3.5</v>
      </c>
      <c r="AF54" s="62">
        <f t="shared" si="13"/>
        <v>0</v>
      </c>
      <c r="AG54" s="64">
        <v>0</v>
      </c>
      <c r="AH54" s="64">
        <v>0</v>
      </c>
      <c r="AI54" s="65">
        <v>0</v>
      </c>
      <c r="AJ54" s="66"/>
      <c r="AK54" s="64"/>
      <c r="AL54" s="64"/>
      <c r="AM54" s="64"/>
      <c r="AN54" s="64"/>
      <c r="AO54" s="64"/>
      <c r="AP54" s="64"/>
      <c r="AQ54" s="64"/>
      <c r="AR54" s="64"/>
      <c r="AS54" s="67">
        <f t="shared" si="14"/>
        <v>20</v>
      </c>
      <c r="AT54" s="68"/>
      <c r="AU54" s="69">
        <v>9.2749999999999631</v>
      </c>
      <c r="AV54" s="62">
        <f t="shared" si="29"/>
        <v>133</v>
      </c>
      <c r="AW54" s="54">
        <f t="shared" si="34"/>
        <v>9.9750000000000014</v>
      </c>
      <c r="AX54" s="54">
        <f t="shared" si="34"/>
        <v>9.9750000000000014</v>
      </c>
      <c r="AY54" s="54">
        <f t="shared" si="34"/>
        <v>9.9750000000000014</v>
      </c>
      <c r="AZ54" s="54">
        <f t="shared" si="34"/>
        <v>9.9750000000000014</v>
      </c>
      <c r="BA54" s="54">
        <f t="shared" si="34"/>
        <v>9.9750000000000014</v>
      </c>
      <c r="BB54" s="54">
        <f t="shared" si="34"/>
        <v>9.9750000000000014</v>
      </c>
      <c r="BC54" s="54">
        <f t="shared" si="34"/>
        <v>9.9750000000000014</v>
      </c>
      <c r="BD54" s="54">
        <f t="shared" si="34"/>
        <v>9.9750000000000014</v>
      </c>
      <c r="BE54" s="54">
        <f t="shared" si="34"/>
        <v>9.9750000000000014</v>
      </c>
      <c r="BF54" s="54">
        <f t="shared" si="34"/>
        <v>9.9750000000000014</v>
      </c>
      <c r="BG54" s="54">
        <f t="shared" si="34"/>
        <v>9.9750000000000014</v>
      </c>
      <c r="BH54" s="54">
        <f t="shared" si="34"/>
        <v>23.275000000000002</v>
      </c>
      <c r="BI54" s="62">
        <f t="shared" si="16"/>
        <v>0</v>
      </c>
      <c r="BJ54" s="59">
        <f t="shared" si="35"/>
        <v>0</v>
      </c>
      <c r="BK54" s="59">
        <f t="shared" si="35"/>
        <v>0</v>
      </c>
      <c r="BL54" s="59">
        <f t="shared" si="35"/>
        <v>0</v>
      </c>
      <c r="BM54" s="59">
        <f t="shared" si="35"/>
        <v>0</v>
      </c>
      <c r="BN54" s="59">
        <f t="shared" si="35"/>
        <v>0</v>
      </c>
      <c r="BO54" s="59">
        <f t="shared" si="35"/>
        <v>0</v>
      </c>
      <c r="BP54" s="59">
        <f t="shared" si="35"/>
        <v>0</v>
      </c>
      <c r="BQ54" s="59">
        <f t="shared" si="35"/>
        <v>0</v>
      </c>
      <c r="BR54" s="59">
        <f t="shared" si="35"/>
        <v>0</v>
      </c>
      <c r="BS54" s="59">
        <f t="shared" si="35"/>
        <v>0</v>
      </c>
      <c r="BT54" s="59">
        <f t="shared" si="35"/>
        <v>0</v>
      </c>
      <c r="BU54" s="59">
        <f t="shared" si="35"/>
        <v>0</v>
      </c>
      <c r="BV54" s="67">
        <f t="shared" si="18"/>
        <v>142.27499999999998</v>
      </c>
      <c r="BX54" s="54">
        <f t="shared" si="32"/>
        <v>12.967499999999999</v>
      </c>
      <c r="BY54" s="54">
        <f t="shared" si="32"/>
        <v>12.967499999999999</v>
      </c>
      <c r="BZ54" s="54">
        <f t="shared" si="32"/>
        <v>12.967499999999999</v>
      </c>
      <c r="CA54" s="54">
        <f t="shared" si="32"/>
        <v>12.967499999999999</v>
      </c>
      <c r="CB54" s="54">
        <f t="shared" si="32"/>
        <v>12.967499999999999</v>
      </c>
      <c r="CC54" s="54">
        <f t="shared" si="32"/>
        <v>12.967499999999999</v>
      </c>
      <c r="CD54" s="54">
        <f t="shared" si="31"/>
        <v>12.967499999999999</v>
      </c>
      <c r="CE54" s="54">
        <f t="shared" si="31"/>
        <v>12.967499999999999</v>
      </c>
      <c r="CF54" s="54">
        <f t="shared" si="31"/>
        <v>12.967499999999999</v>
      </c>
      <c r="CG54" s="54">
        <f t="shared" si="31"/>
        <v>12.967499999999999</v>
      </c>
      <c r="CH54" s="54">
        <f t="shared" si="31"/>
        <v>12.967499999999999</v>
      </c>
      <c r="CI54" s="54">
        <f t="shared" si="31"/>
        <v>30.2575</v>
      </c>
      <c r="CJ54" s="74">
        <f t="shared" si="27"/>
        <v>172.89999999999998</v>
      </c>
      <c r="CK54" s="59">
        <f t="shared" si="26"/>
        <v>20</v>
      </c>
      <c r="CL54" s="9">
        <f t="shared" si="28"/>
        <v>0</v>
      </c>
      <c r="CM54" s="71">
        <f t="shared" si="21"/>
        <v>172.9</v>
      </c>
      <c r="CN54" s="72"/>
      <c r="CO54" s="73"/>
    </row>
    <row r="55" spans="1:94" ht="20.25" customHeight="1">
      <c r="A55" s="1" t="s">
        <v>166</v>
      </c>
      <c r="B55" s="1" t="s">
        <v>167</v>
      </c>
      <c r="C55" s="1" t="s">
        <v>121</v>
      </c>
      <c r="D55" s="58">
        <f>+VLOOKUP(A55,'[1]BDD-Avk Tx'!B:CE,82,0)</f>
        <v>160</v>
      </c>
      <c r="E55" s="59">
        <v>172.9</v>
      </c>
      <c r="G55" s="4">
        <v>42374</v>
      </c>
      <c r="H55" s="4">
        <f t="shared" si="10"/>
        <v>45647</v>
      </c>
      <c r="I55" s="60" t="str">
        <f>+VLOOKUP(A55,'[1]BDD-Avk Tx'!B:BZ,77,0)</f>
        <v>CDI</v>
      </c>
      <c r="J55" s="4">
        <f t="shared" si="11"/>
        <v>45647</v>
      </c>
      <c r="N55" s="3"/>
      <c r="P55" s="54">
        <f t="shared" si="22"/>
        <v>9.9166666666666661</v>
      </c>
      <c r="Q55" s="61">
        <v>0</v>
      </c>
      <c r="R55" s="62">
        <f t="shared" si="23"/>
        <v>19</v>
      </c>
      <c r="S55" s="54">
        <f t="shared" si="33"/>
        <v>1.5</v>
      </c>
      <c r="T55" s="54">
        <f t="shared" si="33"/>
        <v>2.5</v>
      </c>
      <c r="U55" s="54">
        <f t="shared" si="33"/>
        <v>1.5</v>
      </c>
      <c r="V55" s="54">
        <f t="shared" si="33"/>
        <v>1.5</v>
      </c>
      <c r="W55" s="54">
        <f t="shared" si="33"/>
        <v>1.5</v>
      </c>
      <c r="X55" s="54">
        <f t="shared" si="33"/>
        <v>1.5</v>
      </c>
      <c r="Y55" s="54">
        <f t="shared" si="33"/>
        <v>1.5</v>
      </c>
      <c r="Z55" s="54">
        <f t="shared" si="33"/>
        <v>1.5</v>
      </c>
      <c r="AA55" s="54">
        <f t="shared" si="33"/>
        <v>1.5</v>
      </c>
      <c r="AB55" s="54">
        <f t="shared" si="33"/>
        <v>1.5</v>
      </c>
      <c r="AC55" s="54">
        <f t="shared" si="33"/>
        <v>1.5</v>
      </c>
      <c r="AD55" s="54">
        <f t="shared" si="33"/>
        <v>1.5</v>
      </c>
      <c r="AF55" s="62">
        <f t="shared" si="13"/>
        <v>10</v>
      </c>
      <c r="AG55" s="64">
        <v>0</v>
      </c>
      <c r="AH55" s="64">
        <v>5</v>
      </c>
      <c r="AI55" s="65">
        <v>5</v>
      </c>
      <c r="AJ55" s="66"/>
      <c r="AK55" s="64"/>
      <c r="AL55" s="64"/>
      <c r="AM55" s="64"/>
      <c r="AN55" s="64"/>
      <c r="AO55" s="64"/>
      <c r="AP55" s="64"/>
      <c r="AQ55" s="64"/>
      <c r="AR55" s="64"/>
      <c r="AS55" s="67">
        <f t="shared" si="14"/>
        <v>9</v>
      </c>
      <c r="AT55" s="68"/>
      <c r="AU55" s="69">
        <v>8.5615384615383476</v>
      </c>
      <c r="AV55" s="62">
        <f t="shared" si="29"/>
        <v>126.34999999999997</v>
      </c>
      <c r="AW55" s="54">
        <f t="shared" si="34"/>
        <v>9.9750000000000014</v>
      </c>
      <c r="AX55" s="54">
        <f t="shared" si="34"/>
        <v>16.625</v>
      </c>
      <c r="AY55" s="54">
        <f t="shared" si="34"/>
        <v>9.9750000000000014</v>
      </c>
      <c r="AZ55" s="54">
        <f t="shared" si="34"/>
        <v>9.9750000000000014</v>
      </c>
      <c r="BA55" s="54">
        <f t="shared" si="34"/>
        <v>9.9750000000000014</v>
      </c>
      <c r="BB55" s="54">
        <f t="shared" si="34"/>
        <v>9.9750000000000014</v>
      </c>
      <c r="BC55" s="54">
        <f t="shared" si="34"/>
        <v>9.9750000000000014</v>
      </c>
      <c r="BD55" s="54">
        <f t="shared" si="34"/>
        <v>9.9750000000000014</v>
      </c>
      <c r="BE55" s="54">
        <f t="shared" si="34"/>
        <v>9.9750000000000014</v>
      </c>
      <c r="BF55" s="54">
        <f t="shared" si="34"/>
        <v>9.9750000000000014</v>
      </c>
      <c r="BG55" s="54">
        <f t="shared" si="34"/>
        <v>9.9750000000000014</v>
      </c>
      <c r="BH55" s="54">
        <f t="shared" si="34"/>
        <v>9.9750000000000014</v>
      </c>
      <c r="BI55" s="62">
        <f t="shared" si="16"/>
        <v>-66.5</v>
      </c>
      <c r="BJ55" s="59">
        <f t="shared" si="35"/>
        <v>0</v>
      </c>
      <c r="BK55" s="59">
        <f t="shared" si="35"/>
        <v>-33.25</v>
      </c>
      <c r="BL55" s="59">
        <f t="shared" si="35"/>
        <v>-33.25</v>
      </c>
      <c r="BM55" s="59">
        <f t="shared" si="35"/>
        <v>0</v>
      </c>
      <c r="BN55" s="59">
        <f t="shared" si="35"/>
        <v>0</v>
      </c>
      <c r="BO55" s="59">
        <f t="shared" si="35"/>
        <v>0</v>
      </c>
      <c r="BP55" s="59">
        <f t="shared" si="35"/>
        <v>0</v>
      </c>
      <c r="BQ55" s="59">
        <f t="shared" si="35"/>
        <v>0</v>
      </c>
      <c r="BR55" s="59">
        <f t="shared" si="35"/>
        <v>0</v>
      </c>
      <c r="BS55" s="59">
        <f t="shared" si="35"/>
        <v>0</v>
      </c>
      <c r="BT55" s="59">
        <f t="shared" si="35"/>
        <v>0</v>
      </c>
      <c r="BU55" s="59">
        <f t="shared" si="35"/>
        <v>0</v>
      </c>
      <c r="BV55" s="67">
        <f t="shared" si="18"/>
        <v>68.411538461538328</v>
      </c>
      <c r="BX55" s="54">
        <f t="shared" si="32"/>
        <v>13.649999999999999</v>
      </c>
      <c r="BY55" s="54">
        <f t="shared" si="32"/>
        <v>22.75</v>
      </c>
      <c r="BZ55" s="54">
        <f t="shared" si="32"/>
        <v>13.649999999999999</v>
      </c>
      <c r="CA55" s="54">
        <f t="shared" si="32"/>
        <v>13.649999999999999</v>
      </c>
      <c r="CB55" s="54">
        <f t="shared" si="32"/>
        <v>13.649999999999999</v>
      </c>
      <c r="CC55" s="54">
        <f t="shared" si="32"/>
        <v>13.649999999999999</v>
      </c>
      <c r="CD55" s="54">
        <f t="shared" si="31"/>
        <v>13.649999999999999</v>
      </c>
      <c r="CE55" s="54">
        <f t="shared" si="31"/>
        <v>13.649999999999999</v>
      </c>
      <c r="CF55" s="54">
        <f t="shared" si="31"/>
        <v>13.649999999999999</v>
      </c>
      <c r="CG55" s="54">
        <f t="shared" si="31"/>
        <v>13.649999999999999</v>
      </c>
      <c r="CH55" s="54">
        <f t="shared" si="31"/>
        <v>13.649999999999999</v>
      </c>
      <c r="CI55" s="54">
        <f t="shared" si="31"/>
        <v>13.649999999999999</v>
      </c>
      <c r="CJ55" s="74">
        <f t="shared" si="27"/>
        <v>172.90000000000003</v>
      </c>
      <c r="CK55" s="59">
        <f t="shared" si="26"/>
        <v>19</v>
      </c>
      <c r="CL55" s="9">
        <f t="shared" si="28"/>
        <v>0</v>
      </c>
      <c r="CM55" s="71">
        <f t="shared" si="21"/>
        <v>172.9</v>
      </c>
      <c r="CN55" s="54"/>
      <c r="CO55" s="73"/>
      <c r="CP55" s="56"/>
    </row>
    <row r="56" spans="1:94" ht="20.25" customHeight="1">
      <c r="A56" s="75" t="s">
        <v>168</v>
      </c>
      <c r="B56" s="1" t="s">
        <v>169</v>
      </c>
      <c r="C56" s="1" t="s">
        <v>170</v>
      </c>
      <c r="D56" s="58">
        <f>+VLOOKUP(A56,'[1]BDD-Avk Tx'!B:CE,82,0)</f>
        <v>610</v>
      </c>
      <c r="E56" s="59">
        <v>308.10000000000002</v>
      </c>
      <c r="G56" s="4">
        <v>42506</v>
      </c>
      <c r="H56" s="4">
        <f t="shared" si="10"/>
        <v>45647</v>
      </c>
      <c r="I56" s="60" t="str">
        <f>+VLOOKUP(A56,'[1]BDD-Avk Tx'!B:BZ,77,0)</f>
        <v>CDI</v>
      </c>
      <c r="J56" s="4">
        <f t="shared" si="11"/>
        <v>45647</v>
      </c>
      <c r="N56" s="3"/>
      <c r="P56" s="54">
        <f t="shared" si="22"/>
        <v>9.5833333333333339</v>
      </c>
      <c r="Q56" s="61">
        <v>0</v>
      </c>
      <c r="R56" s="62">
        <f t="shared" si="23"/>
        <v>19</v>
      </c>
      <c r="S56" s="54">
        <f t="shared" si="33"/>
        <v>1.5</v>
      </c>
      <c r="T56" s="54">
        <f t="shared" si="33"/>
        <v>1.5</v>
      </c>
      <c r="U56" s="54">
        <f t="shared" si="33"/>
        <v>1.5</v>
      </c>
      <c r="V56" s="54">
        <f t="shared" si="33"/>
        <v>1.5</v>
      </c>
      <c r="W56" s="54">
        <f t="shared" si="33"/>
        <v>1.5</v>
      </c>
      <c r="X56" s="54">
        <f t="shared" si="33"/>
        <v>2.5</v>
      </c>
      <c r="Y56" s="54">
        <f t="shared" si="33"/>
        <v>1.5</v>
      </c>
      <c r="Z56" s="54">
        <f t="shared" si="33"/>
        <v>1.5</v>
      </c>
      <c r="AA56" s="54">
        <f t="shared" si="33"/>
        <v>1.5</v>
      </c>
      <c r="AB56" s="54">
        <f t="shared" si="33"/>
        <v>1.5</v>
      </c>
      <c r="AC56" s="54">
        <f t="shared" si="33"/>
        <v>1.5</v>
      </c>
      <c r="AD56" s="54">
        <f t="shared" si="33"/>
        <v>1.5</v>
      </c>
      <c r="AF56" s="62">
        <f t="shared" si="13"/>
        <v>0</v>
      </c>
      <c r="AG56" s="64">
        <v>0</v>
      </c>
      <c r="AH56" s="64">
        <v>0</v>
      </c>
      <c r="AI56" s="65">
        <v>0</v>
      </c>
      <c r="AJ56" s="66"/>
      <c r="AK56" s="64"/>
      <c r="AL56" s="64"/>
      <c r="AM56" s="64"/>
      <c r="AN56" s="64"/>
      <c r="AO56" s="64"/>
      <c r="AP56" s="64"/>
      <c r="AQ56" s="64"/>
      <c r="AR56" s="64"/>
      <c r="AS56" s="67">
        <f t="shared" si="14"/>
        <v>19</v>
      </c>
      <c r="AT56" s="68"/>
      <c r="AU56" s="69">
        <v>-4.2807692307692378</v>
      </c>
      <c r="AV56" s="62">
        <f t="shared" si="29"/>
        <v>225.15000000000003</v>
      </c>
      <c r="AW56" s="54">
        <f t="shared" si="34"/>
        <v>17.775000000000002</v>
      </c>
      <c r="AX56" s="54">
        <f t="shared" si="34"/>
        <v>17.775000000000002</v>
      </c>
      <c r="AY56" s="54">
        <f t="shared" si="34"/>
        <v>17.775000000000002</v>
      </c>
      <c r="AZ56" s="54">
        <f t="shared" si="34"/>
        <v>17.775000000000002</v>
      </c>
      <c r="BA56" s="54">
        <f t="shared" si="34"/>
        <v>17.775000000000002</v>
      </c>
      <c r="BB56" s="54">
        <f t="shared" si="34"/>
        <v>29.625000000000004</v>
      </c>
      <c r="BC56" s="54">
        <f t="shared" si="34"/>
        <v>17.775000000000002</v>
      </c>
      <c r="BD56" s="54">
        <f t="shared" si="34"/>
        <v>17.775000000000002</v>
      </c>
      <c r="BE56" s="54">
        <f t="shared" si="34"/>
        <v>17.775000000000002</v>
      </c>
      <c r="BF56" s="54">
        <f t="shared" si="34"/>
        <v>17.775000000000002</v>
      </c>
      <c r="BG56" s="54">
        <f t="shared" si="34"/>
        <v>17.775000000000002</v>
      </c>
      <c r="BH56" s="54">
        <f t="shared" si="34"/>
        <v>17.775000000000002</v>
      </c>
      <c r="BI56" s="62">
        <f t="shared" si="16"/>
        <v>0</v>
      </c>
      <c r="BJ56" s="59">
        <f t="shared" si="35"/>
        <v>0</v>
      </c>
      <c r="BK56" s="59">
        <f t="shared" si="35"/>
        <v>0</v>
      </c>
      <c r="BL56" s="59">
        <f t="shared" si="35"/>
        <v>0</v>
      </c>
      <c r="BM56" s="59">
        <f t="shared" si="35"/>
        <v>0</v>
      </c>
      <c r="BN56" s="59">
        <f t="shared" si="35"/>
        <v>0</v>
      </c>
      <c r="BO56" s="59">
        <f t="shared" si="35"/>
        <v>0</v>
      </c>
      <c r="BP56" s="59">
        <f t="shared" si="35"/>
        <v>0</v>
      </c>
      <c r="BQ56" s="59">
        <f t="shared" si="35"/>
        <v>0</v>
      </c>
      <c r="BR56" s="59">
        <f t="shared" si="35"/>
        <v>0</v>
      </c>
      <c r="BS56" s="59">
        <f t="shared" si="35"/>
        <v>0</v>
      </c>
      <c r="BT56" s="59">
        <f t="shared" si="35"/>
        <v>0</v>
      </c>
      <c r="BU56" s="59">
        <f t="shared" si="35"/>
        <v>0</v>
      </c>
      <c r="BV56" s="67">
        <f t="shared" si="18"/>
        <v>220.8692307692308</v>
      </c>
      <c r="BX56" s="54">
        <f t="shared" si="32"/>
        <v>24.323684210526316</v>
      </c>
      <c r="BY56" s="54">
        <f t="shared" si="32"/>
        <v>24.323684210526316</v>
      </c>
      <c r="BZ56" s="54">
        <f t="shared" si="32"/>
        <v>24.323684210526316</v>
      </c>
      <c r="CA56" s="54">
        <f t="shared" si="32"/>
        <v>24.323684210526316</v>
      </c>
      <c r="CB56" s="54">
        <f t="shared" si="32"/>
        <v>24.323684210526316</v>
      </c>
      <c r="CC56" s="54">
        <f t="shared" si="32"/>
        <v>40.539473684210527</v>
      </c>
      <c r="CD56" s="54">
        <f t="shared" si="31"/>
        <v>24.323684210526316</v>
      </c>
      <c r="CE56" s="54">
        <f t="shared" si="31"/>
        <v>24.323684210526316</v>
      </c>
      <c r="CF56" s="54">
        <f t="shared" si="31"/>
        <v>24.323684210526316</v>
      </c>
      <c r="CG56" s="54">
        <f t="shared" si="31"/>
        <v>24.323684210526316</v>
      </c>
      <c r="CH56" s="54">
        <f t="shared" si="31"/>
        <v>24.323684210526316</v>
      </c>
      <c r="CI56" s="54">
        <f t="shared" si="31"/>
        <v>24.323684210526316</v>
      </c>
      <c r="CJ56" s="74">
        <f t="shared" si="27"/>
        <v>308.10000000000002</v>
      </c>
      <c r="CK56" s="59">
        <f t="shared" si="26"/>
        <v>19</v>
      </c>
      <c r="CL56" s="9">
        <f t="shared" si="28"/>
        <v>0</v>
      </c>
      <c r="CM56" s="71">
        <f t="shared" si="21"/>
        <v>308.10000000000002</v>
      </c>
      <c r="CN56" s="54"/>
      <c r="CO56" s="73"/>
      <c r="CP56" s="56"/>
    </row>
    <row r="57" spans="1:94" ht="20.25" customHeight="1">
      <c r="A57" s="75" t="s">
        <v>171</v>
      </c>
      <c r="B57" s="1" t="s">
        <v>172</v>
      </c>
      <c r="C57" s="1" t="s">
        <v>173</v>
      </c>
      <c r="D57" s="58">
        <f>+VLOOKUP(A57,'[1]BDD-Avk Tx'!B:CE,82,0)</f>
        <v>160</v>
      </c>
      <c r="E57" s="59">
        <v>172.9</v>
      </c>
      <c r="G57" s="4">
        <v>42681</v>
      </c>
      <c r="H57" s="4">
        <f t="shared" si="10"/>
        <v>45647</v>
      </c>
      <c r="I57" s="60" t="str">
        <f>+VLOOKUP(A57,'[1]BDD-Avk Tx'!B:BZ,77,0)</f>
        <v>CDI</v>
      </c>
      <c r="J57" s="4">
        <f t="shared" si="11"/>
        <v>45647</v>
      </c>
      <c r="N57" s="3"/>
      <c r="P57" s="54">
        <f t="shared" si="22"/>
        <v>9.0833333333333339</v>
      </c>
      <c r="Q57" s="61">
        <v>0</v>
      </c>
      <c r="R57" s="62">
        <f t="shared" si="23"/>
        <v>19</v>
      </c>
      <c r="S57" s="54">
        <f t="shared" si="33"/>
        <v>1.5</v>
      </c>
      <c r="T57" s="54">
        <f t="shared" si="33"/>
        <v>1.5</v>
      </c>
      <c r="U57" s="54">
        <f t="shared" si="33"/>
        <v>1.5</v>
      </c>
      <c r="V57" s="54">
        <f t="shared" si="33"/>
        <v>1.5</v>
      </c>
      <c r="W57" s="54">
        <f t="shared" si="33"/>
        <v>1.5</v>
      </c>
      <c r="X57" s="54">
        <f t="shared" si="33"/>
        <v>1.5</v>
      </c>
      <c r="Y57" s="54">
        <f t="shared" si="33"/>
        <v>1.5</v>
      </c>
      <c r="Z57" s="54">
        <f t="shared" si="33"/>
        <v>1.5</v>
      </c>
      <c r="AA57" s="54">
        <f t="shared" si="33"/>
        <v>1.5</v>
      </c>
      <c r="AB57" s="54">
        <f t="shared" si="33"/>
        <v>1.5</v>
      </c>
      <c r="AC57" s="54">
        <f t="shared" si="33"/>
        <v>1.5</v>
      </c>
      <c r="AD57" s="54">
        <f t="shared" si="33"/>
        <v>2.5</v>
      </c>
      <c r="AF57" s="62">
        <f t="shared" si="13"/>
        <v>0</v>
      </c>
      <c r="AG57" s="64">
        <v>0</v>
      </c>
      <c r="AH57" s="64">
        <v>0</v>
      </c>
      <c r="AI57" s="65">
        <v>0</v>
      </c>
      <c r="AJ57" s="66"/>
      <c r="AK57" s="64"/>
      <c r="AL57" s="64"/>
      <c r="AM57" s="64"/>
      <c r="AN57" s="64"/>
      <c r="AO57" s="64"/>
      <c r="AP57" s="64"/>
      <c r="AQ57" s="64"/>
      <c r="AR57" s="64"/>
      <c r="AS57" s="67">
        <f t="shared" si="14"/>
        <v>19</v>
      </c>
      <c r="AT57" s="68"/>
      <c r="AU57" s="69">
        <v>-4.2807692307692662</v>
      </c>
      <c r="AV57" s="62">
        <f t="shared" si="29"/>
        <v>126.35</v>
      </c>
      <c r="AW57" s="54">
        <f t="shared" si="34"/>
        <v>9.9750000000000014</v>
      </c>
      <c r="AX57" s="54">
        <f t="shared" si="34"/>
        <v>9.9750000000000014</v>
      </c>
      <c r="AY57" s="54">
        <f t="shared" si="34"/>
        <v>9.9750000000000014</v>
      </c>
      <c r="AZ57" s="54">
        <f t="shared" si="34"/>
        <v>9.9750000000000014</v>
      </c>
      <c r="BA57" s="54">
        <f t="shared" si="34"/>
        <v>9.9750000000000014</v>
      </c>
      <c r="BB57" s="54">
        <f t="shared" si="34"/>
        <v>9.9750000000000014</v>
      </c>
      <c r="BC57" s="54">
        <f t="shared" si="34"/>
        <v>9.9750000000000014</v>
      </c>
      <c r="BD57" s="54">
        <f t="shared" si="34"/>
        <v>9.9750000000000014</v>
      </c>
      <c r="BE57" s="54">
        <f t="shared" si="34"/>
        <v>9.9750000000000014</v>
      </c>
      <c r="BF57" s="54">
        <f t="shared" si="34"/>
        <v>9.9750000000000014</v>
      </c>
      <c r="BG57" s="54">
        <f t="shared" si="34"/>
        <v>9.9750000000000014</v>
      </c>
      <c r="BH57" s="54">
        <f t="shared" si="34"/>
        <v>16.625</v>
      </c>
      <c r="BI57" s="62">
        <f t="shared" si="16"/>
        <v>0</v>
      </c>
      <c r="BJ57" s="59">
        <f t="shared" si="35"/>
        <v>0</v>
      </c>
      <c r="BK57" s="59">
        <f t="shared" si="35"/>
        <v>0</v>
      </c>
      <c r="BL57" s="59">
        <f t="shared" si="35"/>
        <v>0</v>
      </c>
      <c r="BM57" s="59">
        <f t="shared" si="35"/>
        <v>0</v>
      </c>
      <c r="BN57" s="59">
        <f t="shared" si="35"/>
        <v>0</v>
      </c>
      <c r="BO57" s="59">
        <f t="shared" si="35"/>
        <v>0</v>
      </c>
      <c r="BP57" s="59">
        <f t="shared" si="35"/>
        <v>0</v>
      </c>
      <c r="BQ57" s="59">
        <f t="shared" si="35"/>
        <v>0</v>
      </c>
      <c r="BR57" s="59">
        <f t="shared" si="35"/>
        <v>0</v>
      </c>
      <c r="BS57" s="59">
        <f t="shared" si="35"/>
        <v>0</v>
      </c>
      <c r="BT57" s="59">
        <f t="shared" si="35"/>
        <v>0</v>
      </c>
      <c r="BU57" s="59">
        <f t="shared" si="35"/>
        <v>0</v>
      </c>
      <c r="BV57" s="67">
        <f t="shared" si="18"/>
        <v>122.06923076923073</v>
      </c>
      <c r="BX57" s="54">
        <f t="shared" si="32"/>
        <v>13.649999999999999</v>
      </c>
      <c r="BY57" s="54">
        <f t="shared" si="32"/>
        <v>13.649999999999999</v>
      </c>
      <c r="BZ57" s="54">
        <f t="shared" si="32"/>
        <v>13.649999999999999</v>
      </c>
      <c r="CA57" s="54">
        <f t="shared" si="32"/>
        <v>13.649999999999999</v>
      </c>
      <c r="CB57" s="54">
        <f t="shared" si="32"/>
        <v>13.649999999999999</v>
      </c>
      <c r="CC57" s="54">
        <f t="shared" si="32"/>
        <v>13.649999999999999</v>
      </c>
      <c r="CD57" s="54">
        <f t="shared" si="31"/>
        <v>13.649999999999999</v>
      </c>
      <c r="CE57" s="54">
        <f t="shared" si="31"/>
        <v>13.649999999999999</v>
      </c>
      <c r="CF57" s="54">
        <f t="shared" si="31"/>
        <v>13.649999999999999</v>
      </c>
      <c r="CG57" s="54">
        <f t="shared" si="31"/>
        <v>13.649999999999999</v>
      </c>
      <c r="CH57" s="54">
        <f t="shared" si="31"/>
        <v>13.649999999999999</v>
      </c>
      <c r="CI57" s="54">
        <f t="shared" si="31"/>
        <v>22.75</v>
      </c>
      <c r="CJ57" s="74">
        <f t="shared" si="27"/>
        <v>172.90000000000003</v>
      </c>
      <c r="CK57" s="59">
        <f t="shared" si="26"/>
        <v>19</v>
      </c>
      <c r="CL57" s="9">
        <f t="shared" si="28"/>
        <v>0</v>
      </c>
      <c r="CM57" s="71">
        <f t="shared" si="21"/>
        <v>172.9</v>
      </c>
      <c r="CN57" s="72"/>
      <c r="CO57" s="73"/>
    </row>
    <row r="58" spans="1:94" ht="20.25" customHeight="1">
      <c r="A58" s="1" t="s">
        <v>174</v>
      </c>
      <c r="B58" s="1" t="s">
        <v>175</v>
      </c>
      <c r="C58" s="1" t="s">
        <v>173</v>
      </c>
      <c r="D58" s="58">
        <f>+VLOOKUP(A58,'[1]BDD-Avk Tx'!B:CE,82,0)</f>
        <v>160</v>
      </c>
      <c r="E58" s="59">
        <v>172.9</v>
      </c>
      <c r="G58" s="4">
        <v>42622</v>
      </c>
      <c r="H58" s="4">
        <f t="shared" si="10"/>
        <v>45647</v>
      </c>
      <c r="I58" s="60" t="str">
        <f>+VLOOKUP(A58,'[1]BDD-Avk Tx'!B:BZ,77,0)</f>
        <v>CDI</v>
      </c>
      <c r="J58" s="4">
        <f t="shared" si="11"/>
        <v>45647</v>
      </c>
      <c r="N58" s="3"/>
      <c r="P58" s="54">
        <f t="shared" si="22"/>
        <v>9.25</v>
      </c>
      <c r="Q58" s="61">
        <v>0</v>
      </c>
      <c r="R58" s="62">
        <f t="shared" si="23"/>
        <v>19</v>
      </c>
      <c r="S58" s="54">
        <f t="shared" si="33"/>
        <v>1.5</v>
      </c>
      <c r="T58" s="54">
        <f t="shared" si="33"/>
        <v>1.5</v>
      </c>
      <c r="U58" s="54">
        <f t="shared" si="33"/>
        <v>1.5</v>
      </c>
      <c r="V58" s="54">
        <f t="shared" si="33"/>
        <v>1.5</v>
      </c>
      <c r="W58" s="54">
        <f t="shared" si="33"/>
        <v>1.5</v>
      </c>
      <c r="X58" s="54">
        <f t="shared" si="33"/>
        <v>1.5</v>
      </c>
      <c r="Y58" s="54">
        <f t="shared" si="33"/>
        <v>1.5</v>
      </c>
      <c r="Z58" s="54">
        <f t="shared" si="33"/>
        <v>1.5</v>
      </c>
      <c r="AA58" s="54">
        <f t="shared" si="33"/>
        <v>1.5</v>
      </c>
      <c r="AB58" s="54">
        <f t="shared" si="33"/>
        <v>2.5</v>
      </c>
      <c r="AC58" s="54">
        <f t="shared" si="33"/>
        <v>1.5</v>
      </c>
      <c r="AD58" s="54">
        <f t="shared" si="33"/>
        <v>1.5</v>
      </c>
      <c r="AF58" s="62">
        <f t="shared" si="13"/>
        <v>18</v>
      </c>
      <c r="AG58" s="64">
        <v>0</v>
      </c>
      <c r="AH58" s="64">
        <v>18</v>
      </c>
      <c r="AI58" s="65">
        <v>0</v>
      </c>
      <c r="AJ58" s="66"/>
      <c r="AK58" s="64"/>
      <c r="AL58" s="64"/>
      <c r="AM58" s="64"/>
      <c r="AN58" s="64"/>
      <c r="AO58" s="64"/>
      <c r="AP58" s="64"/>
      <c r="AQ58" s="64"/>
      <c r="AR58" s="64"/>
      <c r="AS58" s="67">
        <f t="shared" si="14"/>
        <v>1</v>
      </c>
      <c r="AT58" s="68"/>
      <c r="AU58" s="69">
        <v>9.2749999999999631</v>
      </c>
      <c r="AV58" s="62">
        <f t="shared" si="29"/>
        <v>126.35</v>
      </c>
      <c r="AW58" s="54">
        <f t="shared" si="34"/>
        <v>9.9750000000000014</v>
      </c>
      <c r="AX58" s="54">
        <f t="shared" si="34"/>
        <v>9.9750000000000014</v>
      </c>
      <c r="AY58" s="54">
        <f t="shared" si="34"/>
        <v>9.9750000000000014</v>
      </c>
      <c r="AZ58" s="54">
        <f t="shared" si="34"/>
        <v>9.9750000000000014</v>
      </c>
      <c r="BA58" s="54">
        <f t="shared" si="34"/>
        <v>9.9750000000000014</v>
      </c>
      <c r="BB58" s="54">
        <f t="shared" si="34"/>
        <v>9.9750000000000014</v>
      </c>
      <c r="BC58" s="54">
        <f t="shared" si="34"/>
        <v>9.9750000000000014</v>
      </c>
      <c r="BD58" s="54">
        <f t="shared" si="34"/>
        <v>9.9750000000000014</v>
      </c>
      <c r="BE58" s="54">
        <f t="shared" si="34"/>
        <v>9.9750000000000014</v>
      </c>
      <c r="BF58" s="54">
        <f t="shared" si="34"/>
        <v>16.625</v>
      </c>
      <c r="BG58" s="54">
        <f t="shared" si="34"/>
        <v>9.9750000000000014</v>
      </c>
      <c r="BH58" s="54">
        <f t="shared" si="34"/>
        <v>9.9750000000000014</v>
      </c>
      <c r="BI58" s="62">
        <f t="shared" si="16"/>
        <v>-119.7</v>
      </c>
      <c r="BJ58" s="59">
        <f t="shared" si="35"/>
        <v>0</v>
      </c>
      <c r="BK58" s="59">
        <f t="shared" si="35"/>
        <v>-119.7</v>
      </c>
      <c r="BL58" s="59">
        <f t="shared" si="35"/>
        <v>0</v>
      </c>
      <c r="BM58" s="59">
        <f t="shared" si="35"/>
        <v>0</v>
      </c>
      <c r="BN58" s="59">
        <f t="shared" si="35"/>
        <v>0</v>
      </c>
      <c r="BO58" s="59">
        <f t="shared" si="35"/>
        <v>0</v>
      </c>
      <c r="BP58" s="59">
        <f t="shared" si="35"/>
        <v>0</v>
      </c>
      <c r="BQ58" s="59">
        <f t="shared" si="35"/>
        <v>0</v>
      </c>
      <c r="BR58" s="59">
        <f t="shared" si="35"/>
        <v>0</v>
      </c>
      <c r="BS58" s="59">
        <f t="shared" si="35"/>
        <v>0</v>
      </c>
      <c r="BT58" s="59">
        <f t="shared" si="35"/>
        <v>0</v>
      </c>
      <c r="BU58" s="59">
        <f t="shared" si="35"/>
        <v>0</v>
      </c>
      <c r="BV58" s="67">
        <f t="shared" si="18"/>
        <v>15.92499999999994</v>
      </c>
      <c r="BX58" s="54">
        <f t="shared" si="32"/>
        <v>13.649999999999999</v>
      </c>
      <c r="BY58" s="54">
        <f t="shared" si="32"/>
        <v>13.649999999999999</v>
      </c>
      <c r="BZ58" s="54">
        <f t="shared" si="32"/>
        <v>13.649999999999999</v>
      </c>
      <c r="CA58" s="54">
        <f t="shared" si="32"/>
        <v>13.649999999999999</v>
      </c>
      <c r="CB58" s="54">
        <f t="shared" si="32"/>
        <v>13.649999999999999</v>
      </c>
      <c r="CC58" s="54">
        <f t="shared" si="32"/>
        <v>13.649999999999999</v>
      </c>
      <c r="CD58" s="54">
        <f t="shared" si="31"/>
        <v>13.649999999999999</v>
      </c>
      <c r="CE58" s="54">
        <f t="shared" si="31"/>
        <v>13.649999999999999</v>
      </c>
      <c r="CF58" s="54">
        <f t="shared" si="31"/>
        <v>13.649999999999999</v>
      </c>
      <c r="CG58" s="54">
        <f t="shared" si="31"/>
        <v>22.75</v>
      </c>
      <c r="CH58" s="54">
        <f t="shared" si="31"/>
        <v>13.649999999999999</v>
      </c>
      <c r="CI58" s="54">
        <f t="shared" si="31"/>
        <v>13.649999999999999</v>
      </c>
      <c r="CJ58" s="74">
        <f t="shared" si="27"/>
        <v>172.90000000000003</v>
      </c>
      <c r="CK58" s="59">
        <f t="shared" si="26"/>
        <v>19</v>
      </c>
      <c r="CL58" s="9">
        <f t="shared" si="28"/>
        <v>0</v>
      </c>
      <c r="CM58" s="71">
        <f t="shared" si="21"/>
        <v>172.9</v>
      </c>
      <c r="CN58" s="54"/>
      <c r="CO58" s="73"/>
      <c r="CP58" s="56"/>
    </row>
    <row r="59" spans="1:94" ht="20.25" customHeight="1">
      <c r="A59" s="75" t="s">
        <v>176</v>
      </c>
      <c r="B59" s="1" t="s">
        <v>177</v>
      </c>
      <c r="C59" s="1" t="s">
        <v>178</v>
      </c>
      <c r="D59" s="58">
        <f>+VLOOKUP(A59,'[1]BDD-Avk Tx'!B:CE,82,0)</f>
        <v>630</v>
      </c>
      <c r="E59" s="59">
        <v>356.2</v>
      </c>
      <c r="G59" s="4">
        <v>41349</v>
      </c>
      <c r="H59" s="4">
        <f t="shared" si="10"/>
        <v>45647</v>
      </c>
      <c r="I59" s="60" t="str">
        <f>+VLOOKUP(A59,'[1]BDD-Avk Tx'!B:BZ,77,0)</f>
        <v>CDI</v>
      </c>
      <c r="J59" s="4">
        <f t="shared" si="11"/>
        <v>45647</v>
      </c>
      <c r="N59" s="3"/>
      <c r="P59" s="54">
        <f t="shared" si="22"/>
        <v>12.75</v>
      </c>
      <c r="Q59" s="61">
        <v>42</v>
      </c>
      <c r="R59" s="62">
        <f t="shared" si="23"/>
        <v>20</v>
      </c>
      <c r="S59" s="54">
        <f t="shared" si="33"/>
        <v>1.5</v>
      </c>
      <c r="T59" s="54">
        <f t="shared" si="33"/>
        <v>1.5</v>
      </c>
      <c r="U59" s="54">
        <f t="shared" si="33"/>
        <v>1.5</v>
      </c>
      <c r="V59" s="54">
        <f t="shared" si="33"/>
        <v>3.5</v>
      </c>
      <c r="W59" s="54">
        <f t="shared" si="33"/>
        <v>1.5</v>
      </c>
      <c r="X59" s="54">
        <f t="shared" si="33"/>
        <v>1.5</v>
      </c>
      <c r="Y59" s="54">
        <f t="shared" si="33"/>
        <v>1.5</v>
      </c>
      <c r="Z59" s="54">
        <f t="shared" si="33"/>
        <v>1.5</v>
      </c>
      <c r="AA59" s="54">
        <f t="shared" si="33"/>
        <v>1.5</v>
      </c>
      <c r="AB59" s="54">
        <f t="shared" si="33"/>
        <v>1.5</v>
      </c>
      <c r="AC59" s="54">
        <f t="shared" si="33"/>
        <v>1.5</v>
      </c>
      <c r="AD59" s="54">
        <f t="shared" si="33"/>
        <v>1.5</v>
      </c>
      <c r="AF59" s="62">
        <f t="shared" si="13"/>
        <v>17</v>
      </c>
      <c r="AG59" s="64">
        <v>17</v>
      </c>
      <c r="AH59" s="64">
        <v>0</v>
      </c>
      <c r="AI59" s="65">
        <v>0</v>
      </c>
      <c r="AJ59" s="66"/>
      <c r="AK59" s="64"/>
      <c r="AL59" s="64"/>
      <c r="AM59" s="64"/>
      <c r="AN59" s="64"/>
      <c r="AO59" s="64"/>
      <c r="AP59" s="64"/>
      <c r="AQ59" s="64"/>
      <c r="AR59" s="64"/>
      <c r="AS59" s="67">
        <f t="shared" si="14"/>
        <v>45</v>
      </c>
      <c r="AT59" s="68"/>
      <c r="AU59" s="69">
        <v>542.12307692307706</v>
      </c>
      <c r="AV59" s="62">
        <f t="shared" si="29"/>
        <v>274.00000000000006</v>
      </c>
      <c r="AW59" s="54">
        <f t="shared" si="34"/>
        <v>20.549999999999997</v>
      </c>
      <c r="AX59" s="54">
        <f t="shared" si="34"/>
        <v>20.549999999999997</v>
      </c>
      <c r="AY59" s="54">
        <f t="shared" si="34"/>
        <v>20.549999999999997</v>
      </c>
      <c r="AZ59" s="54">
        <f t="shared" si="34"/>
        <v>47.949999999999996</v>
      </c>
      <c r="BA59" s="54">
        <f t="shared" si="34"/>
        <v>20.549999999999997</v>
      </c>
      <c r="BB59" s="54">
        <f t="shared" si="34"/>
        <v>20.549999999999997</v>
      </c>
      <c r="BC59" s="54">
        <f t="shared" si="34"/>
        <v>20.549999999999997</v>
      </c>
      <c r="BD59" s="54">
        <f t="shared" si="34"/>
        <v>20.549999999999997</v>
      </c>
      <c r="BE59" s="54">
        <f t="shared" si="34"/>
        <v>20.549999999999997</v>
      </c>
      <c r="BF59" s="54">
        <f t="shared" si="34"/>
        <v>20.549999999999997</v>
      </c>
      <c r="BG59" s="54">
        <f t="shared" si="34"/>
        <v>20.549999999999997</v>
      </c>
      <c r="BH59" s="54">
        <f t="shared" si="34"/>
        <v>20.549999999999997</v>
      </c>
      <c r="BI59" s="62">
        <f t="shared" si="16"/>
        <v>-232.89999999999998</v>
      </c>
      <c r="BJ59" s="59">
        <f t="shared" si="35"/>
        <v>-232.89999999999998</v>
      </c>
      <c r="BK59" s="59">
        <f t="shared" si="35"/>
        <v>0</v>
      </c>
      <c r="BL59" s="59">
        <f t="shared" si="35"/>
        <v>0</v>
      </c>
      <c r="BM59" s="59">
        <f t="shared" si="35"/>
        <v>0</v>
      </c>
      <c r="BN59" s="59">
        <f t="shared" si="35"/>
        <v>0</v>
      </c>
      <c r="BO59" s="59">
        <f t="shared" si="35"/>
        <v>0</v>
      </c>
      <c r="BP59" s="59">
        <f t="shared" si="35"/>
        <v>0</v>
      </c>
      <c r="BQ59" s="59">
        <f t="shared" si="35"/>
        <v>0</v>
      </c>
      <c r="BR59" s="59">
        <f t="shared" si="35"/>
        <v>0</v>
      </c>
      <c r="BS59" s="59">
        <f t="shared" si="35"/>
        <v>0</v>
      </c>
      <c r="BT59" s="59">
        <f t="shared" si="35"/>
        <v>0</v>
      </c>
      <c r="BU59" s="59">
        <f t="shared" si="35"/>
        <v>0</v>
      </c>
      <c r="BV59" s="67">
        <f t="shared" si="18"/>
        <v>583.2230769230772</v>
      </c>
      <c r="BX59" s="54">
        <f t="shared" si="32"/>
        <v>26.714999999999996</v>
      </c>
      <c r="BY59" s="54">
        <f t="shared" si="32"/>
        <v>26.714999999999996</v>
      </c>
      <c r="BZ59" s="54">
        <f t="shared" si="32"/>
        <v>26.714999999999996</v>
      </c>
      <c r="CA59" s="54">
        <f t="shared" si="32"/>
        <v>62.334999999999994</v>
      </c>
      <c r="CB59" s="54">
        <f t="shared" si="32"/>
        <v>26.714999999999996</v>
      </c>
      <c r="CC59" s="54">
        <f t="shared" si="32"/>
        <v>26.714999999999996</v>
      </c>
      <c r="CD59" s="54">
        <f t="shared" si="31"/>
        <v>26.714999999999996</v>
      </c>
      <c r="CE59" s="54">
        <f t="shared" si="31"/>
        <v>26.714999999999996</v>
      </c>
      <c r="CF59" s="54">
        <f t="shared" si="31"/>
        <v>26.714999999999996</v>
      </c>
      <c r="CG59" s="54">
        <f t="shared" si="31"/>
        <v>26.714999999999996</v>
      </c>
      <c r="CH59" s="54">
        <f t="shared" si="31"/>
        <v>26.714999999999996</v>
      </c>
      <c r="CI59" s="54">
        <f t="shared" si="31"/>
        <v>26.714999999999996</v>
      </c>
      <c r="CJ59" s="74">
        <f t="shared" si="27"/>
        <v>356.19999999999987</v>
      </c>
      <c r="CK59" s="59">
        <f t="shared" si="26"/>
        <v>20</v>
      </c>
      <c r="CL59" s="9">
        <f t="shared" si="28"/>
        <v>0</v>
      </c>
      <c r="CM59" s="71">
        <f t="shared" si="21"/>
        <v>356.2</v>
      </c>
      <c r="CN59" s="72"/>
      <c r="CO59" s="73"/>
    </row>
    <row r="60" spans="1:94" ht="20.25" customHeight="1">
      <c r="A60" s="1" t="s">
        <v>179</v>
      </c>
      <c r="B60" s="1" t="s">
        <v>180</v>
      </c>
      <c r="C60" s="1" t="s">
        <v>181</v>
      </c>
      <c r="D60" s="58">
        <f>+VLOOKUP(A60,'[1]BDD-Avk Tx'!B:CE,82,0)</f>
        <v>630</v>
      </c>
      <c r="E60" s="59">
        <v>150.80000000000001</v>
      </c>
      <c r="G60" s="4">
        <v>41732</v>
      </c>
      <c r="H60" s="4">
        <f t="shared" si="10"/>
        <v>45647</v>
      </c>
      <c r="I60" s="60" t="str">
        <f>+VLOOKUP(A60,'[1]BDD-Avk Tx'!B:BZ,77,0)</f>
        <v>CDI</v>
      </c>
      <c r="J60" s="4">
        <f t="shared" si="11"/>
        <v>45647</v>
      </c>
      <c r="N60" s="3"/>
      <c r="P60" s="54">
        <f t="shared" si="22"/>
        <v>11.666666666666666</v>
      </c>
      <c r="Q60" s="61">
        <v>20</v>
      </c>
      <c r="R60" s="62">
        <f t="shared" si="23"/>
        <v>20</v>
      </c>
      <c r="S60" s="54">
        <f t="shared" si="33"/>
        <v>1.5</v>
      </c>
      <c r="T60" s="54">
        <f t="shared" si="33"/>
        <v>1.5</v>
      </c>
      <c r="U60" s="54">
        <f t="shared" si="33"/>
        <v>1.5</v>
      </c>
      <c r="V60" s="54">
        <f t="shared" si="33"/>
        <v>1.5</v>
      </c>
      <c r="W60" s="54">
        <f t="shared" si="33"/>
        <v>3.5</v>
      </c>
      <c r="X60" s="54">
        <f t="shared" si="33"/>
        <v>1.5</v>
      </c>
      <c r="Y60" s="54">
        <f t="shared" si="33"/>
        <v>1.5</v>
      </c>
      <c r="Z60" s="54">
        <f t="shared" si="33"/>
        <v>1.5</v>
      </c>
      <c r="AA60" s="54">
        <f t="shared" si="33"/>
        <v>1.5</v>
      </c>
      <c r="AB60" s="54">
        <f t="shared" si="33"/>
        <v>1.5</v>
      </c>
      <c r="AC60" s="54">
        <f t="shared" si="33"/>
        <v>1.5</v>
      </c>
      <c r="AD60" s="54">
        <f t="shared" si="33"/>
        <v>1.5</v>
      </c>
      <c r="AF60" s="62">
        <f t="shared" si="13"/>
        <v>0</v>
      </c>
      <c r="AG60" s="64">
        <v>0</v>
      </c>
      <c r="AH60" s="64">
        <v>0</v>
      </c>
      <c r="AI60" s="65">
        <v>0</v>
      </c>
      <c r="AJ60" s="66"/>
      <c r="AK60" s="64"/>
      <c r="AL60" s="64"/>
      <c r="AM60" s="64"/>
      <c r="AN60" s="64"/>
      <c r="AO60" s="64"/>
      <c r="AP60" s="64"/>
      <c r="AQ60" s="64"/>
      <c r="AR60" s="64"/>
      <c r="AS60" s="67">
        <f t="shared" si="14"/>
        <v>40</v>
      </c>
      <c r="AT60" s="68"/>
      <c r="AU60" s="69">
        <v>115.23076923076925</v>
      </c>
      <c r="AV60" s="62">
        <f t="shared" si="29"/>
        <v>116.00000000000003</v>
      </c>
      <c r="AW60" s="54">
        <f t="shared" si="34"/>
        <v>8.7000000000000011</v>
      </c>
      <c r="AX60" s="54">
        <f t="shared" si="34"/>
        <v>8.7000000000000011</v>
      </c>
      <c r="AY60" s="54">
        <f t="shared" si="34"/>
        <v>8.7000000000000011</v>
      </c>
      <c r="AZ60" s="54">
        <f t="shared" si="34"/>
        <v>8.7000000000000011</v>
      </c>
      <c r="BA60" s="54">
        <f t="shared" si="34"/>
        <v>20.300000000000004</v>
      </c>
      <c r="BB60" s="54">
        <f t="shared" si="34"/>
        <v>8.7000000000000011</v>
      </c>
      <c r="BC60" s="54">
        <f t="shared" si="34"/>
        <v>8.7000000000000011</v>
      </c>
      <c r="BD60" s="54">
        <f t="shared" si="34"/>
        <v>8.7000000000000011</v>
      </c>
      <c r="BE60" s="54">
        <f t="shared" si="34"/>
        <v>8.7000000000000011</v>
      </c>
      <c r="BF60" s="54">
        <f t="shared" si="34"/>
        <v>8.7000000000000011</v>
      </c>
      <c r="BG60" s="54">
        <f t="shared" si="34"/>
        <v>8.7000000000000011</v>
      </c>
      <c r="BH60" s="54">
        <f t="shared" si="34"/>
        <v>8.7000000000000011</v>
      </c>
      <c r="BI60" s="62">
        <f t="shared" si="16"/>
        <v>0</v>
      </c>
      <c r="BJ60" s="59">
        <f t="shared" si="35"/>
        <v>0</v>
      </c>
      <c r="BK60" s="59">
        <f t="shared" si="35"/>
        <v>0</v>
      </c>
      <c r="BL60" s="59">
        <f t="shared" si="35"/>
        <v>0</v>
      </c>
      <c r="BM60" s="59">
        <f t="shared" si="35"/>
        <v>0</v>
      </c>
      <c r="BN60" s="59">
        <f t="shared" si="35"/>
        <v>0</v>
      </c>
      <c r="BO60" s="59">
        <f t="shared" si="35"/>
        <v>0</v>
      </c>
      <c r="BP60" s="59">
        <f t="shared" si="35"/>
        <v>0</v>
      </c>
      <c r="BQ60" s="59">
        <f t="shared" si="35"/>
        <v>0</v>
      </c>
      <c r="BR60" s="59">
        <f t="shared" si="35"/>
        <v>0</v>
      </c>
      <c r="BS60" s="59">
        <f t="shared" si="35"/>
        <v>0</v>
      </c>
      <c r="BT60" s="59">
        <f t="shared" si="35"/>
        <v>0</v>
      </c>
      <c r="BU60" s="59">
        <f t="shared" si="35"/>
        <v>0</v>
      </c>
      <c r="BV60" s="67">
        <f t="shared" si="18"/>
        <v>231.23076923076928</v>
      </c>
      <c r="BX60" s="54">
        <f t="shared" si="32"/>
        <v>11.310000000000002</v>
      </c>
      <c r="BY60" s="54">
        <f t="shared" si="32"/>
        <v>11.310000000000002</v>
      </c>
      <c r="BZ60" s="54">
        <f t="shared" si="32"/>
        <v>11.310000000000002</v>
      </c>
      <c r="CA60" s="54">
        <f t="shared" si="32"/>
        <v>11.310000000000002</v>
      </c>
      <c r="CB60" s="54">
        <f t="shared" si="32"/>
        <v>26.390000000000004</v>
      </c>
      <c r="CC60" s="54">
        <f t="shared" si="32"/>
        <v>11.310000000000002</v>
      </c>
      <c r="CD60" s="54">
        <f t="shared" si="31"/>
        <v>11.310000000000002</v>
      </c>
      <c r="CE60" s="54">
        <f t="shared" si="31"/>
        <v>11.310000000000002</v>
      </c>
      <c r="CF60" s="54">
        <f t="shared" si="31"/>
        <v>11.310000000000002</v>
      </c>
      <c r="CG60" s="54">
        <f t="shared" si="31"/>
        <v>11.310000000000002</v>
      </c>
      <c r="CH60" s="54">
        <f t="shared" si="31"/>
        <v>11.310000000000002</v>
      </c>
      <c r="CI60" s="54">
        <f t="shared" si="31"/>
        <v>11.310000000000002</v>
      </c>
      <c r="CJ60" s="74">
        <f t="shared" si="27"/>
        <v>150.80000000000001</v>
      </c>
      <c r="CK60" s="59">
        <f t="shared" si="26"/>
        <v>20</v>
      </c>
      <c r="CL60" s="9">
        <f t="shared" si="28"/>
        <v>0</v>
      </c>
      <c r="CM60" s="71">
        <f t="shared" si="21"/>
        <v>150.80000000000001</v>
      </c>
      <c r="CN60" s="54"/>
      <c r="CO60" s="73"/>
      <c r="CP60" s="56"/>
    </row>
    <row r="61" spans="1:94" ht="20.25" customHeight="1">
      <c r="A61" s="75" t="s">
        <v>182</v>
      </c>
      <c r="B61" s="1" t="s">
        <v>183</v>
      </c>
      <c r="C61" s="1" t="s">
        <v>184</v>
      </c>
      <c r="D61" s="58">
        <f>+VLOOKUP(A61,'[1]BDD-Avk Tx'!B:CE,82,0)</f>
        <v>160</v>
      </c>
      <c r="E61" s="59">
        <v>308.10000000000002</v>
      </c>
      <c r="G61" s="4">
        <v>41926</v>
      </c>
      <c r="H61" s="4">
        <f t="shared" si="10"/>
        <v>45647</v>
      </c>
      <c r="I61" s="60" t="str">
        <f>+VLOOKUP(A61,'[1]BDD-Avk Tx'!B:BZ,77,0)</f>
        <v>CDI</v>
      </c>
      <c r="J61" s="4">
        <f t="shared" si="11"/>
        <v>45647</v>
      </c>
      <c r="N61" s="3"/>
      <c r="P61" s="54">
        <f t="shared" si="22"/>
        <v>11.166666666666666</v>
      </c>
      <c r="Q61" s="61">
        <v>0</v>
      </c>
      <c r="R61" s="62">
        <f t="shared" si="23"/>
        <v>20</v>
      </c>
      <c r="S61" s="54">
        <f t="shared" ref="S61:AD120" si="36">+IF(AND(AND($O61="",$P61&gt;=10,MONTH($G61)=MONTH(S$5))),1.5+2,+IF(AND(AND($O61="",$P61&gt;=5,MONTH($G61)=MONTH(S$5))),1.5+1,+IF(AND(AND($P61=5,$O61="",MONTH($G61)=MONTH(S$5))),1.5,+IF(AND($H61&gt;S$5,MONTH($H61)=MONTH(S$5)),1.5/30*(S$4-DAY($H61)),+IF(AND(MONTH($H61)&lt;MONTH(S$5),$O61=""),1.5,+IF(AND($H61=$S$5,$O61=""),1.5,IF($O61&lt;S$5,0,IF(MONTH($O61)=MONTH(S$5),1.5/30*($O61-S$5),1.5))))))))</f>
        <v>1.5</v>
      </c>
      <c r="T61" s="54">
        <f t="shared" si="36"/>
        <v>1.5</v>
      </c>
      <c r="U61" s="54">
        <f t="shared" si="36"/>
        <v>1.5</v>
      </c>
      <c r="V61" s="54">
        <f t="shared" si="36"/>
        <v>1.5</v>
      </c>
      <c r="W61" s="54">
        <f t="shared" si="36"/>
        <v>1.5</v>
      </c>
      <c r="X61" s="54">
        <f t="shared" si="36"/>
        <v>1.5</v>
      </c>
      <c r="Y61" s="54">
        <f t="shared" si="36"/>
        <v>1.5</v>
      </c>
      <c r="Z61" s="54">
        <f t="shared" si="36"/>
        <v>1.5</v>
      </c>
      <c r="AA61" s="54">
        <f t="shared" si="36"/>
        <v>1.5</v>
      </c>
      <c r="AB61" s="54">
        <f t="shared" si="36"/>
        <v>1.5</v>
      </c>
      <c r="AC61" s="54">
        <f t="shared" si="36"/>
        <v>3.5</v>
      </c>
      <c r="AD61" s="54">
        <f t="shared" si="36"/>
        <v>1.5</v>
      </c>
      <c r="AF61" s="62">
        <f t="shared" si="13"/>
        <v>20</v>
      </c>
      <c r="AG61" s="64">
        <v>0</v>
      </c>
      <c r="AH61" s="64">
        <v>4</v>
      </c>
      <c r="AI61" s="65">
        <v>16</v>
      </c>
      <c r="AJ61" s="66"/>
      <c r="AK61" s="64"/>
      <c r="AL61" s="64"/>
      <c r="AM61" s="64"/>
      <c r="AN61" s="64"/>
      <c r="AO61" s="64"/>
      <c r="AP61" s="64"/>
      <c r="AQ61" s="64"/>
      <c r="AR61" s="64"/>
      <c r="AS61" s="67">
        <f t="shared" si="14"/>
        <v>0</v>
      </c>
      <c r="AT61" s="68"/>
      <c r="AU61" s="69">
        <v>-1.8692307692307679</v>
      </c>
      <c r="AV61" s="62">
        <f t="shared" si="29"/>
        <v>237.00000000000003</v>
      </c>
      <c r="AW61" s="54">
        <f t="shared" si="34"/>
        <v>17.775000000000002</v>
      </c>
      <c r="AX61" s="54">
        <f t="shared" si="34"/>
        <v>17.775000000000002</v>
      </c>
      <c r="AY61" s="54">
        <f t="shared" si="34"/>
        <v>17.775000000000002</v>
      </c>
      <c r="AZ61" s="54">
        <f t="shared" si="34"/>
        <v>17.775000000000002</v>
      </c>
      <c r="BA61" s="54">
        <f t="shared" si="34"/>
        <v>17.775000000000002</v>
      </c>
      <c r="BB61" s="54">
        <f t="shared" si="34"/>
        <v>17.775000000000002</v>
      </c>
      <c r="BC61" s="54">
        <f t="shared" si="34"/>
        <v>17.775000000000002</v>
      </c>
      <c r="BD61" s="54">
        <f t="shared" si="34"/>
        <v>17.775000000000002</v>
      </c>
      <c r="BE61" s="54">
        <f t="shared" si="34"/>
        <v>17.775000000000002</v>
      </c>
      <c r="BF61" s="54">
        <f t="shared" si="34"/>
        <v>17.775000000000002</v>
      </c>
      <c r="BG61" s="54">
        <f t="shared" si="34"/>
        <v>41.475000000000009</v>
      </c>
      <c r="BH61" s="54">
        <f t="shared" si="34"/>
        <v>17.775000000000002</v>
      </c>
      <c r="BI61" s="62">
        <f t="shared" si="16"/>
        <v>-237.00000000000003</v>
      </c>
      <c r="BJ61" s="59">
        <f t="shared" si="35"/>
        <v>0</v>
      </c>
      <c r="BK61" s="59">
        <f t="shared" si="35"/>
        <v>-47.400000000000006</v>
      </c>
      <c r="BL61" s="59">
        <f t="shared" si="35"/>
        <v>-189.60000000000002</v>
      </c>
      <c r="BM61" s="59">
        <f t="shared" si="35"/>
        <v>0</v>
      </c>
      <c r="BN61" s="59">
        <f t="shared" si="35"/>
        <v>0</v>
      </c>
      <c r="BO61" s="59">
        <f t="shared" si="35"/>
        <v>0</v>
      </c>
      <c r="BP61" s="59">
        <f t="shared" si="35"/>
        <v>0</v>
      </c>
      <c r="BQ61" s="59">
        <f t="shared" si="35"/>
        <v>0</v>
      </c>
      <c r="BR61" s="59">
        <f t="shared" si="35"/>
        <v>0</v>
      </c>
      <c r="BS61" s="59">
        <f t="shared" si="35"/>
        <v>0</v>
      </c>
      <c r="BT61" s="59">
        <f t="shared" si="35"/>
        <v>0</v>
      </c>
      <c r="BU61" s="59">
        <f t="shared" si="35"/>
        <v>0</v>
      </c>
      <c r="BV61" s="67">
        <f t="shared" si="18"/>
        <v>-1.8692307692307679</v>
      </c>
      <c r="BX61" s="54">
        <f t="shared" si="32"/>
        <v>23.107500000000002</v>
      </c>
      <c r="BY61" s="54">
        <f t="shared" si="32"/>
        <v>23.107500000000002</v>
      </c>
      <c r="BZ61" s="54">
        <f t="shared" si="32"/>
        <v>23.107500000000002</v>
      </c>
      <c r="CA61" s="54">
        <f t="shared" si="32"/>
        <v>23.107500000000002</v>
      </c>
      <c r="CB61" s="54">
        <f t="shared" si="32"/>
        <v>23.107500000000002</v>
      </c>
      <c r="CC61" s="54">
        <f t="shared" si="32"/>
        <v>23.107500000000002</v>
      </c>
      <c r="CD61" s="54">
        <f t="shared" si="31"/>
        <v>23.107500000000002</v>
      </c>
      <c r="CE61" s="54">
        <f t="shared" si="31"/>
        <v>23.107500000000002</v>
      </c>
      <c r="CF61" s="54">
        <f t="shared" si="31"/>
        <v>23.107500000000002</v>
      </c>
      <c r="CG61" s="54">
        <f t="shared" si="31"/>
        <v>23.107500000000002</v>
      </c>
      <c r="CH61" s="54">
        <f t="shared" si="31"/>
        <v>53.917500000000004</v>
      </c>
      <c r="CI61" s="54">
        <f t="shared" si="31"/>
        <v>23.107500000000002</v>
      </c>
      <c r="CJ61" s="74">
        <f t="shared" si="27"/>
        <v>308.10000000000008</v>
      </c>
      <c r="CK61" s="59">
        <f t="shared" si="26"/>
        <v>20</v>
      </c>
      <c r="CL61" s="9">
        <f t="shared" si="28"/>
        <v>0</v>
      </c>
      <c r="CM61" s="71">
        <f t="shared" si="21"/>
        <v>308.10000000000002</v>
      </c>
      <c r="CN61" s="72"/>
      <c r="CO61" s="73"/>
    </row>
    <row r="62" spans="1:94" ht="20.25" customHeight="1">
      <c r="A62" s="1" t="s">
        <v>185</v>
      </c>
      <c r="B62" s="1" t="s">
        <v>186</v>
      </c>
      <c r="C62" s="1" t="s">
        <v>181</v>
      </c>
      <c r="D62" s="58">
        <f>+VLOOKUP(A62,'[1]BDD-Avk Tx'!B:CE,82,0)</f>
        <v>160</v>
      </c>
      <c r="E62" s="59">
        <v>172.9</v>
      </c>
      <c r="G62" s="4">
        <v>42478</v>
      </c>
      <c r="H62" s="4">
        <f t="shared" si="10"/>
        <v>45647</v>
      </c>
      <c r="I62" s="60" t="str">
        <f>+VLOOKUP(A62,'[1]BDD-Avk Tx'!B:BZ,77,0)</f>
        <v>CDI</v>
      </c>
      <c r="J62" s="4">
        <f t="shared" si="11"/>
        <v>45647</v>
      </c>
      <c r="N62" s="3"/>
      <c r="P62" s="54">
        <f t="shared" si="22"/>
        <v>9.6666666666666661</v>
      </c>
      <c r="Q62" s="61">
        <v>0</v>
      </c>
      <c r="R62" s="62">
        <f t="shared" si="23"/>
        <v>19</v>
      </c>
      <c r="S62" s="54">
        <f t="shared" si="36"/>
        <v>1.5</v>
      </c>
      <c r="T62" s="54">
        <f t="shared" si="36"/>
        <v>1.5</v>
      </c>
      <c r="U62" s="54">
        <f t="shared" si="36"/>
        <v>1.5</v>
      </c>
      <c r="V62" s="54">
        <f t="shared" si="36"/>
        <v>1.5</v>
      </c>
      <c r="W62" s="54">
        <f t="shared" si="36"/>
        <v>2.5</v>
      </c>
      <c r="X62" s="54">
        <f t="shared" si="36"/>
        <v>1.5</v>
      </c>
      <c r="Y62" s="54">
        <f t="shared" si="36"/>
        <v>1.5</v>
      </c>
      <c r="Z62" s="54">
        <f t="shared" si="36"/>
        <v>1.5</v>
      </c>
      <c r="AA62" s="54">
        <f t="shared" si="36"/>
        <v>1.5</v>
      </c>
      <c r="AB62" s="54">
        <f t="shared" si="36"/>
        <v>1.5</v>
      </c>
      <c r="AC62" s="54">
        <f t="shared" si="36"/>
        <v>1.5</v>
      </c>
      <c r="AD62" s="54">
        <f t="shared" si="36"/>
        <v>1.5</v>
      </c>
      <c r="AF62" s="62">
        <f t="shared" si="13"/>
        <v>0</v>
      </c>
      <c r="AG62" s="64">
        <v>0</v>
      </c>
      <c r="AH62" s="64">
        <v>0</v>
      </c>
      <c r="AI62" s="65">
        <v>0</v>
      </c>
      <c r="AJ62" s="66"/>
      <c r="AK62" s="64"/>
      <c r="AL62" s="64"/>
      <c r="AM62" s="64"/>
      <c r="AN62" s="64"/>
      <c r="AO62" s="64"/>
      <c r="AP62" s="64"/>
      <c r="AQ62" s="64"/>
      <c r="AR62" s="64"/>
      <c r="AS62" s="67">
        <f t="shared" si="14"/>
        <v>19</v>
      </c>
      <c r="AT62" s="68"/>
      <c r="AU62" s="69">
        <v>-4.2807692307693372</v>
      </c>
      <c r="AV62" s="62">
        <f t="shared" si="29"/>
        <v>126.34999999999997</v>
      </c>
      <c r="AW62" s="54">
        <f t="shared" si="34"/>
        <v>9.9750000000000014</v>
      </c>
      <c r="AX62" s="54">
        <f t="shared" si="34"/>
        <v>9.9750000000000014</v>
      </c>
      <c r="AY62" s="54">
        <f t="shared" si="34"/>
        <v>9.9750000000000014</v>
      </c>
      <c r="AZ62" s="54">
        <f t="shared" si="34"/>
        <v>9.9750000000000014</v>
      </c>
      <c r="BA62" s="54">
        <f t="shared" si="34"/>
        <v>16.625</v>
      </c>
      <c r="BB62" s="54">
        <f t="shared" si="34"/>
        <v>9.9750000000000014</v>
      </c>
      <c r="BC62" s="54">
        <f t="shared" si="34"/>
        <v>9.9750000000000014</v>
      </c>
      <c r="BD62" s="54">
        <f t="shared" si="34"/>
        <v>9.9750000000000014</v>
      </c>
      <c r="BE62" s="54">
        <f t="shared" si="34"/>
        <v>9.9750000000000014</v>
      </c>
      <c r="BF62" s="54">
        <f t="shared" si="34"/>
        <v>9.9750000000000014</v>
      </c>
      <c r="BG62" s="54">
        <f t="shared" si="34"/>
        <v>9.9750000000000014</v>
      </c>
      <c r="BH62" s="54">
        <f t="shared" si="34"/>
        <v>9.9750000000000014</v>
      </c>
      <c r="BI62" s="62">
        <f t="shared" ref="BI62:BI125" si="37">SUM(BJ62:BU62)</f>
        <v>0</v>
      </c>
      <c r="BJ62" s="59">
        <f t="shared" si="35"/>
        <v>0</v>
      </c>
      <c r="BK62" s="59">
        <f t="shared" si="35"/>
        <v>0</v>
      </c>
      <c r="BL62" s="59">
        <f t="shared" si="35"/>
        <v>0</v>
      </c>
      <c r="BM62" s="59">
        <f t="shared" si="35"/>
        <v>0</v>
      </c>
      <c r="BN62" s="59">
        <f t="shared" si="35"/>
        <v>0</v>
      </c>
      <c r="BO62" s="59">
        <f t="shared" si="35"/>
        <v>0</v>
      </c>
      <c r="BP62" s="59">
        <f t="shared" si="35"/>
        <v>0</v>
      </c>
      <c r="BQ62" s="59">
        <f t="shared" si="35"/>
        <v>0</v>
      </c>
      <c r="BR62" s="59">
        <f t="shared" si="35"/>
        <v>0</v>
      </c>
      <c r="BS62" s="59">
        <f t="shared" si="35"/>
        <v>0</v>
      </c>
      <c r="BT62" s="59">
        <f t="shared" si="35"/>
        <v>0</v>
      </c>
      <c r="BU62" s="59">
        <f t="shared" si="35"/>
        <v>0</v>
      </c>
      <c r="BV62" s="67">
        <f t="shared" si="18"/>
        <v>122.06923076923063</v>
      </c>
      <c r="BX62" s="54">
        <f t="shared" si="32"/>
        <v>13.649999999999999</v>
      </c>
      <c r="BY62" s="54">
        <f t="shared" si="32"/>
        <v>13.649999999999999</v>
      </c>
      <c r="BZ62" s="54">
        <f t="shared" si="32"/>
        <v>13.649999999999999</v>
      </c>
      <c r="CA62" s="54">
        <f t="shared" si="32"/>
        <v>13.649999999999999</v>
      </c>
      <c r="CB62" s="54">
        <f t="shared" si="32"/>
        <v>22.75</v>
      </c>
      <c r="CC62" s="54">
        <f t="shared" si="32"/>
        <v>13.649999999999999</v>
      </c>
      <c r="CD62" s="54">
        <f t="shared" si="31"/>
        <v>13.649999999999999</v>
      </c>
      <c r="CE62" s="54">
        <f t="shared" si="31"/>
        <v>13.649999999999999</v>
      </c>
      <c r="CF62" s="54">
        <f t="shared" si="31"/>
        <v>13.649999999999999</v>
      </c>
      <c r="CG62" s="54">
        <f t="shared" si="31"/>
        <v>13.649999999999999</v>
      </c>
      <c r="CH62" s="54">
        <f t="shared" si="31"/>
        <v>13.649999999999999</v>
      </c>
      <c r="CI62" s="54">
        <f t="shared" si="31"/>
        <v>13.649999999999999</v>
      </c>
      <c r="CJ62" s="74">
        <f t="shared" si="27"/>
        <v>172.90000000000003</v>
      </c>
      <c r="CK62" s="59">
        <f t="shared" si="26"/>
        <v>19</v>
      </c>
      <c r="CL62" s="9">
        <f t="shared" si="28"/>
        <v>0</v>
      </c>
      <c r="CM62" s="71">
        <f t="shared" si="21"/>
        <v>172.9</v>
      </c>
      <c r="CN62" s="72"/>
      <c r="CO62" s="73"/>
    </row>
    <row r="63" spans="1:94" ht="20.25" customHeight="1">
      <c r="A63" s="75" t="s">
        <v>187</v>
      </c>
      <c r="B63" s="1" t="s">
        <v>188</v>
      </c>
      <c r="C63" s="1" t="s">
        <v>189</v>
      </c>
      <c r="D63" s="58">
        <f>+VLOOKUP(A63,'[1]BDD-Avk Tx'!B:CE,82,0)</f>
        <v>481</v>
      </c>
      <c r="E63" s="59">
        <v>267.8</v>
      </c>
      <c r="G63" s="4">
        <v>41788</v>
      </c>
      <c r="H63" s="4">
        <f t="shared" si="10"/>
        <v>45647</v>
      </c>
      <c r="I63" s="60" t="str">
        <f>+VLOOKUP(A63,'[1]BDD-Avk Tx'!B:BZ,77,0)</f>
        <v>CDI</v>
      </c>
      <c r="J63" s="4">
        <f t="shared" si="11"/>
        <v>45647</v>
      </c>
      <c r="N63" s="3"/>
      <c r="P63" s="54">
        <f t="shared" si="22"/>
        <v>11.5</v>
      </c>
      <c r="Q63" s="61">
        <v>0</v>
      </c>
      <c r="R63" s="62">
        <f t="shared" si="23"/>
        <v>20</v>
      </c>
      <c r="S63" s="54">
        <f t="shared" si="36"/>
        <v>1.5</v>
      </c>
      <c r="T63" s="54">
        <f t="shared" si="36"/>
        <v>1.5</v>
      </c>
      <c r="U63" s="54">
        <f t="shared" si="36"/>
        <v>1.5</v>
      </c>
      <c r="V63" s="54">
        <f t="shared" si="36"/>
        <v>1.5</v>
      </c>
      <c r="W63" s="54">
        <f t="shared" si="36"/>
        <v>1.5</v>
      </c>
      <c r="X63" s="54">
        <f t="shared" si="36"/>
        <v>3.5</v>
      </c>
      <c r="Y63" s="54">
        <f t="shared" si="36"/>
        <v>1.5</v>
      </c>
      <c r="Z63" s="54">
        <f t="shared" si="36"/>
        <v>1.5</v>
      </c>
      <c r="AA63" s="54">
        <f t="shared" si="36"/>
        <v>1.5</v>
      </c>
      <c r="AB63" s="54">
        <f t="shared" si="36"/>
        <v>1.5</v>
      </c>
      <c r="AC63" s="54">
        <f t="shared" si="36"/>
        <v>1.5</v>
      </c>
      <c r="AD63" s="54">
        <f t="shared" si="36"/>
        <v>1.5</v>
      </c>
      <c r="AF63" s="62">
        <f t="shared" si="13"/>
        <v>0</v>
      </c>
      <c r="AG63" s="64">
        <v>0</v>
      </c>
      <c r="AH63" s="64">
        <v>0</v>
      </c>
      <c r="AI63" s="65">
        <v>0</v>
      </c>
      <c r="AJ63" s="66"/>
      <c r="AK63" s="64"/>
      <c r="AL63" s="64"/>
      <c r="AM63" s="64"/>
      <c r="AN63" s="64"/>
      <c r="AO63" s="64"/>
      <c r="AP63" s="64"/>
      <c r="AQ63" s="64"/>
      <c r="AR63" s="64"/>
      <c r="AS63" s="67">
        <f t="shared" si="14"/>
        <v>20</v>
      </c>
      <c r="AT63" s="68"/>
      <c r="AU63" s="69">
        <v>-4.8576923076924174</v>
      </c>
      <c r="AV63" s="62">
        <f t="shared" si="29"/>
        <v>205.99999999999994</v>
      </c>
      <c r="AW63" s="54">
        <f t="shared" si="34"/>
        <v>15.450000000000001</v>
      </c>
      <c r="AX63" s="54">
        <f t="shared" si="34"/>
        <v>15.450000000000001</v>
      </c>
      <c r="AY63" s="54">
        <f t="shared" si="34"/>
        <v>15.450000000000001</v>
      </c>
      <c r="AZ63" s="54">
        <f t="shared" si="34"/>
        <v>15.450000000000001</v>
      </c>
      <c r="BA63" s="54">
        <f t="shared" si="34"/>
        <v>15.450000000000001</v>
      </c>
      <c r="BB63" s="54">
        <f t="shared" si="34"/>
        <v>36.050000000000004</v>
      </c>
      <c r="BC63" s="54">
        <f t="shared" si="34"/>
        <v>15.450000000000001</v>
      </c>
      <c r="BD63" s="54">
        <f t="shared" si="34"/>
        <v>15.450000000000001</v>
      </c>
      <c r="BE63" s="54">
        <f t="shared" si="34"/>
        <v>15.450000000000001</v>
      </c>
      <c r="BF63" s="54">
        <f t="shared" si="34"/>
        <v>15.450000000000001</v>
      </c>
      <c r="BG63" s="54">
        <f t="shared" si="34"/>
        <v>15.450000000000001</v>
      </c>
      <c r="BH63" s="54">
        <f t="shared" si="34"/>
        <v>15.450000000000001</v>
      </c>
      <c r="BI63" s="62">
        <f t="shared" si="37"/>
        <v>0</v>
      </c>
      <c r="BJ63" s="59">
        <f t="shared" si="35"/>
        <v>0</v>
      </c>
      <c r="BK63" s="59">
        <f t="shared" si="35"/>
        <v>0</v>
      </c>
      <c r="BL63" s="59">
        <f t="shared" si="35"/>
        <v>0</v>
      </c>
      <c r="BM63" s="59">
        <f t="shared" si="35"/>
        <v>0</v>
      </c>
      <c r="BN63" s="59">
        <f t="shared" si="35"/>
        <v>0</v>
      </c>
      <c r="BO63" s="59">
        <f t="shared" si="35"/>
        <v>0</v>
      </c>
      <c r="BP63" s="59">
        <f t="shared" si="35"/>
        <v>0</v>
      </c>
      <c r="BQ63" s="59">
        <f t="shared" si="35"/>
        <v>0</v>
      </c>
      <c r="BR63" s="59">
        <f t="shared" si="35"/>
        <v>0</v>
      </c>
      <c r="BS63" s="59">
        <f t="shared" si="35"/>
        <v>0</v>
      </c>
      <c r="BT63" s="59">
        <f t="shared" si="35"/>
        <v>0</v>
      </c>
      <c r="BU63" s="59">
        <f t="shared" si="35"/>
        <v>0</v>
      </c>
      <c r="BV63" s="67">
        <f t="shared" si="18"/>
        <v>201.14230769230753</v>
      </c>
      <c r="BX63" s="54">
        <f t="shared" si="32"/>
        <v>20.085000000000001</v>
      </c>
      <c r="BY63" s="54">
        <f t="shared" si="32"/>
        <v>20.085000000000001</v>
      </c>
      <c r="BZ63" s="54">
        <f t="shared" si="32"/>
        <v>20.085000000000001</v>
      </c>
      <c r="CA63" s="54">
        <f t="shared" si="32"/>
        <v>20.085000000000001</v>
      </c>
      <c r="CB63" s="54">
        <f t="shared" si="32"/>
        <v>20.085000000000001</v>
      </c>
      <c r="CC63" s="54">
        <f t="shared" si="32"/>
        <v>46.865000000000002</v>
      </c>
      <c r="CD63" s="54">
        <f t="shared" si="31"/>
        <v>20.085000000000001</v>
      </c>
      <c r="CE63" s="54">
        <f t="shared" si="31"/>
        <v>20.085000000000001</v>
      </c>
      <c r="CF63" s="54">
        <f t="shared" si="31"/>
        <v>20.085000000000001</v>
      </c>
      <c r="CG63" s="54">
        <f t="shared" si="31"/>
        <v>20.085000000000001</v>
      </c>
      <c r="CH63" s="54">
        <f t="shared" si="31"/>
        <v>20.085000000000001</v>
      </c>
      <c r="CI63" s="54">
        <f t="shared" si="31"/>
        <v>20.085000000000001</v>
      </c>
      <c r="CJ63" s="74">
        <f t="shared" si="27"/>
        <v>267.80000000000007</v>
      </c>
      <c r="CK63" s="59">
        <f t="shared" si="26"/>
        <v>20</v>
      </c>
      <c r="CL63" s="9">
        <f t="shared" si="28"/>
        <v>0</v>
      </c>
      <c r="CM63" s="71">
        <f t="shared" si="21"/>
        <v>267.8</v>
      </c>
      <c r="CN63" s="54"/>
      <c r="CO63" s="73"/>
      <c r="CP63" s="56"/>
    </row>
    <row r="64" spans="1:94" ht="20.25" customHeight="1">
      <c r="A64" s="1" t="s">
        <v>190</v>
      </c>
      <c r="B64" s="1" t="s">
        <v>191</v>
      </c>
      <c r="C64" s="1" t="s">
        <v>192</v>
      </c>
      <c r="D64" s="58">
        <f>+VLOOKUP(A64,'[1]BDD-Avk Tx'!B:CE,82,0)</f>
        <v>710</v>
      </c>
      <c r="E64" s="59">
        <v>548.6</v>
      </c>
      <c r="G64" s="4">
        <v>41153</v>
      </c>
      <c r="H64" s="4">
        <f t="shared" si="10"/>
        <v>45647</v>
      </c>
      <c r="I64" s="60" t="str">
        <f>+VLOOKUP(A64,'[1]BDD-Avk Tx'!B:BZ,77,0)</f>
        <v>CDI</v>
      </c>
      <c r="J64" s="4">
        <f t="shared" si="11"/>
        <v>45647</v>
      </c>
      <c r="N64" s="3"/>
      <c r="P64" s="54">
        <f t="shared" si="22"/>
        <v>13.25</v>
      </c>
      <c r="Q64" s="61">
        <v>29</v>
      </c>
      <c r="R64" s="62">
        <f t="shared" si="23"/>
        <v>20</v>
      </c>
      <c r="S64" s="54">
        <f t="shared" si="36"/>
        <v>1.5</v>
      </c>
      <c r="T64" s="54">
        <f t="shared" si="36"/>
        <v>1.5</v>
      </c>
      <c r="U64" s="54">
        <f t="shared" si="36"/>
        <v>1.5</v>
      </c>
      <c r="V64" s="54">
        <f t="shared" si="36"/>
        <v>1.5</v>
      </c>
      <c r="W64" s="54">
        <f t="shared" si="36"/>
        <v>1.5</v>
      </c>
      <c r="X64" s="54">
        <f t="shared" si="36"/>
        <v>1.5</v>
      </c>
      <c r="Y64" s="54">
        <f t="shared" si="36"/>
        <v>1.5</v>
      </c>
      <c r="Z64" s="54">
        <f t="shared" si="36"/>
        <v>1.5</v>
      </c>
      <c r="AA64" s="54">
        <f t="shared" si="36"/>
        <v>1.5</v>
      </c>
      <c r="AB64" s="54">
        <f t="shared" si="36"/>
        <v>3.5</v>
      </c>
      <c r="AC64" s="54">
        <f t="shared" si="36"/>
        <v>1.5</v>
      </c>
      <c r="AD64" s="54">
        <f t="shared" si="36"/>
        <v>1.5</v>
      </c>
      <c r="AF64" s="62">
        <f t="shared" si="13"/>
        <v>17</v>
      </c>
      <c r="AG64" s="64">
        <v>0</v>
      </c>
      <c r="AH64" s="64">
        <v>7</v>
      </c>
      <c r="AI64" s="65">
        <v>10</v>
      </c>
      <c r="AJ64" s="66"/>
      <c r="AK64" s="64"/>
      <c r="AL64" s="64"/>
      <c r="AM64" s="64"/>
      <c r="AN64" s="64"/>
      <c r="AO64" s="64"/>
      <c r="AP64" s="64"/>
      <c r="AQ64" s="64"/>
      <c r="AR64" s="64"/>
      <c r="AS64" s="67">
        <f t="shared" si="14"/>
        <v>32</v>
      </c>
      <c r="AT64" s="68"/>
      <c r="AU64" s="69">
        <v>578.29999999999995</v>
      </c>
      <c r="AV64" s="62">
        <f t="shared" si="29"/>
        <v>422</v>
      </c>
      <c r="AW64" s="54">
        <f t="shared" si="34"/>
        <v>31.650000000000002</v>
      </c>
      <c r="AX64" s="54">
        <f t="shared" si="34"/>
        <v>31.650000000000002</v>
      </c>
      <c r="AY64" s="54">
        <f t="shared" si="34"/>
        <v>31.650000000000002</v>
      </c>
      <c r="AZ64" s="54">
        <f t="shared" si="34"/>
        <v>31.650000000000002</v>
      </c>
      <c r="BA64" s="54">
        <f t="shared" si="34"/>
        <v>31.650000000000002</v>
      </c>
      <c r="BB64" s="54">
        <f t="shared" si="34"/>
        <v>31.650000000000002</v>
      </c>
      <c r="BC64" s="54">
        <f t="shared" si="34"/>
        <v>31.650000000000002</v>
      </c>
      <c r="BD64" s="54">
        <f t="shared" si="34"/>
        <v>31.650000000000002</v>
      </c>
      <c r="BE64" s="54">
        <f t="shared" si="34"/>
        <v>31.650000000000002</v>
      </c>
      <c r="BF64" s="54">
        <f t="shared" si="34"/>
        <v>73.850000000000009</v>
      </c>
      <c r="BG64" s="54">
        <f t="shared" si="34"/>
        <v>31.650000000000002</v>
      </c>
      <c r="BH64" s="54">
        <f t="shared" si="34"/>
        <v>31.650000000000002</v>
      </c>
      <c r="BI64" s="62">
        <f t="shared" si="37"/>
        <v>-358.70000000000005</v>
      </c>
      <c r="BJ64" s="59">
        <f t="shared" ref="BJ64:BU113" si="38">(+IF($K64="",$E64/26*AG64,IF(MONTH($K64)=MONTH(BJ$5),$L64/26*AG64,IF(AND($K64&lt;BJ$5,(MONTH($K64)&lt;&gt;MONTH(BJ$5))),$L64/26*AG64,$E64/26*AG64))))*-1</f>
        <v>0</v>
      </c>
      <c r="BK64" s="59">
        <f t="shared" si="38"/>
        <v>-147.70000000000002</v>
      </c>
      <c r="BL64" s="59">
        <f t="shared" si="38"/>
        <v>-211</v>
      </c>
      <c r="BM64" s="59">
        <f t="shared" si="38"/>
        <v>0</v>
      </c>
      <c r="BN64" s="59">
        <f t="shared" si="38"/>
        <v>0</v>
      </c>
      <c r="BO64" s="59">
        <f t="shared" si="38"/>
        <v>0</v>
      </c>
      <c r="BP64" s="59">
        <f t="shared" si="38"/>
        <v>0</v>
      </c>
      <c r="BQ64" s="59">
        <f t="shared" si="38"/>
        <v>0</v>
      </c>
      <c r="BR64" s="59">
        <f t="shared" si="38"/>
        <v>0</v>
      </c>
      <c r="BS64" s="59">
        <f t="shared" si="38"/>
        <v>0</v>
      </c>
      <c r="BT64" s="59">
        <f t="shared" si="38"/>
        <v>0</v>
      </c>
      <c r="BU64" s="59">
        <f t="shared" si="38"/>
        <v>0</v>
      </c>
      <c r="BV64" s="67">
        <f t="shared" si="18"/>
        <v>641.59999999999991</v>
      </c>
      <c r="BX64" s="54">
        <f t="shared" si="32"/>
        <v>41.144999999999996</v>
      </c>
      <c r="BY64" s="54">
        <f t="shared" si="32"/>
        <v>41.144999999999996</v>
      </c>
      <c r="BZ64" s="54">
        <f t="shared" si="32"/>
        <v>41.144999999999996</v>
      </c>
      <c r="CA64" s="54">
        <f t="shared" si="32"/>
        <v>41.144999999999996</v>
      </c>
      <c r="CB64" s="54">
        <f t="shared" si="32"/>
        <v>41.144999999999996</v>
      </c>
      <c r="CC64" s="54">
        <f t="shared" si="32"/>
        <v>41.144999999999996</v>
      </c>
      <c r="CD64" s="54">
        <f t="shared" si="31"/>
        <v>41.144999999999996</v>
      </c>
      <c r="CE64" s="54">
        <f t="shared" si="31"/>
        <v>41.144999999999996</v>
      </c>
      <c r="CF64" s="54">
        <f t="shared" si="31"/>
        <v>41.144999999999996</v>
      </c>
      <c r="CG64" s="54">
        <f t="shared" si="31"/>
        <v>96.004999999999995</v>
      </c>
      <c r="CH64" s="54">
        <f t="shared" si="31"/>
        <v>41.144999999999996</v>
      </c>
      <c r="CI64" s="54">
        <f t="shared" si="31"/>
        <v>41.144999999999996</v>
      </c>
      <c r="CJ64" s="74">
        <f t="shared" ref="CJ64:CJ127" si="39">SUM(BX64:CI64)</f>
        <v>548.59999999999991</v>
      </c>
      <c r="CK64" s="59">
        <f t="shared" si="26"/>
        <v>20</v>
      </c>
      <c r="CL64" s="9">
        <f t="shared" si="28"/>
        <v>0</v>
      </c>
      <c r="CM64" s="71">
        <f t="shared" si="21"/>
        <v>548.6</v>
      </c>
      <c r="CN64" s="72"/>
      <c r="CO64" s="73"/>
    </row>
    <row r="65" spans="1:94" ht="20.25" customHeight="1">
      <c r="A65" s="75" t="s">
        <v>193</v>
      </c>
      <c r="B65" s="1" t="s">
        <v>194</v>
      </c>
      <c r="C65" s="1" t="s">
        <v>195</v>
      </c>
      <c r="D65" s="58">
        <f>+VLOOKUP(A65,'[1]BDD-Avk Tx'!B:CE,82,0)</f>
        <v>251</v>
      </c>
      <c r="E65" s="59">
        <v>200.2</v>
      </c>
      <c r="G65" s="4">
        <v>41955</v>
      </c>
      <c r="H65" s="4">
        <f t="shared" si="10"/>
        <v>45647</v>
      </c>
      <c r="I65" s="60" t="str">
        <f>+VLOOKUP(A65,'[1]BDD-Avk Tx'!B:BZ,77,0)</f>
        <v>CDI</v>
      </c>
      <c r="J65" s="4">
        <f t="shared" si="11"/>
        <v>45647</v>
      </c>
      <c r="N65" s="3"/>
      <c r="P65" s="54">
        <f t="shared" si="22"/>
        <v>11.083333333333334</v>
      </c>
      <c r="Q65" s="61">
        <v>15</v>
      </c>
      <c r="R65" s="62">
        <f t="shared" si="23"/>
        <v>20</v>
      </c>
      <c r="S65" s="54">
        <f t="shared" si="36"/>
        <v>1.5</v>
      </c>
      <c r="T65" s="54">
        <f t="shared" si="36"/>
        <v>1.5</v>
      </c>
      <c r="U65" s="54">
        <f t="shared" si="36"/>
        <v>1.5</v>
      </c>
      <c r="V65" s="54">
        <f t="shared" si="36"/>
        <v>1.5</v>
      </c>
      <c r="W65" s="54">
        <f t="shared" si="36"/>
        <v>1.5</v>
      </c>
      <c r="X65" s="54">
        <f t="shared" si="36"/>
        <v>1.5</v>
      </c>
      <c r="Y65" s="54">
        <f t="shared" si="36"/>
        <v>1.5</v>
      </c>
      <c r="Z65" s="54">
        <f t="shared" si="36"/>
        <v>1.5</v>
      </c>
      <c r="AA65" s="54">
        <f t="shared" si="36"/>
        <v>1.5</v>
      </c>
      <c r="AB65" s="54">
        <f t="shared" si="36"/>
        <v>1.5</v>
      </c>
      <c r="AC65" s="54">
        <f t="shared" si="36"/>
        <v>1.5</v>
      </c>
      <c r="AD65" s="54">
        <f t="shared" si="36"/>
        <v>3.5</v>
      </c>
      <c r="AF65" s="62">
        <f t="shared" si="13"/>
        <v>35</v>
      </c>
      <c r="AG65" s="64">
        <v>0</v>
      </c>
      <c r="AH65" s="64">
        <v>14</v>
      </c>
      <c r="AI65" s="65">
        <v>21</v>
      </c>
      <c r="AJ65" s="66"/>
      <c r="AK65" s="64"/>
      <c r="AL65" s="64"/>
      <c r="AM65" s="64"/>
      <c r="AN65" s="64"/>
      <c r="AO65" s="64"/>
      <c r="AP65" s="64"/>
      <c r="AQ65" s="64"/>
      <c r="AR65" s="64"/>
      <c r="AS65" s="67">
        <f t="shared" si="14"/>
        <v>0</v>
      </c>
      <c r="AT65" s="68"/>
      <c r="AU65" s="69">
        <v>117.38461538461539</v>
      </c>
      <c r="AV65" s="62">
        <f t="shared" ref="AV65:AV128" si="40">SUM(AW65:BH65)</f>
        <v>153.99999999999997</v>
      </c>
      <c r="AW65" s="54">
        <f t="shared" si="34"/>
        <v>11.549999999999999</v>
      </c>
      <c r="AX65" s="54">
        <f t="shared" si="34"/>
        <v>11.549999999999999</v>
      </c>
      <c r="AY65" s="54">
        <f t="shared" si="34"/>
        <v>11.549999999999999</v>
      </c>
      <c r="AZ65" s="54">
        <f t="shared" ref="AZ65:BH126" si="41">+IF($K65="",$E65/26*V65,IF(MONTH($K65)=MONTH(AZ$5),$L65/26*V65,IF(AND($K65&lt;AZ$5,(MONTH($K65)&lt;&gt;MONTH(AZ$5))),$L65/26*V65,$E65/26*V65)))</f>
        <v>11.549999999999999</v>
      </c>
      <c r="BA65" s="54">
        <f t="shared" si="41"/>
        <v>11.549999999999999</v>
      </c>
      <c r="BB65" s="54">
        <f t="shared" si="41"/>
        <v>11.549999999999999</v>
      </c>
      <c r="BC65" s="54">
        <f t="shared" si="41"/>
        <v>11.549999999999999</v>
      </c>
      <c r="BD65" s="54">
        <f t="shared" si="41"/>
        <v>11.549999999999999</v>
      </c>
      <c r="BE65" s="54">
        <f t="shared" si="41"/>
        <v>11.549999999999999</v>
      </c>
      <c r="BF65" s="54">
        <f t="shared" si="41"/>
        <v>11.549999999999999</v>
      </c>
      <c r="BG65" s="54">
        <f t="shared" si="41"/>
        <v>11.549999999999999</v>
      </c>
      <c r="BH65" s="54">
        <f t="shared" si="41"/>
        <v>26.949999999999996</v>
      </c>
      <c r="BI65" s="62">
        <f t="shared" si="37"/>
        <v>-269.5</v>
      </c>
      <c r="BJ65" s="59">
        <f t="shared" si="38"/>
        <v>0</v>
      </c>
      <c r="BK65" s="59">
        <f t="shared" si="38"/>
        <v>-107.79999999999998</v>
      </c>
      <c r="BL65" s="59">
        <f t="shared" si="38"/>
        <v>-161.69999999999999</v>
      </c>
      <c r="BM65" s="59">
        <f t="shared" si="38"/>
        <v>0</v>
      </c>
      <c r="BN65" s="59">
        <f t="shared" si="38"/>
        <v>0</v>
      </c>
      <c r="BO65" s="59">
        <f t="shared" si="38"/>
        <v>0</v>
      </c>
      <c r="BP65" s="59">
        <f t="shared" si="38"/>
        <v>0</v>
      </c>
      <c r="BQ65" s="59">
        <f t="shared" si="38"/>
        <v>0</v>
      </c>
      <c r="BR65" s="59">
        <f t="shared" si="38"/>
        <v>0</v>
      </c>
      <c r="BS65" s="59">
        <f t="shared" si="38"/>
        <v>0</v>
      </c>
      <c r="BT65" s="59">
        <f t="shared" si="38"/>
        <v>0</v>
      </c>
      <c r="BU65" s="59">
        <f t="shared" si="38"/>
        <v>0</v>
      </c>
      <c r="BV65" s="67">
        <f t="shared" si="18"/>
        <v>1.8846153846153584</v>
      </c>
      <c r="BX65" s="54">
        <f t="shared" si="32"/>
        <v>15.015000000000001</v>
      </c>
      <c r="BY65" s="54">
        <f t="shared" si="32"/>
        <v>15.015000000000001</v>
      </c>
      <c r="BZ65" s="54">
        <f t="shared" si="32"/>
        <v>15.015000000000001</v>
      </c>
      <c r="CA65" s="54">
        <f t="shared" si="32"/>
        <v>15.015000000000001</v>
      </c>
      <c r="CB65" s="54">
        <f t="shared" si="32"/>
        <v>15.015000000000001</v>
      </c>
      <c r="CC65" s="54">
        <f t="shared" si="32"/>
        <v>15.015000000000001</v>
      </c>
      <c r="CD65" s="54">
        <f t="shared" si="31"/>
        <v>15.015000000000001</v>
      </c>
      <c r="CE65" s="54">
        <f t="shared" si="31"/>
        <v>15.015000000000001</v>
      </c>
      <c r="CF65" s="54">
        <f t="shared" si="31"/>
        <v>15.015000000000001</v>
      </c>
      <c r="CG65" s="54">
        <f t="shared" si="31"/>
        <v>15.015000000000001</v>
      </c>
      <c r="CH65" s="54">
        <f t="shared" si="31"/>
        <v>15.015000000000001</v>
      </c>
      <c r="CI65" s="54">
        <f t="shared" si="31"/>
        <v>35.034999999999997</v>
      </c>
      <c r="CJ65" s="74">
        <f t="shared" si="39"/>
        <v>200.19999999999996</v>
      </c>
      <c r="CK65" s="59">
        <f t="shared" si="26"/>
        <v>20</v>
      </c>
      <c r="CL65" s="9">
        <f t="shared" si="28"/>
        <v>0</v>
      </c>
      <c r="CM65" s="71">
        <f t="shared" si="21"/>
        <v>200.2</v>
      </c>
      <c r="CN65" s="54"/>
      <c r="CO65" s="73"/>
      <c r="CP65" s="56"/>
    </row>
    <row r="66" spans="1:94" ht="20.25" customHeight="1">
      <c r="A66" s="1" t="s">
        <v>196</v>
      </c>
      <c r="B66" s="1" t="s">
        <v>197</v>
      </c>
      <c r="C66" s="1" t="s">
        <v>198</v>
      </c>
      <c r="D66" s="58">
        <f>+VLOOKUP(A66,'[1]BDD-Avk Tx'!B:CE,82,0)</f>
        <v>251</v>
      </c>
      <c r="E66" s="59">
        <v>308.10000000000002</v>
      </c>
      <c r="G66" s="4">
        <v>41984</v>
      </c>
      <c r="H66" s="4">
        <f t="shared" si="10"/>
        <v>45647</v>
      </c>
      <c r="I66" s="60" t="str">
        <f>+VLOOKUP(A66,'[1]BDD-Avk Tx'!B:BZ,77,0)</f>
        <v>CDI</v>
      </c>
      <c r="J66" s="4">
        <f t="shared" si="11"/>
        <v>45647</v>
      </c>
      <c r="N66" s="3"/>
      <c r="P66" s="54">
        <f t="shared" si="22"/>
        <v>11</v>
      </c>
      <c r="Q66" s="61">
        <v>9</v>
      </c>
      <c r="R66" s="62">
        <f t="shared" si="23"/>
        <v>20</v>
      </c>
      <c r="S66" s="54">
        <f t="shared" si="36"/>
        <v>3.5</v>
      </c>
      <c r="T66" s="54">
        <f t="shared" si="36"/>
        <v>1.5</v>
      </c>
      <c r="U66" s="54">
        <f t="shared" si="36"/>
        <v>1.5</v>
      </c>
      <c r="V66" s="54">
        <f t="shared" si="36"/>
        <v>1.5</v>
      </c>
      <c r="W66" s="54">
        <f t="shared" si="36"/>
        <v>1.5</v>
      </c>
      <c r="X66" s="54">
        <f t="shared" si="36"/>
        <v>1.5</v>
      </c>
      <c r="Y66" s="54">
        <f t="shared" si="36"/>
        <v>1.5</v>
      </c>
      <c r="Z66" s="54">
        <f t="shared" si="36"/>
        <v>1.5</v>
      </c>
      <c r="AA66" s="54">
        <f t="shared" si="36"/>
        <v>1.5</v>
      </c>
      <c r="AB66" s="54">
        <f t="shared" si="36"/>
        <v>1.5</v>
      </c>
      <c r="AC66" s="54">
        <f t="shared" si="36"/>
        <v>1.5</v>
      </c>
      <c r="AD66" s="54">
        <f t="shared" si="36"/>
        <v>1.5</v>
      </c>
      <c r="AF66" s="62">
        <f t="shared" si="13"/>
        <v>0</v>
      </c>
      <c r="AG66" s="64">
        <v>0</v>
      </c>
      <c r="AH66" s="64">
        <v>0</v>
      </c>
      <c r="AI66" s="65">
        <v>0</v>
      </c>
      <c r="AJ66" s="66"/>
      <c r="AK66" s="64"/>
      <c r="AL66" s="64"/>
      <c r="AM66" s="64"/>
      <c r="AN66" s="64"/>
      <c r="AO66" s="64"/>
      <c r="AP66" s="64"/>
      <c r="AQ66" s="64"/>
      <c r="AR66" s="64"/>
      <c r="AS66" s="67">
        <f t="shared" si="14"/>
        <v>29</v>
      </c>
      <c r="AT66" s="68"/>
      <c r="AU66" s="69">
        <v>113.97692307692313</v>
      </c>
      <c r="AV66" s="62">
        <f t="shared" si="40"/>
        <v>237.00000000000006</v>
      </c>
      <c r="AW66" s="54">
        <f t="shared" ref="AW66:BB127" si="42">+IF($K66="",$E66/26*S66,IF(MONTH($K66)=MONTH(AW$5),$L66/26*S66,IF(AND($K66&lt;AW$5,(MONTH($K66)&lt;&gt;MONTH(AW$5))),$L66/26*S66,$E66/26*S66)))</f>
        <v>41.475000000000009</v>
      </c>
      <c r="AX66" s="54">
        <f t="shared" si="42"/>
        <v>17.775000000000002</v>
      </c>
      <c r="AY66" s="54">
        <f t="shared" si="42"/>
        <v>17.775000000000002</v>
      </c>
      <c r="AZ66" s="54">
        <f t="shared" si="41"/>
        <v>17.775000000000002</v>
      </c>
      <c r="BA66" s="54">
        <f t="shared" si="41"/>
        <v>17.775000000000002</v>
      </c>
      <c r="BB66" s="54">
        <f t="shared" si="41"/>
        <v>17.775000000000002</v>
      </c>
      <c r="BC66" s="54">
        <f t="shared" si="41"/>
        <v>17.775000000000002</v>
      </c>
      <c r="BD66" s="54">
        <f t="shared" si="41"/>
        <v>17.775000000000002</v>
      </c>
      <c r="BE66" s="54">
        <f t="shared" si="41"/>
        <v>17.775000000000002</v>
      </c>
      <c r="BF66" s="54">
        <f t="shared" si="41"/>
        <v>17.775000000000002</v>
      </c>
      <c r="BG66" s="54">
        <f t="shared" si="41"/>
        <v>17.775000000000002</v>
      </c>
      <c r="BH66" s="54">
        <f t="shared" si="41"/>
        <v>17.775000000000002</v>
      </c>
      <c r="BI66" s="62">
        <f t="shared" si="37"/>
        <v>0</v>
      </c>
      <c r="BJ66" s="59">
        <f t="shared" si="38"/>
        <v>0</v>
      </c>
      <c r="BK66" s="59">
        <f t="shared" si="38"/>
        <v>0</v>
      </c>
      <c r="BL66" s="59">
        <f t="shared" si="38"/>
        <v>0</v>
      </c>
      <c r="BM66" s="59">
        <f t="shared" si="38"/>
        <v>0</v>
      </c>
      <c r="BN66" s="59">
        <f t="shared" si="38"/>
        <v>0</v>
      </c>
      <c r="BO66" s="59">
        <f t="shared" si="38"/>
        <v>0</v>
      </c>
      <c r="BP66" s="59">
        <f t="shared" si="38"/>
        <v>0</v>
      </c>
      <c r="BQ66" s="59">
        <f t="shared" si="38"/>
        <v>0</v>
      </c>
      <c r="BR66" s="59">
        <f t="shared" si="38"/>
        <v>0</v>
      </c>
      <c r="BS66" s="59">
        <f t="shared" si="38"/>
        <v>0</v>
      </c>
      <c r="BT66" s="59">
        <f t="shared" si="38"/>
        <v>0</v>
      </c>
      <c r="BU66" s="59">
        <f t="shared" si="38"/>
        <v>0</v>
      </c>
      <c r="BV66" s="67">
        <f t="shared" si="18"/>
        <v>350.97692307692319</v>
      </c>
      <c r="BX66" s="54">
        <f t="shared" si="32"/>
        <v>53.917500000000004</v>
      </c>
      <c r="BY66" s="54">
        <f t="shared" si="32"/>
        <v>23.107500000000002</v>
      </c>
      <c r="BZ66" s="54">
        <f t="shared" si="32"/>
        <v>23.107500000000002</v>
      </c>
      <c r="CA66" s="54">
        <f t="shared" si="32"/>
        <v>23.107500000000002</v>
      </c>
      <c r="CB66" s="54">
        <f t="shared" si="32"/>
        <v>23.107500000000002</v>
      </c>
      <c r="CC66" s="54">
        <f t="shared" si="32"/>
        <v>23.107500000000002</v>
      </c>
      <c r="CD66" s="54">
        <f t="shared" si="31"/>
        <v>23.107500000000002</v>
      </c>
      <c r="CE66" s="54">
        <f t="shared" si="31"/>
        <v>23.107500000000002</v>
      </c>
      <c r="CF66" s="54">
        <f t="shared" si="31"/>
        <v>23.107500000000002</v>
      </c>
      <c r="CG66" s="54">
        <f t="shared" si="31"/>
        <v>23.107500000000002</v>
      </c>
      <c r="CH66" s="54">
        <f t="shared" si="31"/>
        <v>23.107500000000002</v>
      </c>
      <c r="CI66" s="54">
        <f t="shared" si="31"/>
        <v>23.107500000000002</v>
      </c>
      <c r="CJ66" s="74">
        <f t="shared" si="39"/>
        <v>308.10000000000014</v>
      </c>
      <c r="CK66" s="59">
        <f t="shared" si="26"/>
        <v>20</v>
      </c>
      <c r="CL66" s="9">
        <f t="shared" si="28"/>
        <v>0</v>
      </c>
      <c r="CM66" s="71">
        <f t="shared" si="21"/>
        <v>308.10000000000002</v>
      </c>
      <c r="CN66" s="72"/>
      <c r="CO66" s="73"/>
    </row>
    <row r="67" spans="1:94" ht="20.25" customHeight="1">
      <c r="A67" s="75" t="s">
        <v>199</v>
      </c>
      <c r="B67" s="1" t="s">
        <v>200</v>
      </c>
      <c r="C67" s="1" t="s">
        <v>195</v>
      </c>
      <c r="D67" s="58">
        <f>+VLOOKUP(A67,'[1]BDD-Avk Tx'!B:CE,82,0)</f>
        <v>251</v>
      </c>
      <c r="E67" s="59">
        <v>200.2</v>
      </c>
      <c r="G67" s="4">
        <v>42068</v>
      </c>
      <c r="H67" s="4">
        <f t="shared" si="10"/>
        <v>45647</v>
      </c>
      <c r="I67" s="60" t="str">
        <f>+VLOOKUP(A67,'[1]BDD-Avk Tx'!B:BZ,77,0)</f>
        <v>CDI</v>
      </c>
      <c r="J67" s="4">
        <f t="shared" si="11"/>
        <v>45647</v>
      </c>
      <c r="N67" s="3"/>
      <c r="P67" s="54">
        <f t="shared" si="22"/>
        <v>10.75</v>
      </c>
      <c r="Q67" s="61">
        <v>0</v>
      </c>
      <c r="R67" s="62">
        <f t="shared" si="23"/>
        <v>20</v>
      </c>
      <c r="S67" s="54">
        <f t="shared" si="36"/>
        <v>1.5</v>
      </c>
      <c r="T67" s="54">
        <f t="shared" si="36"/>
        <v>1.5</v>
      </c>
      <c r="U67" s="54">
        <f t="shared" si="36"/>
        <v>1.5</v>
      </c>
      <c r="V67" s="54">
        <f t="shared" si="36"/>
        <v>3.5</v>
      </c>
      <c r="W67" s="54">
        <f t="shared" si="36"/>
        <v>1.5</v>
      </c>
      <c r="X67" s="54">
        <f t="shared" si="36"/>
        <v>1.5</v>
      </c>
      <c r="Y67" s="54">
        <f t="shared" si="36"/>
        <v>1.5</v>
      </c>
      <c r="Z67" s="54">
        <f t="shared" si="36"/>
        <v>1.5</v>
      </c>
      <c r="AA67" s="54">
        <f t="shared" si="36"/>
        <v>1.5</v>
      </c>
      <c r="AB67" s="54">
        <f t="shared" si="36"/>
        <v>1.5</v>
      </c>
      <c r="AC67" s="54">
        <f t="shared" si="36"/>
        <v>1.5</v>
      </c>
      <c r="AD67" s="54">
        <f t="shared" si="36"/>
        <v>1.5</v>
      </c>
      <c r="AF67" s="62">
        <f t="shared" si="13"/>
        <v>0</v>
      </c>
      <c r="AG67" s="64">
        <v>0</v>
      </c>
      <c r="AH67" s="64">
        <v>0</v>
      </c>
      <c r="AI67" s="65">
        <v>0</v>
      </c>
      <c r="AJ67" s="66"/>
      <c r="AK67" s="64"/>
      <c r="AL67" s="64"/>
      <c r="AM67" s="64"/>
      <c r="AN67" s="64"/>
      <c r="AO67" s="64"/>
      <c r="AP67" s="64"/>
      <c r="AQ67" s="64"/>
      <c r="AR67" s="64"/>
      <c r="AS67" s="67">
        <f t="shared" si="14"/>
        <v>20</v>
      </c>
      <c r="AT67" s="68"/>
      <c r="AU67" s="69">
        <v>-0.5953846153845177</v>
      </c>
      <c r="AV67" s="62">
        <f t="shared" si="40"/>
        <v>154</v>
      </c>
      <c r="AW67" s="54">
        <f t="shared" si="42"/>
        <v>11.549999999999999</v>
      </c>
      <c r="AX67" s="54">
        <f t="shared" si="42"/>
        <v>11.549999999999999</v>
      </c>
      <c r="AY67" s="54">
        <f t="shared" si="42"/>
        <v>11.549999999999999</v>
      </c>
      <c r="AZ67" s="54">
        <f t="shared" si="41"/>
        <v>26.949999999999996</v>
      </c>
      <c r="BA67" s="54">
        <f t="shared" si="41"/>
        <v>11.549999999999999</v>
      </c>
      <c r="BB67" s="54">
        <f t="shared" si="41"/>
        <v>11.549999999999999</v>
      </c>
      <c r="BC67" s="54">
        <f t="shared" si="41"/>
        <v>11.549999999999999</v>
      </c>
      <c r="BD67" s="54">
        <f t="shared" si="41"/>
        <v>11.549999999999999</v>
      </c>
      <c r="BE67" s="54">
        <f t="shared" si="41"/>
        <v>11.549999999999999</v>
      </c>
      <c r="BF67" s="54">
        <f t="shared" si="41"/>
        <v>11.549999999999999</v>
      </c>
      <c r="BG67" s="54">
        <f t="shared" si="41"/>
        <v>11.549999999999999</v>
      </c>
      <c r="BH67" s="54">
        <f t="shared" si="41"/>
        <v>11.549999999999999</v>
      </c>
      <c r="BI67" s="62">
        <f t="shared" si="37"/>
        <v>0</v>
      </c>
      <c r="BJ67" s="59">
        <f t="shared" si="38"/>
        <v>0</v>
      </c>
      <c r="BK67" s="59">
        <f t="shared" si="38"/>
        <v>0</v>
      </c>
      <c r="BL67" s="59">
        <f t="shared" si="38"/>
        <v>0</v>
      </c>
      <c r="BM67" s="59">
        <f t="shared" si="38"/>
        <v>0</v>
      </c>
      <c r="BN67" s="59">
        <f t="shared" si="38"/>
        <v>0</v>
      </c>
      <c r="BO67" s="59">
        <f t="shared" si="38"/>
        <v>0</v>
      </c>
      <c r="BP67" s="59">
        <f t="shared" si="38"/>
        <v>0</v>
      </c>
      <c r="BQ67" s="59">
        <f t="shared" si="38"/>
        <v>0</v>
      </c>
      <c r="BR67" s="59">
        <f t="shared" si="38"/>
        <v>0</v>
      </c>
      <c r="BS67" s="59">
        <f t="shared" si="38"/>
        <v>0</v>
      </c>
      <c r="BT67" s="59">
        <f t="shared" si="38"/>
        <v>0</v>
      </c>
      <c r="BU67" s="59">
        <f t="shared" si="38"/>
        <v>0</v>
      </c>
      <c r="BV67" s="67">
        <f t="shared" si="18"/>
        <v>153.40461538461548</v>
      </c>
      <c r="BX67" s="54">
        <f t="shared" si="32"/>
        <v>15.015000000000001</v>
      </c>
      <c r="BY67" s="54">
        <f t="shared" si="32"/>
        <v>15.015000000000001</v>
      </c>
      <c r="BZ67" s="54">
        <f t="shared" si="32"/>
        <v>15.015000000000001</v>
      </c>
      <c r="CA67" s="54">
        <f t="shared" si="32"/>
        <v>35.034999999999997</v>
      </c>
      <c r="CB67" s="54">
        <f t="shared" si="32"/>
        <v>15.015000000000001</v>
      </c>
      <c r="CC67" s="54">
        <f t="shared" si="32"/>
        <v>15.015000000000001</v>
      </c>
      <c r="CD67" s="54">
        <f t="shared" si="31"/>
        <v>15.015000000000001</v>
      </c>
      <c r="CE67" s="54">
        <f t="shared" si="31"/>
        <v>15.015000000000001</v>
      </c>
      <c r="CF67" s="54">
        <f t="shared" si="31"/>
        <v>15.015000000000001</v>
      </c>
      <c r="CG67" s="54">
        <f t="shared" si="31"/>
        <v>15.015000000000001</v>
      </c>
      <c r="CH67" s="54">
        <f t="shared" si="31"/>
        <v>15.015000000000001</v>
      </c>
      <c r="CI67" s="54">
        <f t="shared" si="31"/>
        <v>15.015000000000001</v>
      </c>
      <c r="CJ67" s="74">
        <f t="shared" si="39"/>
        <v>200.19999999999993</v>
      </c>
      <c r="CK67" s="59">
        <f t="shared" si="26"/>
        <v>20</v>
      </c>
      <c r="CL67" s="9">
        <f t="shared" si="28"/>
        <v>0</v>
      </c>
      <c r="CM67" s="71">
        <f t="shared" si="21"/>
        <v>200.2</v>
      </c>
      <c r="CN67" s="54"/>
      <c r="CO67" s="73"/>
      <c r="CP67" s="56"/>
    </row>
    <row r="68" spans="1:94" ht="20.25" customHeight="1">
      <c r="A68" s="1" t="s">
        <v>201</v>
      </c>
      <c r="B68" s="1" t="s">
        <v>202</v>
      </c>
      <c r="C68" s="1" t="s">
        <v>203</v>
      </c>
      <c r="D68" s="58">
        <f>+VLOOKUP(A68,'[1]BDD-Avk Tx'!B:CE,82,0)</f>
        <v>251</v>
      </c>
      <c r="E68" s="59">
        <v>475.8</v>
      </c>
      <c r="G68" s="4">
        <v>42084</v>
      </c>
      <c r="H68" s="4">
        <f t="shared" si="10"/>
        <v>45647</v>
      </c>
      <c r="I68" s="60" t="str">
        <f>+VLOOKUP(A68,'[1]BDD-Avk Tx'!B:BZ,77,0)</f>
        <v>CDI</v>
      </c>
      <c r="J68" s="4">
        <f t="shared" si="11"/>
        <v>45647</v>
      </c>
      <c r="N68" s="3"/>
      <c r="P68" s="54">
        <f t="shared" si="22"/>
        <v>10.666666666666666</v>
      </c>
      <c r="Q68" s="61">
        <v>11.5</v>
      </c>
      <c r="R68" s="62">
        <f t="shared" si="23"/>
        <v>20</v>
      </c>
      <c r="S68" s="54">
        <f t="shared" si="36"/>
        <v>1.5</v>
      </c>
      <c r="T68" s="54">
        <f t="shared" si="36"/>
        <v>1.5</v>
      </c>
      <c r="U68" s="54">
        <f t="shared" si="36"/>
        <v>1.5</v>
      </c>
      <c r="V68" s="54">
        <f t="shared" si="36"/>
        <v>3.5</v>
      </c>
      <c r="W68" s="54">
        <f t="shared" si="36"/>
        <v>1.5</v>
      </c>
      <c r="X68" s="54">
        <f t="shared" si="36"/>
        <v>1.5</v>
      </c>
      <c r="Y68" s="54">
        <f t="shared" si="36"/>
        <v>1.5</v>
      </c>
      <c r="Z68" s="54">
        <f t="shared" si="36"/>
        <v>1.5</v>
      </c>
      <c r="AA68" s="54">
        <f t="shared" si="36"/>
        <v>1.5</v>
      </c>
      <c r="AB68" s="54">
        <f t="shared" si="36"/>
        <v>1.5</v>
      </c>
      <c r="AC68" s="54">
        <f t="shared" si="36"/>
        <v>1.5</v>
      </c>
      <c r="AD68" s="54">
        <f t="shared" si="36"/>
        <v>1.5</v>
      </c>
      <c r="AF68" s="62">
        <f t="shared" si="13"/>
        <v>0</v>
      </c>
      <c r="AG68" s="64">
        <v>0</v>
      </c>
      <c r="AH68" s="64">
        <v>0</v>
      </c>
      <c r="AI68" s="65">
        <v>0</v>
      </c>
      <c r="AJ68" s="66"/>
      <c r="AK68" s="64"/>
      <c r="AL68" s="64"/>
      <c r="AM68" s="64"/>
      <c r="AN68" s="64"/>
      <c r="AO68" s="64"/>
      <c r="AP68" s="64"/>
      <c r="AQ68" s="64"/>
      <c r="AR68" s="64"/>
      <c r="AS68" s="67">
        <f t="shared" si="14"/>
        <v>31.5</v>
      </c>
      <c r="AT68" s="68"/>
      <c r="AU68" s="69">
        <v>140.07692307692298</v>
      </c>
      <c r="AV68" s="62">
        <f t="shared" si="40"/>
        <v>365.99999999999994</v>
      </c>
      <c r="AW68" s="54">
        <f t="shared" si="42"/>
        <v>27.450000000000003</v>
      </c>
      <c r="AX68" s="54">
        <f t="shared" si="42"/>
        <v>27.450000000000003</v>
      </c>
      <c r="AY68" s="54">
        <f t="shared" si="42"/>
        <v>27.450000000000003</v>
      </c>
      <c r="AZ68" s="54">
        <f t="shared" si="41"/>
        <v>64.05</v>
      </c>
      <c r="BA68" s="54">
        <f t="shared" si="41"/>
        <v>27.450000000000003</v>
      </c>
      <c r="BB68" s="54">
        <f t="shared" si="41"/>
        <v>27.450000000000003</v>
      </c>
      <c r="BC68" s="54">
        <f t="shared" si="41"/>
        <v>27.450000000000003</v>
      </c>
      <c r="BD68" s="54">
        <f t="shared" si="41"/>
        <v>27.450000000000003</v>
      </c>
      <c r="BE68" s="54">
        <f t="shared" si="41"/>
        <v>27.450000000000003</v>
      </c>
      <c r="BF68" s="54">
        <f t="shared" si="41"/>
        <v>27.450000000000003</v>
      </c>
      <c r="BG68" s="54">
        <f t="shared" si="41"/>
        <v>27.450000000000003</v>
      </c>
      <c r="BH68" s="54">
        <f t="shared" si="41"/>
        <v>27.450000000000003</v>
      </c>
      <c r="BI68" s="62">
        <f t="shared" si="37"/>
        <v>0</v>
      </c>
      <c r="BJ68" s="59">
        <f t="shared" si="38"/>
        <v>0</v>
      </c>
      <c r="BK68" s="59">
        <f t="shared" si="38"/>
        <v>0</v>
      </c>
      <c r="BL68" s="59">
        <f t="shared" si="38"/>
        <v>0</v>
      </c>
      <c r="BM68" s="59">
        <f t="shared" si="38"/>
        <v>0</v>
      </c>
      <c r="BN68" s="59">
        <f t="shared" si="38"/>
        <v>0</v>
      </c>
      <c r="BO68" s="59">
        <f t="shared" si="38"/>
        <v>0</v>
      </c>
      <c r="BP68" s="59">
        <f t="shared" si="38"/>
        <v>0</v>
      </c>
      <c r="BQ68" s="59">
        <f t="shared" si="38"/>
        <v>0</v>
      </c>
      <c r="BR68" s="59">
        <f t="shared" si="38"/>
        <v>0</v>
      </c>
      <c r="BS68" s="59">
        <f t="shared" si="38"/>
        <v>0</v>
      </c>
      <c r="BT68" s="59">
        <f t="shared" si="38"/>
        <v>0</v>
      </c>
      <c r="BU68" s="59">
        <f t="shared" si="38"/>
        <v>0</v>
      </c>
      <c r="BV68" s="67">
        <f t="shared" si="18"/>
        <v>506.07692307692292</v>
      </c>
      <c r="BX68" s="54">
        <f t="shared" si="32"/>
        <v>35.685000000000002</v>
      </c>
      <c r="BY68" s="54">
        <f t="shared" si="32"/>
        <v>35.685000000000002</v>
      </c>
      <c r="BZ68" s="54">
        <f t="shared" si="32"/>
        <v>35.685000000000002</v>
      </c>
      <c r="CA68" s="54">
        <f t="shared" si="32"/>
        <v>83.265000000000001</v>
      </c>
      <c r="CB68" s="54">
        <f t="shared" si="32"/>
        <v>35.685000000000002</v>
      </c>
      <c r="CC68" s="54">
        <f t="shared" si="32"/>
        <v>35.685000000000002</v>
      </c>
      <c r="CD68" s="54">
        <f t="shared" si="31"/>
        <v>35.685000000000002</v>
      </c>
      <c r="CE68" s="54">
        <f t="shared" si="31"/>
        <v>35.685000000000002</v>
      </c>
      <c r="CF68" s="54">
        <f t="shared" si="31"/>
        <v>35.685000000000002</v>
      </c>
      <c r="CG68" s="54">
        <f t="shared" si="31"/>
        <v>35.685000000000002</v>
      </c>
      <c r="CH68" s="54">
        <f t="shared" si="31"/>
        <v>35.685000000000002</v>
      </c>
      <c r="CI68" s="54">
        <f t="shared" si="31"/>
        <v>35.685000000000002</v>
      </c>
      <c r="CJ68" s="74">
        <f t="shared" si="39"/>
        <v>475.8</v>
      </c>
      <c r="CK68" s="59">
        <f t="shared" si="26"/>
        <v>20</v>
      </c>
      <c r="CL68" s="9">
        <f t="shared" si="28"/>
        <v>0</v>
      </c>
      <c r="CM68" s="71">
        <f t="shared" si="21"/>
        <v>475.8</v>
      </c>
      <c r="CN68" s="72"/>
      <c r="CO68" s="73"/>
    </row>
    <row r="69" spans="1:94" ht="20.25" customHeight="1">
      <c r="A69" s="75" t="s">
        <v>204</v>
      </c>
      <c r="B69" s="1" t="s">
        <v>205</v>
      </c>
      <c r="C69" s="1" t="s">
        <v>206</v>
      </c>
      <c r="D69" s="58">
        <f>+VLOOKUP(A69,'[1]BDD-Avk Tx'!B:CE,82,0)</f>
        <v>251</v>
      </c>
      <c r="E69" s="59">
        <v>172.9</v>
      </c>
      <c r="G69" s="4">
        <v>43144</v>
      </c>
      <c r="H69" s="4">
        <f t="shared" si="10"/>
        <v>45647</v>
      </c>
      <c r="I69" s="60" t="str">
        <f>+VLOOKUP(A69,'[1]BDD-Avk Tx'!B:BZ,77,0)</f>
        <v>CDI</v>
      </c>
      <c r="J69" s="4">
        <f t="shared" si="11"/>
        <v>45647</v>
      </c>
      <c r="N69" s="3"/>
      <c r="P69" s="54">
        <f t="shared" si="22"/>
        <v>7.833333333333333</v>
      </c>
      <c r="Q69" s="61">
        <v>1.5</v>
      </c>
      <c r="R69" s="62">
        <f t="shared" si="23"/>
        <v>19</v>
      </c>
      <c r="S69" s="54">
        <f t="shared" si="36"/>
        <v>1.5</v>
      </c>
      <c r="T69" s="54">
        <f t="shared" si="36"/>
        <v>1.5</v>
      </c>
      <c r="U69" s="54">
        <f t="shared" si="36"/>
        <v>2.5</v>
      </c>
      <c r="V69" s="54">
        <f t="shared" si="36"/>
        <v>1.5</v>
      </c>
      <c r="W69" s="54">
        <f t="shared" si="36"/>
        <v>1.5</v>
      </c>
      <c r="X69" s="54">
        <f t="shared" si="36"/>
        <v>1.5</v>
      </c>
      <c r="Y69" s="54">
        <f t="shared" si="36"/>
        <v>1.5</v>
      </c>
      <c r="Z69" s="54">
        <f t="shared" si="36"/>
        <v>1.5</v>
      </c>
      <c r="AA69" s="54">
        <f t="shared" si="36"/>
        <v>1.5</v>
      </c>
      <c r="AB69" s="54">
        <f t="shared" si="36"/>
        <v>1.5</v>
      </c>
      <c r="AC69" s="54">
        <f t="shared" si="36"/>
        <v>1.5</v>
      </c>
      <c r="AD69" s="54">
        <f t="shared" si="36"/>
        <v>1.5</v>
      </c>
      <c r="AF69" s="62">
        <f t="shared" si="13"/>
        <v>19</v>
      </c>
      <c r="AG69" s="64">
        <v>0</v>
      </c>
      <c r="AH69" s="64">
        <v>5</v>
      </c>
      <c r="AI69" s="65">
        <v>14</v>
      </c>
      <c r="AJ69" s="66"/>
      <c r="AK69" s="64"/>
      <c r="AL69" s="64"/>
      <c r="AM69" s="64"/>
      <c r="AN69" s="64"/>
      <c r="AO69" s="64"/>
      <c r="AP69" s="64"/>
      <c r="AQ69" s="64"/>
      <c r="AR69" s="64"/>
      <c r="AS69" s="67">
        <f t="shared" si="14"/>
        <v>1.5</v>
      </c>
      <c r="AT69" s="68"/>
      <c r="AU69" s="69">
        <v>16.176923076922975</v>
      </c>
      <c r="AV69" s="62">
        <f t="shared" si="40"/>
        <v>126.34999999999997</v>
      </c>
      <c r="AW69" s="54">
        <f t="shared" si="42"/>
        <v>9.9750000000000014</v>
      </c>
      <c r="AX69" s="54">
        <f t="shared" si="42"/>
        <v>9.9750000000000014</v>
      </c>
      <c r="AY69" s="54">
        <f t="shared" si="42"/>
        <v>16.625</v>
      </c>
      <c r="AZ69" s="54">
        <f t="shared" si="41"/>
        <v>9.9750000000000014</v>
      </c>
      <c r="BA69" s="54">
        <f t="shared" si="41"/>
        <v>9.9750000000000014</v>
      </c>
      <c r="BB69" s="54">
        <f t="shared" si="41"/>
        <v>9.9750000000000014</v>
      </c>
      <c r="BC69" s="54">
        <f t="shared" si="41"/>
        <v>9.9750000000000014</v>
      </c>
      <c r="BD69" s="54">
        <f t="shared" si="41"/>
        <v>9.9750000000000014</v>
      </c>
      <c r="BE69" s="54">
        <f t="shared" si="41"/>
        <v>9.9750000000000014</v>
      </c>
      <c r="BF69" s="54">
        <f t="shared" si="41"/>
        <v>9.9750000000000014</v>
      </c>
      <c r="BG69" s="54">
        <f t="shared" si="41"/>
        <v>9.9750000000000014</v>
      </c>
      <c r="BH69" s="54">
        <f t="shared" si="41"/>
        <v>9.9750000000000014</v>
      </c>
      <c r="BI69" s="62">
        <f t="shared" si="37"/>
        <v>-126.35000000000001</v>
      </c>
      <c r="BJ69" s="59">
        <f t="shared" si="38"/>
        <v>0</v>
      </c>
      <c r="BK69" s="59">
        <f t="shared" si="38"/>
        <v>-33.25</v>
      </c>
      <c r="BL69" s="59">
        <f t="shared" si="38"/>
        <v>-93.100000000000009</v>
      </c>
      <c r="BM69" s="59">
        <f t="shared" si="38"/>
        <v>0</v>
      </c>
      <c r="BN69" s="59">
        <f t="shared" si="38"/>
        <v>0</v>
      </c>
      <c r="BO69" s="59">
        <f t="shared" si="38"/>
        <v>0</v>
      </c>
      <c r="BP69" s="59">
        <f t="shared" si="38"/>
        <v>0</v>
      </c>
      <c r="BQ69" s="59">
        <f t="shared" si="38"/>
        <v>0</v>
      </c>
      <c r="BR69" s="59">
        <f t="shared" si="38"/>
        <v>0</v>
      </c>
      <c r="BS69" s="59">
        <f t="shared" si="38"/>
        <v>0</v>
      </c>
      <c r="BT69" s="59">
        <f t="shared" si="38"/>
        <v>0</v>
      </c>
      <c r="BU69" s="59">
        <f t="shared" si="38"/>
        <v>0</v>
      </c>
      <c r="BV69" s="67">
        <f t="shared" si="18"/>
        <v>16.176923076922932</v>
      </c>
      <c r="BX69" s="54">
        <f t="shared" si="32"/>
        <v>13.649999999999999</v>
      </c>
      <c r="BY69" s="54">
        <f t="shared" si="32"/>
        <v>13.649999999999999</v>
      </c>
      <c r="BZ69" s="54">
        <f t="shared" si="32"/>
        <v>22.75</v>
      </c>
      <c r="CA69" s="54">
        <f t="shared" si="32"/>
        <v>13.649999999999999</v>
      </c>
      <c r="CB69" s="54">
        <f t="shared" si="32"/>
        <v>13.649999999999999</v>
      </c>
      <c r="CC69" s="54">
        <f t="shared" si="32"/>
        <v>13.649999999999999</v>
      </c>
      <c r="CD69" s="54">
        <f t="shared" si="31"/>
        <v>13.649999999999999</v>
      </c>
      <c r="CE69" s="54">
        <f t="shared" si="31"/>
        <v>13.649999999999999</v>
      </c>
      <c r="CF69" s="54">
        <f t="shared" si="31"/>
        <v>13.649999999999999</v>
      </c>
      <c r="CG69" s="54">
        <f t="shared" si="31"/>
        <v>13.649999999999999</v>
      </c>
      <c r="CH69" s="54">
        <f t="shared" si="31"/>
        <v>13.649999999999999</v>
      </c>
      <c r="CI69" s="54">
        <f t="shared" si="31"/>
        <v>13.649999999999999</v>
      </c>
      <c r="CJ69" s="74">
        <f t="shared" si="39"/>
        <v>172.90000000000003</v>
      </c>
      <c r="CK69" s="59">
        <f t="shared" si="26"/>
        <v>19</v>
      </c>
      <c r="CL69" s="9">
        <f t="shared" si="28"/>
        <v>0</v>
      </c>
      <c r="CM69" s="71">
        <f t="shared" si="21"/>
        <v>172.9</v>
      </c>
      <c r="CN69" s="54"/>
      <c r="CO69" s="73"/>
      <c r="CP69" s="56"/>
    </row>
    <row r="70" spans="1:94" ht="20.25" customHeight="1">
      <c r="A70" s="1" t="s">
        <v>207</v>
      </c>
      <c r="B70" s="1" t="s">
        <v>208</v>
      </c>
      <c r="C70" s="1" t="s">
        <v>209</v>
      </c>
      <c r="D70" s="58">
        <f>+VLOOKUP(A70,'[1]BDD-Avk Tx'!B:CE,82,0)</f>
        <v>660</v>
      </c>
      <c r="E70" s="59">
        <v>548.6</v>
      </c>
      <c r="G70" s="4">
        <v>42426</v>
      </c>
      <c r="H70" s="4">
        <f t="shared" si="10"/>
        <v>45647</v>
      </c>
      <c r="I70" s="60" t="str">
        <f>+VLOOKUP(A70,'[1]BDD-Avk Tx'!B:BZ,77,0)</f>
        <v>CDI</v>
      </c>
      <c r="J70" s="4">
        <f t="shared" si="11"/>
        <v>45647</v>
      </c>
      <c r="N70" s="3"/>
      <c r="P70" s="54">
        <f t="shared" si="22"/>
        <v>9.75</v>
      </c>
      <c r="Q70" s="61">
        <v>1</v>
      </c>
      <c r="R70" s="62">
        <f t="shared" si="23"/>
        <v>19</v>
      </c>
      <c r="S70" s="54">
        <f t="shared" si="36"/>
        <v>1.5</v>
      </c>
      <c r="T70" s="54">
        <f t="shared" si="36"/>
        <v>1.5</v>
      </c>
      <c r="U70" s="54">
        <f t="shared" si="36"/>
        <v>2.5</v>
      </c>
      <c r="V70" s="54">
        <f t="shared" si="36"/>
        <v>1.5</v>
      </c>
      <c r="W70" s="54">
        <f t="shared" si="36"/>
        <v>1.5</v>
      </c>
      <c r="X70" s="54">
        <f t="shared" si="36"/>
        <v>1.5</v>
      </c>
      <c r="Y70" s="54">
        <f t="shared" si="36"/>
        <v>1.5</v>
      </c>
      <c r="Z70" s="54">
        <f t="shared" si="36"/>
        <v>1.5</v>
      </c>
      <c r="AA70" s="54">
        <f t="shared" si="36"/>
        <v>1.5</v>
      </c>
      <c r="AB70" s="54">
        <f t="shared" si="36"/>
        <v>1.5</v>
      </c>
      <c r="AC70" s="54">
        <f t="shared" si="36"/>
        <v>1.5</v>
      </c>
      <c r="AD70" s="54">
        <f t="shared" si="36"/>
        <v>1.5</v>
      </c>
      <c r="AF70" s="62">
        <f t="shared" si="13"/>
        <v>4</v>
      </c>
      <c r="AG70" s="64">
        <v>0</v>
      </c>
      <c r="AH70" s="64">
        <v>0</v>
      </c>
      <c r="AI70" s="65">
        <v>4</v>
      </c>
      <c r="AJ70" s="66"/>
      <c r="AK70" s="64"/>
      <c r="AL70" s="64"/>
      <c r="AM70" s="64"/>
      <c r="AN70" s="64"/>
      <c r="AO70" s="64"/>
      <c r="AP70" s="64"/>
      <c r="AQ70" s="64"/>
      <c r="AR70" s="64"/>
      <c r="AS70" s="67">
        <f t="shared" si="14"/>
        <v>16</v>
      </c>
      <c r="AT70" s="68"/>
      <c r="AU70" s="69">
        <v>-33.915384615385165</v>
      </c>
      <c r="AV70" s="62">
        <f t="shared" si="40"/>
        <v>400.89999999999992</v>
      </c>
      <c r="AW70" s="54">
        <f t="shared" si="42"/>
        <v>31.650000000000002</v>
      </c>
      <c r="AX70" s="54">
        <f t="shared" si="42"/>
        <v>31.650000000000002</v>
      </c>
      <c r="AY70" s="54">
        <f t="shared" si="42"/>
        <v>52.75</v>
      </c>
      <c r="AZ70" s="54">
        <f t="shared" si="41"/>
        <v>31.650000000000002</v>
      </c>
      <c r="BA70" s="54">
        <f t="shared" si="41"/>
        <v>31.650000000000002</v>
      </c>
      <c r="BB70" s="54">
        <f t="shared" si="41"/>
        <v>31.650000000000002</v>
      </c>
      <c r="BC70" s="54">
        <f t="shared" si="41"/>
        <v>31.650000000000002</v>
      </c>
      <c r="BD70" s="54">
        <f t="shared" si="41"/>
        <v>31.650000000000002</v>
      </c>
      <c r="BE70" s="54">
        <f t="shared" si="41"/>
        <v>31.650000000000002</v>
      </c>
      <c r="BF70" s="54">
        <f t="shared" si="41"/>
        <v>31.650000000000002</v>
      </c>
      <c r="BG70" s="54">
        <f t="shared" si="41"/>
        <v>31.650000000000002</v>
      </c>
      <c r="BH70" s="54">
        <f t="shared" si="41"/>
        <v>31.650000000000002</v>
      </c>
      <c r="BI70" s="62">
        <f t="shared" si="37"/>
        <v>-84.4</v>
      </c>
      <c r="BJ70" s="59">
        <f t="shared" si="38"/>
        <v>0</v>
      </c>
      <c r="BK70" s="59">
        <f t="shared" si="38"/>
        <v>0</v>
      </c>
      <c r="BL70" s="59">
        <f t="shared" si="38"/>
        <v>-84.4</v>
      </c>
      <c r="BM70" s="59">
        <f t="shared" si="38"/>
        <v>0</v>
      </c>
      <c r="BN70" s="59">
        <f t="shared" si="38"/>
        <v>0</v>
      </c>
      <c r="BO70" s="59">
        <f t="shared" si="38"/>
        <v>0</v>
      </c>
      <c r="BP70" s="59">
        <f t="shared" si="38"/>
        <v>0</v>
      </c>
      <c r="BQ70" s="59">
        <f t="shared" si="38"/>
        <v>0</v>
      </c>
      <c r="BR70" s="59">
        <f t="shared" si="38"/>
        <v>0</v>
      </c>
      <c r="BS70" s="59">
        <f t="shared" si="38"/>
        <v>0</v>
      </c>
      <c r="BT70" s="59">
        <f t="shared" si="38"/>
        <v>0</v>
      </c>
      <c r="BU70" s="59">
        <f t="shared" si="38"/>
        <v>0</v>
      </c>
      <c r="BV70" s="67">
        <f t="shared" si="18"/>
        <v>282.58461538461472</v>
      </c>
      <c r="BX70" s="54">
        <f t="shared" si="32"/>
        <v>43.310526315789474</v>
      </c>
      <c r="BY70" s="54">
        <f t="shared" si="32"/>
        <v>43.310526315789474</v>
      </c>
      <c r="BZ70" s="54">
        <f t="shared" si="32"/>
        <v>72.184210526315795</v>
      </c>
      <c r="CA70" s="54">
        <f t="shared" si="32"/>
        <v>43.310526315789474</v>
      </c>
      <c r="CB70" s="54">
        <f t="shared" si="32"/>
        <v>43.310526315789474</v>
      </c>
      <c r="CC70" s="54">
        <f t="shared" si="32"/>
        <v>43.310526315789474</v>
      </c>
      <c r="CD70" s="54">
        <f t="shared" si="31"/>
        <v>43.310526315789474</v>
      </c>
      <c r="CE70" s="54">
        <f t="shared" si="31"/>
        <v>43.310526315789474</v>
      </c>
      <c r="CF70" s="54">
        <f t="shared" si="31"/>
        <v>43.310526315789474</v>
      </c>
      <c r="CG70" s="54">
        <f t="shared" si="31"/>
        <v>43.310526315789474</v>
      </c>
      <c r="CH70" s="54">
        <f t="shared" si="31"/>
        <v>43.310526315789474</v>
      </c>
      <c r="CI70" s="54">
        <f t="shared" si="31"/>
        <v>43.310526315789474</v>
      </c>
      <c r="CJ70" s="74">
        <f t="shared" si="39"/>
        <v>548.60000000000014</v>
      </c>
      <c r="CK70" s="59">
        <f t="shared" si="26"/>
        <v>19</v>
      </c>
      <c r="CL70" s="9">
        <f t="shared" si="28"/>
        <v>0</v>
      </c>
      <c r="CM70" s="71">
        <f t="shared" si="21"/>
        <v>548.6</v>
      </c>
      <c r="CN70" s="72"/>
      <c r="CO70" s="73"/>
    </row>
    <row r="71" spans="1:94" ht="20.25" customHeight="1">
      <c r="A71" s="75" t="s">
        <v>210</v>
      </c>
      <c r="B71" s="1" t="s">
        <v>211</v>
      </c>
      <c r="C71" s="1" t="s">
        <v>212</v>
      </c>
      <c r="D71" s="58">
        <f>+VLOOKUP(A71,'[1]BDD-Avk Tx'!B:CE,82,0)</f>
        <v>281</v>
      </c>
      <c r="E71" s="59">
        <v>200.2</v>
      </c>
      <c r="G71" s="4">
        <v>41153</v>
      </c>
      <c r="H71" s="4">
        <f t="shared" si="10"/>
        <v>45647</v>
      </c>
      <c r="I71" s="60" t="str">
        <f>+VLOOKUP(A71,'[1]BDD-Avk Tx'!B:BZ,77,0)</f>
        <v>CDI</v>
      </c>
      <c r="J71" s="4">
        <f t="shared" si="11"/>
        <v>45647</v>
      </c>
      <c r="N71" s="3"/>
      <c r="P71" s="54">
        <f t="shared" si="22"/>
        <v>13.25</v>
      </c>
      <c r="Q71" s="61">
        <v>1</v>
      </c>
      <c r="R71" s="62">
        <f t="shared" si="23"/>
        <v>20</v>
      </c>
      <c r="S71" s="54">
        <f t="shared" si="36"/>
        <v>1.5</v>
      </c>
      <c r="T71" s="54">
        <f t="shared" si="36"/>
        <v>1.5</v>
      </c>
      <c r="U71" s="54">
        <f t="shared" si="36"/>
        <v>1.5</v>
      </c>
      <c r="V71" s="54">
        <f t="shared" si="36"/>
        <v>1.5</v>
      </c>
      <c r="W71" s="54">
        <f t="shared" si="36"/>
        <v>1.5</v>
      </c>
      <c r="X71" s="54">
        <f t="shared" si="36"/>
        <v>1.5</v>
      </c>
      <c r="Y71" s="54">
        <f t="shared" si="36"/>
        <v>1.5</v>
      </c>
      <c r="Z71" s="54">
        <f t="shared" si="36"/>
        <v>1.5</v>
      </c>
      <c r="AA71" s="54">
        <f t="shared" si="36"/>
        <v>1.5</v>
      </c>
      <c r="AB71" s="54">
        <f t="shared" si="36"/>
        <v>3.5</v>
      </c>
      <c r="AC71" s="54">
        <f t="shared" si="36"/>
        <v>1.5</v>
      </c>
      <c r="AD71" s="54">
        <f t="shared" si="36"/>
        <v>1.5</v>
      </c>
      <c r="AF71" s="62">
        <f t="shared" si="13"/>
        <v>0</v>
      </c>
      <c r="AG71" s="64">
        <v>0</v>
      </c>
      <c r="AH71" s="64">
        <v>0</v>
      </c>
      <c r="AI71" s="65">
        <v>0</v>
      </c>
      <c r="AJ71" s="66"/>
      <c r="AK71" s="64"/>
      <c r="AL71" s="64"/>
      <c r="AM71" s="64"/>
      <c r="AN71" s="64"/>
      <c r="AO71" s="64"/>
      <c r="AP71" s="64"/>
      <c r="AQ71" s="64"/>
      <c r="AR71" s="64"/>
      <c r="AS71" s="67">
        <f t="shared" si="14"/>
        <v>21</v>
      </c>
      <c r="AT71" s="68"/>
      <c r="AU71" s="69">
        <v>15.300000000000011</v>
      </c>
      <c r="AV71" s="62">
        <f t="shared" si="40"/>
        <v>154</v>
      </c>
      <c r="AW71" s="54">
        <f t="shared" si="42"/>
        <v>11.549999999999999</v>
      </c>
      <c r="AX71" s="54">
        <f t="shared" si="42"/>
        <v>11.549999999999999</v>
      </c>
      <c r="AY71" s="54">
        <f t="shared" si="42"/>
        <v>11.549999999999999</v>
      </c>
      <c r="AZ71" s="54">
        <f t="shared" si="41"/>
        <v>11.549999999999999</v>
      </c>
      <c r="BA71" s="54">
        <f t="shared" si="41"/>
        <v>11.549999999999999</v>
      </c>
      <c r="BB71" s="54">
        <f t="shared" si="41"/>
        <v>11.549999999999999</v>
      </c>
      <c r="BC71" s="54">
        <f t="shared" si="41"/>
        <v>11.549999999999999</v>
      </c>
      <c r="BD71" s="54">
        <f t="shared" si="41"/>
        <v>11.549999999999999</v>
      </c>
      <c r="BE71" s="54">
        <f t="shared" si="41"/>
        <v>11.549999999999999</v>
      </c>
      <c r="BF71" s="54">
        <f t="shared" si="41"/>
        <v>26.949999999999996</v>
      </c>
      <c r="BG71" s="54">
        <f t="shared" si="41"/>
        <v>11.549999999999999</v>
      </c>
      <c r="BH71" s="54">
        <f t="shared" si="41"/>
        <v>11.549999999999999</v>
      </c>
      <c r="BI71" s="62">
        <f t="shared" si="37"/>
        <v>0</v>
      </c>
      <c r="BJ71" s="59">
        <f t="shared" si="38"/>
        <v>0</v>
      </c>
      <c r="BK71" s="59">
        <f t="shared" si="38"/>
        <v>0</v>
      </c>
      <c r="BL71" s="59">
        <f t="shared" si="38"/>
        <v>0</v>
      </c>
      <c r="BM71" s="59">
        <f t="shared" si="38"/>
        <v>0</v>
      </c>
      <c r="BN71" s="59">
        <f t="shared" si="38"/>
        <v>0</v>
      </c>
      <c r="BO71" s="59">
        <f t="shared" si="38"/>
        <v>0</v>
      </c>
      <c r="BP71" s="59">
        <f t="shared" si="38"/>
        <v>0</v>
      </c>
      <c r="BQ71" s="59">
        <f t="shared" si="38"/>
        <v>0</v>
      </c>
      <c r="BR71" s="59">
        <f t="shared" si="38"/>
        <v>0</v>
      </c>
      <c r="BS71" s="59">
        <f t="shared" si="38"/>
        <v>0</v>
      </c>
      <c r="BT71" s="59">
        <f t="shared" si="38"/>
        <v>0</v>
      </c>
      <c r="BU71" s="59">
        <f t="shared" si="38"/>
        <v>0</v>
      </c>
      <c r="BV71" s="67">
        <f t="shared" si="18"/>
        <v>169.3</v>
      </c>
      <c r="BX71" s="54">
        <f t="shared" si="32"/>
        <v>15.015000000000001</v>
      </c>
      <c r="BY71" s="54">
        <f t="shared" si="32"/>
        <v>15.015000000000001</v>
      </c>
      <c r="BZ71" s="54">
        <f t="shared" si="32"/>
        <v>15.015000000000001</v>
      </c>
      <c r="CA71" s="54">
        <f t="shared" si="32"/>
        <v>15.015000000000001</v>
      </c>
      <c r="CB71" s="54">
        <f t="shared" si="32"/>
        <v>15.015000000000001</v>
      </c>
      <c r="CC71" s="54">
        <f t="shared" si="32"/>
        <v>15.015000000000001</v>
      </c>
      <c r="CD71" s="54">
        <f t="shared" si="31"/>
        <v>15.015000000000001</v>
      </c>
      <c r="CE71" s="54">
        <f t="shared" si="31"/>
        <v>15.015000000000001</v>
      </c>
      <c r="CF71" s="54">
        <f t="shared" si="31"/>
        <v>15.015000000000001</v>
      </c>
      <c r="CG71" s="54">
        <f t="shared" ref="CG71:CI131" si="43">+IF(AND($J71&gt;CG$5,MONTH($J71&lt;&gt;CG$5)),0,+IF(AND($J71&gt;CG$5,MONTH($J71=CG$5)),$E71/$R71*DAY($J71),IF(AND($O71&lt;&gt;"",$O71&lt;CG$5),0,IF($K71="",$E71/$R71*AB71,IF(MONTH($K71)=MONTH(CG$5),$L71/$R71*AB71,IF(AND($K71&lt;CG$5,(MONTH($K71)&lt;&gt;MONTH(CG$5))),$L71/$R71*AB71,$E71/$R71*AB71))))))</f>
        <v>35.034999999999997</v>
      </c>
      <c r="CH71" s="54">
        <f t="shared" si="43"/>
        <v>15.015000000000001</v>
      </c>
      <c r="CI71" s="54">
        <f t="shared" si="43"/>
        <v>15.015000000000001</v>
      </c>
      <c r="CJ71" s="74">
        <f t="shared" si="39"/>
        <v>200.2</v>
      </c>
      <c r="CK71" s="59">
        <f t="shared" si="26"/>
        <v>20</v>
      </c>
      <c r="CL71" s="9">
        <f t="shared" si="28"/>
        <v>0</v>
      </c>
      <c r="CM71" s="71">
        <f t="shared" si="21"/>
        <v>200.2</v>
      </c>
      <c r="CN71" s="54"/>
      <c r="CO71" s="73"/>
      <c r="CP71" s="56"/>
    </row>
    <row r="72" spans="1:94" ht="20.25" customHeight="1">
      <c r="A72" s="1" t="s">
        <v>213</v>
      </c>
      <c r="B72" s="1" t="s">
        <v>214</v>
      </c>
      <c r="C72" s="1" t="s">
        <v>212</v>
      </c>
      <c r="D72" s="58">
        <f>+VLOOKUP(A72,'[1]BDD-Avk Tx'!B:CE,82,0)</f>
        <v>971</v>
      </c>
      <c r="E72" s="59">
        <v>200.2</v>
      </c>
      <c r="G72" s="4">
        <v>41153</v>
      </c>
      <c r="H72" s="4">
        <f t="shared" ref="H72:H135" si="44">+IF(YEAR(G72)&lt;YEAR($H$5),$H$4,G72)</f>
        <v>45647</v>
      </c>
      <c r="I72" s="60" t="str">
        <f>+VLOOKUP(A72,'[1]BDD-Avk Tx'!B:BZ,77,0)</f>
        <v>CDI</v>
      </c>
      <c r="J72" s="4">
        <f t="shared" ref="J72:J135" si="45">+IF(I72="CDI",H72,H72+0)</f>
        <v>45647</v>
      </c>
      <c r="N72" s="3"/>
      <c r="P72" s="54">
        <f t="shared" si="22"/>
        <v>13.25</v>
      </c>
      <c r="Q72" s="61">
        <v>0</v>
      </c>
      <c r="R72" s="62">
        <f t="shared" si="23"/>
        <v>20</v>
      </c>
      <c r="S72" s="54">
        <f t="shared" si="36"/>
        <v>1.5</v>
      </c>
      <c r="T72" s="54">
        <f t="shared" si="36"/>
        <v>1.5</v>
      </c>
      <c r="U72" s="54">
        <f t="shared" si="36"/>
        <v>1.5</v>
      </c>
      <c r="V72" s="54">
        <f t="shared" si="36"/>
        <v>1.5</v>
      </c>
      <c r="W72" s="54">
        <f t="shared" si="36"/>
        <v>1.5</v>
      </c>
      <c r="X72" s="54">
        <f t="shared" si="36"/>
        <v>1.5</v>
      </c>
      <c r="Y72" s="54">
        <f t="shared" si="36"/>
        <v>1.5</v>
      </c>
      <c r="Z72" s="54">
        <f t="shared" si="36"/>
        <v>1.5</v>
      </c>
      <c r="AA72" s="54">
        <f t="shared" si="36"/>
        <v>1.5</v>
      </c>
      <c r="AB72" s="54">
        <f t="shared" si="36"/>
        <v>3.5</v>
      </c>
      <c r="AC72" s="54">
        <f t="shared" si="36"/>
        <v>1.5</v>
      </c>
      <c r="AD72" s="54">
        <f t="shared" si="36"/>
        <v>1.5</v>
      </c>
      <c r="AF72" s="62">
        <f t="shared" ref="AF72:AF130" si="46">SUM(AG72:AR72)</f>
        <v>0</v>
      </c>
      <c r="AG72" s="64">
        <v>0</v>
      </c>
      <c r="AH72" s="64">
        <v>0</v>
      </c>
      <c r="AI72" s="65">
        <v>0</v>
      </c>
      <c r="AJ72" s="66"/>
      <c r="AK72" s="64"/>
      <c r="AL72" s="64"/>
      <c r="AM72" s="64"/>
      <c r="AN72" s="64"/>
      <c r="AO72" s="64"/>
      <c r="AP72" s="64"/>
      <c r="AQ72" s="64"/>
      <c r="AR72" s="64"/>
      <c r="AS72" s="67">
        <f t="shared" ref="AS72:AS135" si="47">+Q72+R72-AF72</f>
        <v>20</v>
      </c>
      <c r="AT72" s="68"/>
      <c r="AU72" s="69">
        <v>-4.0923076923077133</v>
      </c>
      <c r="AV72" s="62">
        <f t="shared" si="40"/>
        <v>154</v>
      </c>
      <c r="AW72" s="54">
        <f t="shared" si="42"/>
        <v>11.549999999999999</v>
      </c>
      <c r="AX72" s="54">
        <f t="shared" si="42"/>
        <v>11.549999999999999</v>
      </c>
      <c r="AY72" s="54">
        <f t="shared" si="42"/>
        <v>11.549999999999999</v>
      </c>
      <c r="AZ72" s="54">
        <f t="shared" si="41"/>
        <v>11.549999999999999</v>
      </c>
      <c r="BA72" s="54">
        <f t="shared" si="41"/>
        <v>11.549999999999999</v>
      </c>
      <c r="BB72" s="54">
        <f t="shared" si="41"/>
        <v>11.549999999999999</v>
      </c>
      <c r="BC72" s="54">
        <f t="shared" si="41"/>
        <v>11.549999999999999</v>
      </c>
      <c r="BD72" s="54">
        <f t="shared" si="41"/>
        <v>11.549999999999999</v>
      </c>
      <c r="BE72" s="54">
        <f t="shared" si="41"/>
        <v>11.549999999999999</v>
      </c>
      <c r="BF72" s="54">
        <f t="shared" si="41"/>
        <v>26.949999999999996</v>
      </c>
      <c r="BG72" s="54">
        <f t="shared" si="41"/>
        <v>11.549999999999999</v>
      </c>
      <c r="BH72" s="54">
        <f t="shared" si="41"/>
        <v>11.549999999999999</v>
      </c>
      <c r="BI72" s="62">
        <f t="shared" si="37"/>
        <v>0</v>
      </c>
      <c r="BJ72" s="59">
        <f t="shared" si="38"/>
        <v>0</v>
      </c>
      <c r="BK72" s="59">
        <f t="shared" si="38"/>
        <v>0</v>
      </c>
      <c r="BL72" s="59">
        <f t="shared" si="38"/>
        <v>0</v>
      </c>
      <c r="BM72" s="59">
        <f t="shared" si="38"/>
        <v>0</v>
      </c>
      <c r="BN72" s="59">
        <f t="shared" si="38"/>
        <v>0</v>
      </c>
      <c r="BO72" s="59">
        <f t="shared" si="38"/>
        <v>0</v>
      </c>
      <c r="BP72" s="59">
        <f t="shared" si="38"/>
        <v>0</v>
      </c>
      <c r="BQ72" s="59">
        <f t="shared" si="38"/>
        <v>0</v>
      </c>
      <c r="BR72" s="59">
        <f t="shared" si="38"/>
        <v>0</v>
      </c>
      <c r="BS72" s="59">
        <f t="shared" si="38"/>
        <v>0</v>
      </c>
      <c r="BT72" s="59">
        <f t="shared" si="38"/>
        <v>0</v>
      </c>
      <c r="BU72" s="59">
        <f t="shared" si="38"/>
        <v>0</v>
      </c>
      <c r="BV72" s="67">
        <f t="shared" ref="BV72:BV135" si="48">+AU72+AV72+BI72</f>
        <v>149.90769230769229</v>
      </c>
      <c r="BX72" s="54">
        <f t="shared" si="32"/>
        <v>15.015000000000001</v>
      </c>
      <c r="BY72" s="54">
        <f t="shared" si="32"/>
        <v>15.015000000000001</v>
      </c>
      <c r="BZ72" s="54">
        <f t="shared" si="32"/>
        <v>15.015000000000001</v>
      </c>
      <c r="CA72" s="54">
        <f t="shared" ref="CA72:CF132" si="49">+IF(AND($J72&gt;CA$5,MONTH($J72&lt;&gt;CA$5)),0,+IF(AND($J72&gt;CA$5,MONTH($J72=CA$5)),$E72/$R72*DAY($J72),IF(AND($O72&lt;&gt;"",$O72&lt;CA$5),0,IF($K72="",$E72/$R72*V72,IF(MONTH($K72)=MONTH(CA$5),$L72/$R72*V72,IF(AND($K72&lt;CA$5,(MONTH($K72)&lt;&gt;MONTH(CA$5))),$L72/$R72*V72,$E72/$R72*V72))))))</f>
        <v>15.015000000000001</v>
      </c>
      <c r="CB72" s="54">
        <f t="shared" si="49"/>
        <v>15.015000000000001</v>
      </c>
      <c r="CC72" s="54">
        <f t="shared" si="49"/>
        <v>15.015000000000001</v>
      </c>
      <c r="CD72" s="54">
        <f t="shared" si="49"/>
        <v>15.015000000000001</v>
      </c>
      <c r="CE72" s="54">
        <f t="shared" si="49"/>
        <v>15.015000000000001</v>
      </c>
      <c r="CF72" s="54">
        <f t="shared" si="49"/>
        <v>15.015000000000001</v>
      </c>
      <c r="CG72" s="54">
        <f t="shared" si="43"/>
        <v>35.034999999999997</v>
      </c>
      <c r="CH72" s="54">
        <f t="shared" si="43"/>
        <v>15.015000000000001</v>
      </c>
      <c r="CI72" s="54">
        <f t="shared" si="43"/>
        <v>15.015000000000001</v>
      </c>
      <c r="CJ72" s="74">
        <f t="shared" si="39"/>
        <v>200.2</v>
      </c>
      <c r="CK72" s="59">
        <f t="shared" si="26"/>
        <v>20</v>
      </c>
      <c r="CL72" s="9">
        <f t="shared" si="28"/>
        <v>0</v>
      </c>
      <c r="CM72" s="71">
        <f t="shared" ref="CM72:CM135" si="50">IF(L72=0,E72,(L72-E72+E72))</f>
        <v>200.2</v>
      </c>
      <c r="CN72" s="72"/>
      <c r="CO72" s="73"/>
    </row>
    <row r="73" spans="1:94" ht="20.25" customHeight="1">
      <c r="A73" s="75" t="s">
        <v>215</v>
      </c>
      <c r="B73" s="1" t="s">
        <v>216</v>
      </c>
      <c r="C73" s="1" t="s">
        <v>217</v>
      </c>
      <c r="D73" s="58">
        <f>+VLOOKUP(A73,'[1]BDD-Avk Tx'!B:CE,82,0)</f>
        <v>971</v>
      </c>
      <c r="E73" s="59">
        <v>200.2</v>
      </c>
      <c r="G73" s="4">
        <v>41232</v>
      </c>
      <c r="H73" s="4">
        <f t="shared" si="44"/>
        <v>45647</v>
      </c>
      <c r="I73" s="60" t="str">
        <f>+VLOOKUP(A73,'[1]BDD-Avk Tx'!B:BZ,77,0)</f>
        <v>CDI</v>
      </c>
      <c r="J73" s="4">
        <f t="shared" si="45"/>
        <v>45647</v>
      </c>
      <c r="N73" s="3"/>
      <c r="P73" s="54">
        <f t="shared" ref="P73:P136" si="51">DATEDIF(G73,$AD$6,"m")/12</f>
        <v>13.083333333333334</v>
      </c>
      <c r="Q73" s="61">
        <v>23</v>
      </c>
      <c r="R73" s="62">
        <f t="shared" ref="R73:R136" si="52">SUM(S73:AD73)</f>
        <v>20</v>
      </c>
      <c r="S73" s="54">
        <f t="shared" si="36"/>
        <v>1.5</v>
      </c>
      <c r="T73" s="54">
        <f t="shared" si="36"/>
        <v>1.5</v>
      </c>
      <c r="U73" s="54">
        <f t="shared" si="36"/>
        <v>1.5</v>
      </c>
      <c r="V73" s="54">
        <f t="shared" si="36"/>
        <v>1.5</v>
      </c>
      <c r="W73" s="54">
        <f t="shared" si="36"/>
        <v>1.5</v>
      </c>
      <c r="X73" s="54">
        <f t="shared" si="36"/>
        <v>1.5</v>
      </c>
      <c r="Y73" s="54">
        <f t="shared" si="36"/>
        <v>1.5</v>
      </c>
      <c r="Z73" s="54">
        <f t="shared" si="36"/>
        <v>1.5</v>
      </c>
      <c r="AA73" s="54">
        <f t="shared" si="36"/>
        <v>1.5</v>
      </c>
      <c r="AB73" s="54">
        <f t="shared" si="36"/>
        <v>1.5</v>
      </c>
      <c r="AC73" s="54">
        <f t="shared" si="36"/>
        <v>1.5</v>
      </c>
      <c r="AD73" s="54">
        <f t="shared" si="36"/>
        <v>3.5</v>
      </c>
      <c r="AF73" s="62">
        <f t="shared" si="46"/>
        <v>20</v>
      </c>
      <c r="AG73" s="64">
        <v>20</v>
      </c>
      <c r="AH73" s="64">
        <v>0</v>
      </c>
      <c r="AI73" s="65">
        <v>0</v>
      </c>
      <c r="AJ73" s="66"/>
      <c r="AK73" s="64"/>
      <c r="AL73" s="64"/>
      <c r="AM73" s="64"/>
      <c r="AN73" s="64"/>
      <c r="AO73" s="64"/>
      <c r="AP73" s="64"/>
      <c r="AQ73" s="64"/>
      <c r="AR73" s="64"/>
      <c r="AS73" s="67">
        <f t="shared" si="47"/>
        <v>23</v>
      </c>
      <c r="AT73" s="68"/>
      <c r="AU73" s="69">
        <v>106.53076923076918</v>
      </c>
      <c r="AV73" s="62">
        <f t="shared" si="40"/>
        <v>153.99999999999997</v>
      </c>
      <c r="AW73" s="54">
        <f t="shared" si="42"/>
        <v>11.549999999999999</v>
      </c>
      <c r="AX73" s="54">
        <f t="shared" si="42"/>
        <v>11.549999999999999</v>
      </c>
      <c r="AY73" s="54">
        <f t="shared" si="42"/>
        <v>11.549999999999999</v>
      </c>
      <c r="AZ73" s="54">
        <f t="shared" si="41"/>
        <v>11.549999999999999</v>
      </c>
      <c r="BA73" s="54">
        <f t="shared" si="41"/>
        <v>11.549999999999999</v>
      </c>
      <c r="BB73" s="54">
        <f t="shared" si="41"/>
        <v>11.549999999999999</v>
      </c>
      <c r="BC73" s="54">
        <f t="shared" si="41"/>
        <v>11.549999999999999</v>
      </c>
      <c r="BD73" s="54">
        <f t="shared" si="41"/>
        <v>11.549999999999999</v>
      </c>
      <c r="BE73" s="54">
        <f t="shared" si="41"/>
        <v>11.549999999999999</v>
      </c>
      <c r="BF73" s="54">
        <f t="shared" si="41"/>
        <v>11.549999999999999</v>
      </c>
      <c r="BG73" s="54">
        <f t="shared" si="41"/>
        <v>11.549999999999999</v>
      </c>
      <c r="BH73" s="54">
        <f t="shared" si="41"/>
        <v>26.949999999999996</v>
      </c>
      <c r="BI73" s="62">
        <f t="shared" si="37"/>
        <v>-154</v>
      </c>
      <c r="BJ73" s="59">
        <f t="shared" si="38"/>
        <v>-154</v>
      </c>
      <c r="BK73" s="59">
        <f t="shared" si="38"/>
        <v>0</v>
      </c>
      <c r="BL73" s="59">
        <f t="shared" si="38"/>
        <v>0</v>
      </c>
      <c r="BM73" s="59">
        <f t="shared" si="38"/>
        <v>0</v>
      </c>
      <c r="BN73" s="59">
        <f t="shared" si="38"/>
        <v>0</v>
      </c>
      <c r="BO73" s="59">
        <f t="shared" si="38"/>
        <v>0</v>
      </c>
      <c r="BP73" s="59">
        <f t="shared" si="38"/>
        <v>0</v>
      </c>
      <c r="BQ73" s="59">
        <f t="shared" si="38"/>
        <v>0</v>
      </c>
      <c r="BR73" s="59">
        <f t="shared" si="38"/>
        <v>0</v>
      </c>
      <c r="BS73" s="59">
        <f t="shared" si="38"/>
        <v>0</v>
      </c>
      <c r="BT73" s="59">
        <f t="shared" si="38"/>
        <v>0</v>
      </c>
      <c r="BU73" s="59">
        <f t="shared" si="38"/>
        <v>0</v>
      </c>
      <c r="BV73" s="67">
        <f t="shared" si="48"/>
        <v>106.53076923076912</v>
      </c>
      <c r="BX73" s="54">
        <f t="shared" ref="BX73:CC135" si="53">+IF(AND($J73&gt;BX$5,MONTH($J73&lt;&gt;BX$5)),0,+IF(AND($J73&gt;BX$5,MONTH($J73=BX$5)),$E73/$R73*DAY($J73),IF(AND($O73&lt;&gt;"",$O73&lt;BX$5),0,IF($K73="",$E73/$R73*S73,IF(MONTH($K73)=MONTH(BX$5),$L73/$R73*S73,IF(AND($K73&lt;BX$5,(MONTH($K73)&lt;&gt;MONTH(BX$5))),$L73/$R73*S73,$E73/$R73*S73))))))</f>
        <v>15.015000000000001</v>
      </c>
      <c r="BY73" s="54">
        <f t="shared" si="53"/>
        <v>15.015000000000001</v>
      </c>
      <c r="BZ73" s="54">
        <f t="shared" si="53"/>
        <v>15.015000000000001</v>
      </c>
      <c r="CA73" s="54">
        <f t="shared" si="49"/>
        <v>15.015000000000001</v>
      </c>
      <c r="CB73" s="54">
        <f t="shared" si="49"/>
        <v>15.015000000000001</v>
      </c>
      <c r="CC73" s="54">
        <f t="shared" si="49"/>
        <v>15.015000000000001</v>
      </c>
      <c r="CD73" s="54">
        <f t="shared" si="49"/>
        <v>15.015000000000001</v>
      </c>
      <c r="CE73" s="54">
        <f t="shared" si="49"/>
        <v>15.015000000000001</v>
      </c>
      <c r="CF73" s="54">
        <f t="shared" si="49"/>
        <v>15.015000000000001</v>
      </c>
      <c r="CG73" s="54">
        <f t="shared" si="43"/>
        <v>15.015000000000001</v>
      </c>
      <c r="CH73" s="54">
        <f t="shared" si="43"/>
        <v>15.015000000000001</v>
      </c>
      <c r="CI73" s="54">
        <f t="shared" si="43"/>
        <v>35.034999999999997</v>
      </c>
      <c r="CJ73" s="74">
        <f t="shared" si="39"/>
        <v>200.19999999999996</v>
      </c>
      <c r="CK73" s="59">
        <f t="shared" ref="CK73:CK136" si="54">+IF(P73&lt;5,18,IF(AND(P73&gt;=5,P73&lt;10),19,IF(AND(P73&gt;=10,P73&lt;15),20,IF(AND(P73&gt;=15,P73&lt;20),21,0))))</f>
        <v>20</v>
      </c>
      <c r="CL73" s="9">
        <f t="shared" si="28"/>
        <v>0</v>
      </c>
      <c r="CM73" s="71">
        <f t="shared" si="50"/>
        <v>200.2</v>
      </c>
      <c r="CN73" s="54"/>
      <c r="CO73" s="73"/>
      <c r="CP73" s="56"/>
    </row>
    <row r="74" spans="1:94" ht="20.25" customHeight="1">
      <c r="A74" s="1" t="s">
        <v>218</v>
      </c>
      <c r="B74" s="1" t="s">
        <v>219</v>
      </c>
      <c r="C74" s="1" t="s">
        <v>212</v>
      </c>
      <c r="D74" s="58">
        <f>+VLOOKUP(A74,'[1]BDD-Avk Tx'!B:CE,82,0)</f>
        <v>971</v>
      </c>
      <c r="E74" s="59">
        <v>200.2</v>
      </c>
      <c r="G74" s="4">
        <v>41732</v>
      </c>
      <c r="H74" s="4">
        <f t="shared" si="44"/>
        <v>45647</v>
      </c>
      <c r="I74" s="60" t="str">
        <f>+VLOOKUP(A74,'[1]BDD-Avk Tx'!B:BZ,77,0)</f>
        <v>CDI</v>
      </c>
      <c r="J74" s="4">
        <f t="shared" si="45"/>
        <v>45647</v>
      </c>
      <c r="N74" s="3"/>
      <c r="P74" s="54">
        <f t="shared" si="51"/>
        <v>11.666666666666666</v>
      </c>
      <c r="Q74" s="61">
        <v>-1</v>
      </c>
      <c r="R74" s="62">
        <f t="shared" si="52"/>
        <v>20</v>
      </c>
      <c r="S74" s="54">
        <f t="shared" si="36"/>
        <v>1.5</v>
      </c>
      <c r="T74" s="54">
        <f t="shared" si="36"/>
        <v>1.5</v>
      </c>
      <c r="U74" s="54">
        <f t="shared" si="36"/>
        <v>1.5</v>
      </c>
      <c r="V74" s="54">
        <f t="shared" si="36"/>
        <v>1.5</v>
      </c>
      <c r="W74" s="54">
        <f t="shared" si="36"/>
        <v>3.5</v>
      </c>
      <c r="X74" s="54">
        <f t="shared" si="36"/>
        <v>1.5</v>
      </c>
      <c r="Y74" s="54">
        <f t="shared" si="36"/>
        <v>1.5</v>
      </c>
      <c r="Z74" s="54">
        <f t="shared" si="36"/>
        <v>1.5</v>
      </c>
      <c r="AA74" s="54">
        <f t="shared" si="36"/>
        <v>1.5</v>
      </c>
      <c r="AB74" s="54">
        <f t="shared" si="36"/>
        <v>1.5</v>
      </c>
      <c r="AC74" s="54">
        <f t="shared" si="36"/>
        <v>1.5</v>
      </c>
      <c r="AD74" s="54">
        <f t="shared" si="36"/>
        <v>1.5</v>
      </c>
      <c r="AF74" s="62">
        <f t="shared" si="46"/>
        <v>0</v>
      </c>
      <c r="AG74" s="64">
        <v>0</v>
      </c>
      <c r="AH74" s="64">
        <v>0</v>
      </c>
      <c r="AI74" s="65">
        <v>0</v>
      </c>
      <c r="AJ74" s="66"/>
      <c r="AK74" s="64"/>
      <c r="AL74" s="64"/>
      <c r="AM74" s="64"/>
      <c r="AN74" s="64"/>
      <c r="AO74" s="64"/>
      <c r="AP74" s="64"/>
      <c r="AQ74" s="64"/>
      <c r="AR74" s="64"/>
      <c r="AS74" s="67">
        <f t="shared" si="47"/>
        <v>19</v>
      </c>
      <c r="AT74" s="68"/>
      <c r="AU74" s="69">
        <v>-10.623076923076894</v>
      </c>
      <c r="AV74" s="62">
        <f t="shared" si="40"/>
        <v>154</v>
      </c>
      <c r="AW74" s="54">
        <f t="shared" si="42"/>
        <v>11.549999999999999</v>
      </c>
      <c r="AX74" s="54">
        <f t="shared" si="42"/>
        <v>11.549999999999999</v>
      </c>
      <c r="AY74" s="54">
        <f t="shared" si="42"/>
        <v>11.549999999999999</v>
      </c>
      <c r="AZ74" s="54">
        <f t="shared" si="41"/>
        <v>11.549999999999999</v>
      </c>
      <c r="BA74" s="54">
        <f t="shared" si="41"/>
        <v>26.949999999999996</v>
      </c>
      <c r="BB74" s="54">
        <f t="shared" si="41"/>
        <v>11.549999999999999</v>
      </c>
      <c r="BC74" s="54">
        <f t="shared" si="41"/>
        <v>11.549999999999999</v>
      </c>
      <c r="BD74" s="54">
        <f t="shared" si="41"/>
        <v>11.549999999999999</v>
      </c>
      <c r="BE74" s="54">
        <f t="shared" si="41"/>
        <v>11.549999999999999</v>
      </c>
      <c r="BF74" s="54">
        <f t="shared" si="41"/>
        <v>11.549999999999999</v>
      </c>
      <c r="BG74" s="54">
        <f t="shared" si="41"/>
        <v>11.549999999999999</v>
      </c>
      <c r="BH74" s="54">
        <f t="shared" si="41"/>
        <v>11.549999999999999</v>
      </c>
      <c r="BI74" s="62">
        <f t="shared" si="37"/>
        <v>0</v>
      </c>
      <c r="BJ74" s="59">
        <f t="shared" si="38"/>
        <v>0</v>
      </c>
      <c r="BK74" s="59">
        <f t="shared" si="38"/>
        <v>0</v>
      </c>
      <c r="BL74" s="59">
        <f t="shared" si="38"/>
        <v>0</v>
      </c>
      <c r="BM74" s="59">
        <f t="shared" si="38"/>
        <v>0</v>
      </c>
      <c r="BN74" s="59">
        <f t="shared" si="38"/>
        <v>0</v>
      </c>
      <c r="BO74" s="59">
        <f t="shared" si="38"/>
        <v>0</v>
      </c>
      <c r="BP74" s="59">
        <f t="shared" si="38"/>
        <v>0</v>
      </c>
      <c r="BQ74" s="59">
        <f t="shared" si="38"/>
        <v>0</v>
      </c>
      <c r="BR74" s="59">
        <f t="shared" si="38"/>
        <v>0</v>
      </c>
      <c r="BS74" s="59">
        <f t="shared" si="38"/>
        <v>0</v>
      </c>
      <c r="BT74" s="59">
        <f t="shared" si="38"/>
        <v>0</v>
      </c>
      <c r="BU74" s="59">
        <f t="shared" si="38"/>
        <v>0</v>
      </c>
      <c r="BV74" s="67">
        <f t="shared" si="48"/>
        <v>143.37692307692311</v>
      </c>
      <c r="BX74" s="54">
        <f t="shared" si="53"/>
        <v>15.015000000000001</v>
      </c>
      <c r="BY74" s="54">
        <f t="shared" si="53"/>
        <v>15.015000000000001</v>
      </c>
      <c r="BZ74" s="54">
        <f t="shared" si="53"/>
        <v>15.015000000000001</v>
      </c>
      <c r="CA74" s="54">
        <f t="shared" si="49"/>
        <v>15.015000000000001</v>
      </c>
      <c r="CB74" s="54">
        <f t="shared" si="49"/>
        <v>35.034999999999997</v>
      </c>
      <c r="CC74" s="54">
        <f t="shared" si="49"/>
        <v>15.015000000000001</v>
      </c>
      <c r="CD74" s="54">
        <f t="shared" si="49"/>
        <v>15.015000000000001</v>
      </c>
      <c r="CE74" s="54">
        <f t="shared" si="49"/>
        <v>15.015000000000001</v>
      </c>
      <c r="CF74" s="54">
        <f t="shared" si="49"/>
        <v>15.015000000000001</v>
      </c>
      <c r="CG74" s="54">
        <f t="shared" si="43"/>
        <v>15.015000000000001</v>
      </c>
      <c r="CH74" s="54">
        <f t="shared" si="43"/>
        <v>15.015000000000001</v>
      </c>
      <c r="CI74" s="54">
        <f t="shared" si="43"/>
        <v>15.015000000000001</v>
      </c>
      <c r="CJ74" s="74">
        <f t="shared" si="39"/>
        <v>200.19999999999993</v>
      </c>
      <c r="CK74" s="59">
        <f t="shared" si="54"/>
        <v>20</v>
      </c>
      <c r="CL74" s="9">
        <f t="shared" ref="CL74:CL137" si="55">+CM74-CJ74</f>
        <v>0</v>
      </c>
      <c r="CM74" s="71">
        <f t="shared" si="50"/>
        <v>200.2</v>
      </c>
      <c r="CN74" s="72"/>
      <c r="CO74" s="73"/>
    </row>
    <row r="75" spans="1:94" ht="20.25" customHeight="1">
      <c r="A75" s="75" t="s">
        <v>220</v>
      </c>
      <c r="B75" s="1" t="s">
        <v>221</v>
      </c>
      <c r="C75" s="1" t="s">
        <v>181</v>
      </c>
      <c r="D75" s="58">
        <f>+VLOOKUP(A75,'[1]BDD-Avk Tx'!B:CE,82,0)</f>
        <v>160</v>
      </c>
      <c r="E75" s="59">
        <v>172.9</v>
      </c>
      <c r="G75" s="4">
        <v>41317</v>
      </c>
      <c r="H75" s="4">
        <f t="shared" si="44"/>
        <v>45647</v>
      </c>
      <c r="I75" s="60" t="str">
        <f>+VLOOKUP(A75,'[1]BDD-Avk Tx'!B:BZ,77,0)</f>
        <v>CDI</v>
      </c>
      <c r="J75" s="4">
        <f t="shared" si="45"/>
        <v>45647</v>
      </c>
      <c r="N75" s="3"/>
      <c r="P75" s="54">
        <f t="shared" si="51"/>
        <v>12.833333333333334</v>
      </c>
      <c r="Q75" s="61">
        <v>0</v>
      </c>
      <c r="R75" s="62">
        <f t="shared" si="52"/>
        <v>20</v>
      </c>
      <c r="S75" s="54">
        <f t="shared" si="36"/>
        <v>1.5</v>
      </c>
      <c r="T75" s="54">
        <f t="shared" si="36"/>
        <v>1.5</v>
      </c>
      <c r="U75" s="54">
        <f t="shared" si="36"/>
        <v>3.5</v>
      </c>
      <c r="V75" s="54">
        <f t="shared" si="36"/>
        <v>1.5</v>
      </c>
      <c r="W75" s="54">
        <f t="shared" si="36"/>
        <v>1.5</v>
      </c>
      <c r="X75" s="54">
        <f t="shared" si="36"/>
        <v>1.5</v>
      </c>
      <c r="Y75" s="54">
        <f t="shared" si="36"/>
        <v>1.5</v>
      </c>
      <c r="Z75" s="54">
        <f t="shared" si="36"/>
        <v>1.5</v>
      </c>
      <c r="AA75" s="54">
        <f t="shared" si="36"/>
        <v>1.5</v>
      </c>
      <c r="AB75" s="54">
        <f t="shared" si="36"/>
        <v>1.5</v>
      </c>
      <c r="AC75" s="54">
        <f t="shared" si="36"/>
        <v>1.5</v>
      </c>
      <c r="AD75" s="54">
        <f t="shared" si="36"/>
        <v>1.5</v>
      </c>
      <c r="AF75" s="62">
        <f t="shared" si="46"/>
        <v>4</v>
      </c>
      <c r="AG75" s="64">
        <v>0</v>
      </c>
      <c r="AH75" s="64">
        <v>0</v>
      </c>
      <c r="AI75" s="65">
        <v>4</v>
      </c>
      <c r="AJ75" s="66"/>
      <c r="AK75" s="64"/>
      <c r="AL75" s="64"/>
      <c r="AM75" s="64"/>
      <c r="AN75" s="64"/>
      <c r="AO75" s="64"/>
      <c r="AP75" s="64"/>
      <c r="AQ75" s="64"/>
      <c r="AR75" s="64"/>
      <c r="AS75" s="67">
        <f t="shared" si="47"/>
        <v>16</v>
      </c>
      <c r="AT75" s="68"/>
      <c r="AU75" s="69">
        <v>-2.1403846153847041</v>
      </c>
      <c r="AV75" s="62">
        <f t="shared" si="40"/>
        <v>132.99999999999997</v>
      </c>
      <c r="AW75" s="54">
        <f t="shared" si="42"/>
        <v>9.9750000000000014</v>
      </c>
      <c r="AX75" s="54">
        <f t="shared" si="42"/>
        <v>9.9750000000000014</v>
      </c>
      <c r="AY75" s="54">
        <f t="shared" si="42"/>
        <v>23.275000000000002</v>
      </c>
      <c r="AZ75" s="54">
        <f t="shared" si="41"/>
        <v>9.9750000000000014</v>
      </c>
      <c r="BA75" s="54">
        <f t="shared" si="41"/>
        <v>9.9750000000000014</v>
      </c>
      <c r="BB75" s="54">
        <f t="shared" si="41"/>
        <v>9.9750000000000014</v>
      </c>
      <c r="BC75" s="54">
        <f t="shared" si="41"/>
        <v>9.9750000000000014</v>
      </c>
      <c r="BD75" s="54">
        <f t="shared" si="41"/>
        <v>9.9750000000000014</v>
      </c>
      <c r="BE75" s="54">
        <f t="shared" si="41"/>
        <v>9.9750000000000014</v>
      </c>
      <c r="BF75" s="54">
        <f t="shared" si="41"/>
        <v>9.9750000000000014</v>
      </c>
      <c r="BG75" s="54">
        <f t="shared" si="41"/>
        <v>9.9750000000000014</v>
      </c>
      <c r="BH75" s="54">
        <f t="shared" si="41"/>
        <v>9.9750000000000014</v>
      </c>
      <c r="BI75" s="62">
        <f t="shared" si="37"/>
        <v>-26.6</v>
      </c>
      <c r="BJ75" s="59">
        <f t="shared" si="38"/>
        <v>0</v>
      </c>
      <c r="BK75" s="59">
        <f t="shared" si="38"/>
        <v>0</v>
      </c>
      <c r="BL75" s="59">
        <f t="shared" si="38"/>
        <v>-26.6</v>
      </c>
      <c r="BM75" s="59">
        <f t="shared" si="38"/>
        <v>0</v>
      </c>
      <c r="BN75" s="59">
        <f t="shared" si="38"/>
        <v>0</v>
      </c>
      <c r="BO75" s="59">
        <f t="shared" si="38"/>
        <v>0</v>
      </c>
      <c r="BP75" s="59">
        <f t="shared" si="38"/>
        <v>0</v>
      </c>
      <c r="BQ75" s="59">
        <f t="shared" si="38"/>
        <v>0</v>
      </c>
      <c r="BR75" s="59">
        <f t="shared" si="38"/>
        <v>0</v>
      </c>
      <c r="BS75" s="59">
        <f t="shared" si="38"/>
        <v>0</v>
      </c>
      <c r="BT75" s="59">
        <f t="shared" si="38"/>
        <v>0</v>
      </c>
      <c r="BU75" s="59">
        <f t="shared" si="38"/>
        <v>0</v>
      </c>
      <c r="BV75" s="67">
        <f t="shared" si="48"/>
        <v>104.25961538461527</v>
      </c>
      <c r="BX75" s="54">
        <f t="shared" si="53"/>
        <v>12.967499999999999</v>
      </c>
      <c r="BY75" s="54">
        <f t="shared" si="53"/>
        <v>12.967499999999999</v>
      </c>
      <c r="BZ75" s="54">
        <f t="shared" si="53"/>
        <v>30.2575</v>
      </c>
      <c r="CA75" s="54">
        <f t="shared" si="49"/>
        <v>12.967499999999999</v>
      </c>
      <c r="CB75" s="54">
        <f t="shared" si="49"/>
        <v>12.967499999999999</v>
      </c>
      <c r="CC75" s="54">
        <f t="shared" si="49"/>
        <v>12.967499999999999</v>
      </c>
      <c r="CD75" s="54">
        <f t="shared" si="49"/>
        <v>12.967499999999999</v>
      </c>
      <c r="CE75" s="54">
        <f t="shared" si="49"/>
        <v>12.967499999999999</v>
      </c>
      <c r="CF75" s="54">
        <f t="shared" si="49"/>
        <v>12.967499999999999</v>
      </c>
      <c r="CG75" s="54">
        <f t="shared" si="43"/>
        <v>12.967499999999999</v>
      </c>
      <c r="CH75" s="54">
        <f t="shared" si="43"/>
        <v>12.967499999999999</v>
      </c>
      <c r="CI75" s="54">
        <f t="shared" si="43"/>
        <v>12.967499999999999</v>
      </c>
      <c r="CJ75" s="74">
        <f t="shared" si="39"/>
        <v>172.9</v>
      </c>
      <c r="CK75" s="59">
        <f t="shared" si="54"/>
        <v>20</v>
      </c>
      <c r="CL75" s="9">
        <f t="shared" si="55"/>
        <v>0</v>
      </c>
      <c r="CM75" s="71">
        <f t="shared" si="50"/>
        <v>172.9</v>
      </c>
      <c r="CN75" s="54"/>
      <c r="CO75" s="73"/>
      <c r="CP75" s="56"/>
    </row>
    <row r="76" spans="1:94" ht="20.25" customHeight="1">
      <c r="A76" s="1" t="s">
        <v>222</v>
      </c>
      <c r="B76" s="1" t="s">
        <v>223</v>
      </c>
      <c r="C76" s="1" t="s">
        <v>224</v>
      </c>
      <c r="D76" s="58">
        <f>+VLOOKUP(A76,'[1]BDD-Avk Tx'!B:CE,82,0)</f>
        <v>971</v>
      </c>
      <c r="E76" s="59">
        <v>200.2</v>
      </c>
      <c r="G76" s="4">
        <v>41275</v>
      </c>
      <c r="H76" s="4">
        <f t="shared" si="44"/>
        <v>45647</v>
      </c>
      <c r="I76" s="60" t="str">
        <f>+VLOOKUP(A76,'[1]BDD-Avk Tx'!B:BZ,77,0)</f>
        <v>CDI</v>
      </c>
      <c r="J76" s="4">
        <f t="shared" si="45"/>
        <v>45647</v>
      </c>
      <c r="N76" s="3"/>
      <c r="P76" s="54">
        <f t="shared" si="51"/>
        <v>12.916666666666666</v>
      </c>
      <c r="Q76" s="61">
        <v>-1</v>
      </c>
      <c r="R76" s="62">
        <f t="shared" si="52"/>
        <v>20</v>
      </c>
      <c r="S76" s="54">
        <f t="shared" si="36"/>
        <v>1.5</v>
      </c>
      <c r="T76" s="54">
        <f t="shared" si="36"/>
        <v>3.5</v>
      </c>
      <c r="U76" s="54">
        <f t="shared" si="36"/>
        <v>1.5</v>
      </c>
      <c r="V76" s="54">
        <f t="shared" si="36"/>
        <v>1.5</v>
      </c>
      <c r="W76" s="54">
        <f t="shared" si="36"/>
        <v>1.5</v>
      </c>
      <c r="X76" s="54">
        <f t="shared" si="36"/>
        <v>1.5</v>
      </c>
      <c r="Y76" s="54">
        <f t="shared" si="36"/>
        <v>1.5</v>
      </c>
      <c r="Z76" s="54">
        <f t="shared" si="36"/>
        <v>1.5</v>
      </c>
      <c r="AA76" s="54">
        <f t="shared" si="36"/>
        <v>1.5</v>
      </c>
      <c r="AB76" s="54">
        <f t="shared" si="36"/>
        <v>1.5</v>
      </c>
      <c r="AC76" s="54">
        <f t="shared" si="36"/>
        <v>1.5</v>
      </c>
      <c r="AD76" s="54">
        <f t="shared" si="36"/>
        <v>1.5</v>
      </c>
      <c r="AF76" s="62">
        <f t="shared" si="46"/>
        <v>0</v>
      </c>
      <c r="AG76" s="64">
        <v>0</v>
      </c>
      <c r="AH76" s="64">
        <v>0</v>
      </c>
      <c r="AI76" s="65">
        <v>0</v>
      </c>
      <c r="AJ76" s="66"/>
      <c r="AK76" s="64"/>
      <c r="AL76" s="64"/>
      <c r="AM76" s="64"/>
      <c r="AN76" s="64"/>
      <c r="AO76" s="64"/>
      <c r="AP76" s="64"/>
      <c r="AQ76" s="64"/>
      <c r="AR76" s="64"/>
      <c r="AS76" s="67">
        <f t="shared" si="47"/>
        <v>19</v>
      </c>
      <c r="AT76" s="68"/>
      <c r="AU76" s="69">
        <v>-4.5923076923076565</v>
      </c>
      <c r="AV76" s="62">
        <f t="shared" si="40"/>
        <v>154</v>
      </c>
      <c r="AW76" s="54">
        <f t="shared" si="42"/>
        <v>11.549999999999999</v>
      </c>
      <c r="AX76" s="54">
        <f t="shared" si="42"/>
        <v>26.949999999999996</v>
      </c>
      <c r="AY76" s="54">
        <f t="shared" si="42"/>
        <v>11.549999999999999</v>
      </c>
      <c r="AZ76" s="54">
        <f t="shared" si="41"/>
        <v>11.549999999999999</v>
      </c>
      <c r="BA76" s="54">
        <f t="shared" si="41"/>
        <v>11.549999999999999</v>
      </c>
      <c r="BB76" s="54">
        <f t="shared" si="41"/>
        <v>11.549999999999999</v>
      </c>
      <c r="BC76" s="54">
        <f t="shared" si="41"/>
        <v>11.549999999999999</v>
      </c>
      <c r="BD76" s="54">
        <f t="shared" si="41"/>
        <v>11.549999999999999</v>
      </c>
      <c r="BE76" s="54">
        <f t="shared" si="41"/>
        <v>11.549999999999999</v>
      </c>
      <c r="BF76" s="54">
        <f t="shared" si="41"/>
        <v>11.549999999999999</v>
      </c>
      <c r="BG76" s="54">
        <f t="shared" si="41"/>
        <v>11.549999999999999</v>
      </c>
      <c r="BH76" s="54">
        <f t="shared" si="41"/>
        <v>11.549999999999999</v>
      </c>
      <c r="BI76" s="62">
        <f t="shared" si="37"/>
        <v>0</v>
      </c>
      <c r="BJ76" s="59">
        <f t="shared" si="38"/>
        <v>0</v>
      </c>
      <c r="BK76" s="59">
        <f t="shared" si="38"/>
        <v>0</v>
      </c>
      <c r="BL76" s="59">
        <f t="shared" si="38"/>
        <v>0</v>
      </c>
      <c r="BM76" s="59">
        <f t="shared" si="38"/>
        <v>0</v>
      </c>
      <c r="BN76" s="59">
        <f t="shared" si="38"/>
        <v>0</v>
      </c>
      <c r="BO76" s="59">
        <f t="shared" si="38"/>
        <v>0</v>
      </c>
      <c r="BP76" s="59">
        <f t="shared" si="38"/>
        <v>0</v>
      </c>
      <c r="BQ76" s="59">
        <f t="shared" si="38"/>
        <v>0</v>
      </c>
      <c r="BR76" s="59">
        <f t="shared" si="38"/>
        <v>0</v>
      </c>
      <c r="BS76" s="59">
        <f t="shared" si="38"/>
        <v>0</v>
      </c>
      <c r="BT76" s="59">
        <f t="shared" si="38"/>
        <v>0</v>
      </c>
      <c r="BU76" s="59">
        <f t="shared" si="38"/>
        <v>0</v>
      </c>
      <c r="BV76" s="67">
        <f t="shared" si="48"/>
        <v>149.40769230769234</v>
      </c>
      <c r="BX76" s="54">
        <f t="shared" si="53"/>
        <v>15.015000000000001</v>
      </c>
      <c r="BY76" s="54">
        <f t="shared" si="53"/>
        <v>35.034999999999997</v>
      </c>
      <c r="BZ76" s="54">
        <f t="shared" si="53"/>
        <v>15.015000000000001</v>
      </c>
      <c r="CA76" s="54">
        <f t="shared" si="49"/>
        <v>15.015000000000001</v>
      </c>
      <c r="CB76" s="54">
        <f t="shared" si="49"/>
        <v>15.015000000000001</v>
      </c>
      <c r="CC76" s="54">
        <f t="shared" si="49"/>
        <v>15.015000000000001</v>
      </c>
      <c r="CD76" s="54">
        <f t="shared" si="49"/>
        <v>15.015000000000001</v>
      </c>
      <c r="CE76" s="54">
        <f t="shared" si="49"/>
        <v>15.015000000000001</v>
      </c>
      <c r="CF76" s="54">
        <f t="shared" si="49"/>
        <v>15.015000000000001</v>
      </c>
      <c r="CG76" s="54">
        <f t="shared" si="43"/>
        <v>15.015000000000001</v>
      </c>
      <c r="CH76" s="54">
        <f t="shared" si="43"/>
        <v>15.015000000000001</v>
      </c>
      <c r="CI76" s="54">
        <f t="shared" si="43"/>
        <v>15.015000000000001</v>
      </c>
      <c r="CJ76" s="74">
        <f t="shared" si="39"/>
        <v>200.19999999999993</v>
      </c>
      <c r="CK76" s="59">
        <f t="shared" si="54"/>
        <v>20</v>
      </c>
      <c r="CL76" s="9">
        <f t="shared" si="55"/>
        <v>0</v>
      </c>
      <c r="CM76" s="71">
        <f t="shared" si="50"/>
        <v>200.2</v>
      </c>
      <c r="CN76" s="72"/>
      <c r="CO76" s="73"/>
    </row>
    <row r="77" spans="1:94" ht="20.25" customHeight="1">
      <c r="A77" s="75" t="s">
        <v>225</v>
      </c>
      <c r="B77" s="1" t="s">
        <v>226</v>
      </c>
      <c r="C77" s="1" t="s">
        <v>227</v>
      </c>
      <c r="D77" s="58">
        <f>+VLOOKUP(A77,'[1]BDD-Avk Tx'!B:CE,82,0)</f>
        <v>971</v>
      </c>
      <c r="E77" s="59">
        <v>267.8</v>
      </c>
      <c r="G77" s="4">
        <v>41275</v>
      </c>
      <c r="H77" s="4">
        <f t="shared" si="44"/>
        <v>45647</v>
      </c>
      <c r="I77" s="60" t="str">
        <f>+VLOOKUP(A77,'[1]BDD-Avk Tx'!B:BZ,77,0)</f>
        <v>CDI</v>
      </c>
      <c r="J77" s="4">
        <f t="shared" si="45"/>
        <v>45647</v>
      </c>
      <c r="N77" s="3"/>
      <c r="P77" s="54">
        <f t="shared" si="51"/>
        <v>12.916666666666666</v>
      </c>
      <c r="Q77" s="61">
        <v>0</v>
      </c>
      <c r="R77" s="62">
        <f t="shared" si="52"/>
        <v>20</v>
      </c>
      <c r="S77" s="54">
        <f t="shared" si="36"/>
        <v>1.5</v>
      </c>
      <c r="T77" s="54">
        <f t="shared" si="36"/>
        <v>3.5</v>
      </c>
      <c r="U77" s="54">
        <f t="shared" si="36"/>
        <v>1.5</v>
      </c>
      <c r="V77" s="54">
        <f t="shared" si="36"/>
        <v>1.5</v>
      </c>
      <c r="W77" s="54">
        <f t="shared" si="36"/>
        <v>1.5</v>
      </c>
      <c r="X77" s="54">
        <f t="shared" si="36"/>
        <v>1.5</v>
      </c>
      <c r="Y77" s="54">
        <f t="shared" si="36"/>
        <v>1.5</v>
      </c>
      <c r="Z77" s="54">
        <f t="shared" si="36"/>
        <v>1.5</v>
      </c>
      <c r="AA77" s="54">
        <f t="shared" si="36"/>
        <v>1.5</v>
      </c>
      <c r="AB77" s="54">
        <f t="shared" si="36"/>
        <v>1.5</v>
      </c>
      <c r="AC77" s="54">
        <f t="shared" si="36"/>
        <v>1.5</v>
      </c>
      <c r="AD77" s="54">
        <f t="shared" si="36"/>
        <v>1.5</v>
      </c>
      <c r="AF77" s="62">
        <f t="shared" si="46"/>
        <v>0</v>
      </c>
      <c r="AG77" s="64">
        <v>0</v>
      </c>
      <c r="AH77" s="64">
        <v>0</v>
      </c>
      <c r="AI77" s="65">
        <v>0</v>
      </c>
      <c r="AJ77" s="66"/>
      <c r="AK77" s="64"/>
      <c r="AL77" s="64"/>
      <c r="AM77" s="64"/>
      <c r="AN77" s="64"/>
      <c r="AO77" s="64"/>
      <c r="AP77" s="64"/>
      <c r="AQ77" s="64"/>
      <c r="AR77" s="64"/>
      <c r="AS77" s="67">
        <f t="shared" si="47"/>
        <v>20</v>
      </c>
      <c r="AT77" s="68"/>
      <c r="AU77" s="69">
        <v>8.2153846153845222</v>
      </c>
      <c r="AV77" s="62">
        <f t="shared" si="40"/>
        <v>205.99999999999994</v>
      </c>
      <c r="AW77" s="54">
        <f t="shared" si="42"/>
        <v>15.450000000000001</v>
      </c>
      <c r="AX77" s="54">
        <f t="shared" si="42"/>
        <v>36.050000000000004</v>
      </c>
      <c r="AY77" s="54">
        <f t="shared" si="42"/>
        <v>15.450000000000001</v>
      </c>
      <c r="AZ77" s="54">
        <f t="shared" si="41"/>
        <v>15.450000000000001</v>
      </c>
      <c r="BA77" s="54">
        <f t="shared" si="41"/>
        <v>15.450000000000001</v>
      </c>
      <c r="BB77" s="54">
        <f t="shared" si="41"/>
        <v>15.450000000000001</v>
      </c>
      <c r="BC77" s="54">
        <f t="shared" si="41"/>
        <v>15.450000000000001</v>
      </c>
      <c r="BD77" s="54">
        <f t="shared" si="41"/>
        <v>15.450000000000001</v>
      </c>
      <c r="BE77" s="54">
        <f t="shared" si="41"/>
        <v>15.450000000000001</v>
      </c>
      <c r="BF77" s="54">
        <f t="shared" si="41"/>
        <v>15.450000000000001</v>
      </c>
      <c r="BG77" s="54">
        <f t="shared" si="41"/>
        <v>15.450000000000001</v>
      </c>
      <c r="BH77" s="54">
        <f t="shared" si="41"/>
        <v>15.450000000000001</v>
      </c>
      <c r="BI77" s="62">
        <f t="shared" si="37"/>
        <v>0</v>
      </c>
      <c r="BJ77" s="59">
        <f t="shared" si="38"/>
        <v>0</v>
      </c>
      <c r="BK77" s="59">
        <f t="shared" si="38"/>
        <v>0</v>
      </c>
      <c r="BL77" s="59">
        <f t="shared" si="38"/>
        <v>0</v>
      </c>
      <c r="BM77" s="59">
        <f t="shared" si="38"/>
        <v>0</v>
      </c>
      <c r="BN77" s="59">
        <f t="shared" si="38"/>
        <v>0</v>
      </c>
      <c r="BO77" s="59">
        <f t="shared" si="38"/>
        <v>0</v>
      </c>
      <c r="BP77" s="59">
        <f t="shared" si="38"/>
        <v>0</v>
      </c>
      <c r="BQ77" s="59">
        <f t="shared" si="38"/>
        <v>0</v>
      </c>
      <c r="BR77" s="59">
        <f t="shared" si="38"/>
        <v>0</v>
      </c>
      <c r="BS77" s="59">
        <f t="shared" si="38"/>
        <v>0</v>
      </c>
      <c r="BT77" s="59">
        <f t="shared" si="38"/>
        <v>0</v>
      </c>
      <c r="BU77" s="59">
        <f t="shared" si="38"/>
        <v>0</v>
      </c>
      <c r="BV77" s="67">
        <f t="shared" si="48"/>
        <v>214.21538461538447</v>
      </c>
      <c r="BX77" s="54">
        <f t="shared" si="53"/>
        <v>20.085000000000001</v>
      </c>
      <c r="BY77" s="54">
        <f t="shared" si="53"/>
        <v>46.865000000000002</v>
      </c>
      <c r="BZ77" s="54">
        <f t="shared" si="53"/>
        <v>20.085000000000001</v>
      </c>
      <c r="CA77" s="54">
        <f t="shared" si="49"/>
        <v>20.085000000000001</v>
      </c>
      <c r="CB77" s="54">
        <f t="shared" si="49"/>
        <v>20.085000000000001</v>
      </c>
      <c r="CC77" s="54">
        <f t="shared" si="49"/>
        <v>20.085000000000001</v>
      </c>
      <c r="CD77" s="54">
        <f t="shared" si="49"/>
        <v>20.085000000000001</v>
      </c>
      <c r="CE77" s="54">
        <f t="shared" si="49"/>
        <v>20.085000000000001</v>
      </c>
      <c r="CF77" s="54">
        <f t="shared" si="49"/>
        <v>20.085000000000001</v>
      </c>
      <c r="CG77" s="54">
        <f t="shared" si="43"/>
        <v>20.085000000000001</v>
      </c>
      <c r="CH77" s="54">
        <f t="shared" si="43"/>
        <v>20.085000000000001</v>
      </c>
      <c r="CI77" s="54">
        <f t="shared" si="43"/>
        <v>20.085000000000001</v>
      </c>
      <c r="CJ77" s="74">
        <f t="shared" si="39"/>
        <v>267.80000000000007</v>
      </c>
      <c r="CK77" s="59">
        <f t="shared" si="54"/>
        <v>20</v>
      </c>
      <c r="CL77" s="9">
        <f t="shared" si="55"/>
        <v>0</v>
      </c>
      <c r="CM77" s="71">
        <f t="shared" si="50"/>
        <v>267.8</v>
      </c>
      <c r="CN77" s="54"/>
      <c r="CO77" s="73"/>
      <c r="CP77" s="56"/>
    </row>
    <row r="78" spans="1:94" ht="20.25" customHeight="1">
      <c r="A78" s="1" t="s">
        <v>228</v>
      </c>
      <c r="B78" s="1" t="s">
        <v>229</v>
      </c>
      <c r="C78" s="1" t="s">
        <v>230</v>
      </c>
      <c r="D78" s="58">
        <f>+VLOOKUP(A78,'[1]BDD-Avk Tx'!B:CE,82,0)</f>
        <v>281</v>
      </c>
      <c r="E78" s="59">
        <v>356.2</v>
      </c>
      <c r="G78" s="4">
        <v>41153</v>
      </c>
      <c r="H78" s="4">
        <f t="shared" si="44"/>
        <v>45647</v>
      </c>
      <c r="I78" s="60" t="str">
        <f>+VLOOKUP(A78,'[1]BDD-Avk Tx'!B:BZ,77,0)</f>
        <v>CDI</v>
      </c>
      <c r="J78" s="4">
        <f t="shared" si="45"/>
        <v>45647</v>
      </c>
      <c r="N78" s="3"/>
      <c r="P78" s="54">
        <f t="shared" si="51"/>
        <v>13.25</v>
      </c>
      <c r="Q78" s="61">
        <v>0</v>
      </c>
      <c r="R78" s="62">
        <f t="shared" si="52"/>
        <v>20</v>
      </c>
      <c r="S78" s="54">
        <f t="shared" si="36"/>
        <v>1.5</v>
      </c>
      <c r="T78" s="54">
        <f t="shared" si="36"/>
        <v>1.5</v>
      </c>
      <c r="U78" s="54">
        <f t="shared" si="36"/>
        <v>1.5</v>
      </c>
      <c r="V78" s="54">
        <f t="shared" si="36"/>
        <v>1.5</v>
      </c>
      <c r="W78" s="54">
        <f t="shared" si="36"/>
        <v>1.5</v>
      </c>
      <c r="X78" s="54">
        <f t="shared" si="36"/>
        <v>1.5</v>
      </c>
      <c r="Y78" s="54">
        <f t="shared" si="36"/>
        <v>1.5</v>
      </c>
      <c r="Z78" s="54">
        <f t="shared" si="36"/>
        <v>1.5</v>
      </c>
      <c r="AA78" s="54">
        <f t="shared" si="36"/>
        <v>1.5</v>
      </c>
      <c r="AB78" s="54">
        <f t="shared" si="36"/>
        <v>3.5</v>
      </c>
      <c r="AC78" s="54">
        <f t="shared" si="36"/>
        <v>1.5</v>
      </c>
      <c r="AD78" s="54">
        <f t="shared" si="36"/>
        <v>1.5</v>
      </c>
      <c r="AF78" s="62">
        <f t="shared" si="46"/>
        <v>0</v>
      </c>
      <c r="AG78" s="64">
        <v>0</v>
      </c>
      <c r="AH78" s="64">
        <v>0</v>
      </c>
      <c r="AI78" s="65">
        <v>0</v>
      </c>
      <c r="AJ78" s="66"/>
      <c r="AK78" s="64"/>
      <c r="AL78" s="64"/>
      <c r="AM78" s="64"/>
      <c r="AN78" s="64"/>
      <c r="AO78" s="64"/>
      <c r="AP78" s="64"/>
      <c r="AQ78" s="64"/>
      <c r="AR78" s="64"/>
      <c r="AS78" s="67">
        <f t="shared" si="47"/>
        <v>20</v>
      </c>
      <c r="AT78" s="68"/>
      <c r="AU78" s="69">
        <v>36.030769230769181</v>
      </c>
      <c r="AV78" s="62">
        <f t="shared" si="40"/>
        <v>274</v>
      </c>
      <c r="AW78" s="54">
        <f t="shared" si="42"/>
        <v>20.549999999999997</v>
      </c>
      <c r="AX78" s="54">
        <f t="shared" si="42"/>
        <v>20.549999999999997</v>
      </c>
      <c r="AY78" s="54">
        <f t="shared" si="42"/>
        <v>20.549999999999997</v>
      </c>
      <c r="AZ78" s="54">
        <f t="shared" si="41"/>
        <v>20.549999999999997</v>
      </c>
      <c r="BA78" s="54">
        <f t="shared" si="41"/>
        <v>20.549999999999997</v>
      </c>
      <c r="BB78" s="54">
        <f t="shared" si="41"/>
        <v>20.549999999999997</v>
      </c>
      <c r="BC78" s="54">
        <f t="shared" si="41"/>
        <v>20.549999999999997</v>
      </c>
      <c r="BD78" s="54">
        <f t="shared" si="41"/>
        <v>20.549999999999997</v>
      </c>
      <c r="BE78" s="54">
        <f t="shared" si="41"/>
        <v>20.549999999999997</v>
      </c>
      <c r="BF78" s="54">
        <f t="shared" si="41"/>
        <v>47.949999999999996</v>
      </c>
      <c r="BG78" s="54">
        <f t="shared" si="41"/>
        <v>20.549999999999997</v>
      </c>
      <c r="BH78" s="54">
        <f t="shared" si="41"/>
        <v>20.549999999999997</v>
      </c>
      <c r="BI78" s="62">
        <f t="shared" si="37"/>
        <v>0</v>
      </c>
      <c r="BJ78" s="59">
        <f t="shared" si="38"/>
        <v>0</v>
      </c>
      <c r="BK78" s="59">
        <f t="shared" si="38"/>
        <v>0</v>
      </c>
      <c r="BL78" s="59">
        <f t="shared" si="38"/>
        <v>0</v>
      </c>
      <c r="BM78" s="59">
        <f t="shared" si="38"/>
        <v>0</v>
      </c>
      <c r="BN78" s="59">
        <f t="shared" si="38"/>
        <v>0</v>
      </c>
      <c r="BO78" s="59">
        <f t="shared" si="38"/>
        <v>0</v>
      </c>
      <c r="BP78" s="59">
        <f t="shared" si="38"/>
        <v>0</v>
      </c>
      <c r="BQ78" s="59">
        <f t="shared" si="38"/>
        <v>0</v>
      </c>
      <c r="BR78" s="59">
        <f t="shared" si="38"/>
        <v>0</v>
      </c>
      <c r="BS78" s="59">
        <f t="shared" si="38"/>
        <v>0</v>
      </c>
      <c r="BT78" s="59">
        <f t="shared" si="38"/>
        <v>0</v>
      </c>
      <c r="BU78" s="59">
        <f t="shared" si="38"/>
        <v>0</v>
      </c>
      <c r="BV78" s="67">
        <f t="shared" si="48"/>
        <v>310.03076923076918</v>
      </c>
      <c r="BX78" s="54">
        <f t="shared" si="53"/>
        <v>26.714999999999996</v>
      </c>
      <c r="BY78" s="54">
        <f t="shared" si="53"/>
        <v>26.714999999999996</v>
      </c>
      <c r="BZ78" s="54">
        <f t="shared" si="53"/>
        <v>26.714999999999996</v>
      </c>
      <c r="CA78" s="54">
        <f t="shared" si="49"/>
        <v>26.714999999999996</v>
      </c>
      <c r="CB78" s="54">
        <f t="shared" si="49"/>
        <v>26.714999999999996</v>
      </c>
      <c r="CC78" s="54">
        <f t="shared" si="49"/>
        <v>26.714999999999996</v>
      </c>
      <c r="CD78" s="54">
        <f t="shared" si="49"/>
        <v>26.714999999999996</v>
      </c>
      <c r="CE78" s="54">
        <f t="shared" si="49"/>
        <v>26.714999999999996</v>
      </c>
      <c r="CF78" s="54">
        <f t="shared" si="49"/>
        <v>26.714999999999996</v>
      </c>
      <c r="CG78" s="54">
        <f t="shared" si="43"/>
        <v>62.334999999999994</v>
      </c>
      <c r="CH78" s="54">
        <f t="shared" si="43"/>
        <v>26.714999999999996</v>
      </c>
      <c r="CI78" s="54">
        <f t="shared" si="43"/>
        <v>26.714999999999996</v>
      </c>
      <c r="CJ78" s="74">
        <f t="shared" si="39"/>
        <v>356.19999999999993</v>
      </c>
      <c r="CK78" s="59">
        <f t="shared" si="54"/>
        <v>20</v>
      </c>
      <c r="CL78" s="9">
        <f t="shared" si="55"/>
        <v>0</v>
      </c>
      <c r="CM78" s="71">
        <f t="shared" si="50"/>
        <v>356.2</v>
      </c>
      <c r="CN78" s="72"/>
      <c r="CO78" s="73"/>
    </row>
    <row r="79" spans="1:94" ht="20.25" customHeight="1">
      <c r="A79" s="75" t="s">
        <v>231</v>
      </c>
      <c r="B79" s="1" t="s">
        <v>232</v>
      </c>
      <c r="C79" s="1" t="s">
        <v>233</v>
      </c>
      <c r="D79" s="58">
        <f>+VLOOKUP(A79,'[1]BDD-Avk Tx'!B:CE,82,0)</f>
        <v>281</v>
      </c>
      <c r="E79" s="59">
        <v>200.2</v>
      </c>
      <c r="G79" s="4">
        <v>41153</v>
      </c>
      <c r="H79" s="4">
        <f t="shared" si="44"/>
        <v>45647</v>
      </c>
      <c r="I79" s="60" t="str">
        <f>+VLOOKUP(A79,'[1]BDD-Avk Tx'!B:BZ,77,0)</f>
        <v>CDI</v>
      </c>
      <c r="J79" s="4">
        <f t="shared" si="45"/>
        <v>45647</v>
      </c>
      <c r="N79" s="3"/>
      <c r="P79" s="54">
        <f t="shared" si="51"/>
        <v>13.25</v>
      </c>
      <c r="Q79" s="61">
        <v>0</v>
      </c>
      <c r="R79" s="62">
        <f t="shared" si="52"/>
        <v>20</v>
      </c>
      <c r="S79" s="54">
        <f t="shared" si="36"/>
        <v>1.5</v>
      </c>
      <c r="T79" s="54">
        <f t="shared" si="36"/>
        <v>1.5</v>
      </c>
      <c r="U79" s="54">
        <f t="shared" si="36"/>
        <v>1.5</v>
      </c>
      <c r="V79" s="54">
        <f t="shared" si="36"/>
        <v>1.5</v>
      </c>
      <c r="W79" s="54">
        <f t="shared" si="36"/>
        <v>1.5</v>
      </c>
      <c r="X79" s="54">
        <f t="shared" si="36"/>
        <v>1.5</v>
      </c>
      <c r="Y79" s="54">
        <f t="shared" si="36"/>
        <v>1.5</v>
      </c>
      <c r="Z79" s="54">
        <f t="shared" si="36"/>
        <v>1.5</v>
      </c>
      <c r="AA79" s="54">
        <f t="shared" si="36"/>
        <v>1.5</v>
      </c>
      <c r="AB79" s="54">
        <f t="shared" si="36"/>
        <v>3.5</v>
      </c>
      <c r="AC79" s="54">
        <f t="shared" si="36"/>
        <v>1.5</v>
      </c>
      <c r="AD79" s="54">
        <f t="shared" si="36"/>
        <v>1.5</v>
      </c>
      <c r="AF79" s="62">
        <f t="shared" si="46"/>
        <v>4</v>
      </c>
      <c r="AG79" s="64">
        <v>0</v>
      </c>
      <c r="AH79" s="64">
        <v>0</v>
      </c>
      <c r="AI79" s="65">
        <v>4</v>
      </c>
      <c r="AJ79" s="66"/>
      <c r="AK79" s="64"/>
      <c r="AL79" s="64"/>
      <c r="AM79" s="64"/>
      <c r="AN79" s="64"/>
      <c r="AO79" s="64"/>
      <c r="AP79" s="64"/>
      <c r="AQ79" s="64"/>
      <c r="AR79" s="64"/>
      <c r="AS79" s="67">
        <f t="shared" si="47"/>
        <v>16</v>
      </c>
      <c r="AT79" s="68"/>
      <c r="AU79" s="69">
        <v>-2.1673076923076877</v>
      </c>
      <c r="AV79" s="62">
        <f t="shared" si="40"/>
        <v>154</v>
      </c>
      <c r="AW79" s="54">
        <f t="shared" si="42"/>
        <v>11.549999999999999</v>
      </c>
      <c r="AX79" s="54">
        <f t="shared" si="42"/>
        <v>11.549999999999999</v>
      </c>
      <c r="AY79" s="54">
        <f t="shared" si="42"/>
        <v>11.549999999999999</v>
      </c>
      <c r="AZ79" s="54">
        <f t="shared" si="41"/>
        <v>11.549999999999999</v>
      </c>
      <c r="BA79" s="54">
        <f t="shared" si="41"/>
        <v>11.549999999999999</v>
      </c>
      <c r="BB79" s="54">
        <f t="shared" si="41"/>
        <v>11.549999999999999</v>
      </c>
      <c r="BC79" s="54">
        <f t="shared" si="41"/>
        <v>11.549999999999999</v>
      </c>
      <c r="BD79" s="54">
        <f t="shared" si="41"/>
        <v>11.549999999999999</v>
      </c>
      <c r="BE79" s="54">
        <f t="shared" si="41"/>
        <v>11.549999999999999</v>
      </c>
      <c r="BF79" s="54">
        <f t="shared" si="41"/>
        <v>26.949999999999996</v>
      </c>
      <c r="BG79" s="54">
        <f t="shared" si="41"/>
        <v>11.549999999999999</v>
      </c>
      <c r="BH79" s="54">
        <f t="shared" si="41"/>
        <v>11.549999999999999</v>
      </c>
      <c r="BI79" s="62">
        <f t="shared" si="37"/>
        <v>-30.799999999999997</v>
      </c>
      <c r="BJ79" s="59">
        <f t="shared" si="38"/>
        <v>0</v>
      </c>
      <c r="BK79" s="59">
        <f t="shared" si="38"/>
        <v>0</v>
      </c>
      <c r="BL79" s="59">
        <f t="shared" si="38"/>
        <v>-30.799999999999997</v>
      </c>
      <c r="BM79" s="59">
        <f t="shared" si="38"/>
        <v>0</v>
      </c>
      <c r="BN79" s="59">
        <f t="shared" si="38"/>
        <v>0</v>
      </c>
      <c r="BO79" s="59">
        <f t="shared" si="38"/>
        <v>0</v>
      </c>
      <c r="BP79" s="59">
        <f t="shared" si="38"/>
        <v>0</v>
      </c>
      <c r="BQ79" s="59">
        <f t="shared" si="38"/>
        <v>0</v>
      </c>
      <c r="BR79" s="59">
        <f t="shared" si="38"/>
        <v>0</v>
      </c>
      <c r="BS79" s="59">
        <f t="shared" si="38"/>
        <v>0</v>
      </c>
      <c r="BT79" s="59">
        <f t="shared" si="38"/>
        <v>0</v>
      </c>
      <c r="BU79" s="59">
        <f t="shared" si="38"/>
        <v>0</v>
      </c>
      <c r="BV79" s="67">
        <f t="shared" si="48"/>
        <v>121.0326923076923</v>
      </c>
      <c r="BX79" s="54">
        <f t="shared" si="53"/>
        <v>15.015000000000001</v>
      </c>
      <c r="BY79" s="54">
        <f t="shared" si="53"/>
        <v>15.015000000000001</v>
      </c>
      <c r="BZ79" s="54">
        <f t="shared" si="53"/>
        <v>15.015000000000001</v>
      </c>
      <c r="CA79" s="54">
        <f t="shared" si="49"/>
        <v>15.015000000000001</v>
      </c>
      <c r="CB79" s="54">
        <f t="shared" si="49"/>
        <v>15.015000000000001</v>
      </c>
      <c r="CC79" s="54">
        <f t="shared" si="49"/>
        <v>15.015000000000001</v>
      </c>
      <c r="CD79" s="54">
        <f t="shared" si="49"/>
        <v>15.015000000000001</v>
      </c>
      <c r="CE79" s="54">
        <f t="shared" si="49"/>
        <v>15.015000000000001</v>
      </c>
      <c r="CF79" s="54">
        <f t="shared" si="49"/>
        <v>15.015000000000001</v>
      </c>
      <c r="CG79" s="54">
        <f t="shared" si="43"/>
        <v>35.034999999999997</v>
      </c>
      <c r="CH79" s="54">
        <f t="shared" si="43"/>
        <v>15.015000000000001</v>
      </c>
      <c r="CI79" s="54">
        <f t="shared" si="43"/>
        <v>15.015000000000001</v>
      </c>
      <c r="CJ79" s="74">
        <f t="shared" si="39"/>
        <v>200.2</v>
      </c>
      <c r="CK79" s="59">
        <f t="shared" si="54"/>
        <v>20</v>
      </c>
      <c r="CL79" s="9">
        <f t="shared" si="55"/>
        <v>0</v>
      </c>
      <c r="CM79" s="71">
        <f t="shared" si="50"/>
        <v>200.2</v>
      </c>
      <c r="CN79" s="54"/>
      <c r="CO79" s="73"/>
      <c r="CP79" s="56"/>
    </row>
    <row r="80" spans="1:94" ht="20.25" customHeight="1">
      <c r="A80" s="1" t="s">
        <v>234</v>
      </c>
      <c r="B80" s="1" t="s">
        <v>235</v>
      </c>
      <c r="C80" s="1" t="s">
        <v>227</v>
      </c>
      <c r="D80" s="58">
        <f>+VLOOKUP(A80,'[1]BDD-Avk Tx'!B:CE,82,0)</f>
        <v>281</v>
      </c>
      <c r="E80" s="59">
        <v>267.8</v>
      </c>
      <c r="G80" s="4">
        <v>41732</v>
      </c>
      <c r="H80" s="4">
        <f t="shared" si="44"/>
        <v>45647</v>
      </c>
      <c r="I80" s="60" t="str">
        <f>+VLOOKUP(A80,'[1]BDD-Avk Tx'!B:BZ,77,0)</f>
        <v>CDI</v>
      </c>
      <c r="J80" s="4">
        <f t="shared" si="45"/>
        <v>45647</v>
      </c>
      <c r="N80" s="3"/>
      <c r="P80" s="54">
        <f t="shared" si="51"/>
        <v>11.666666666666666</v>
      </c>
      <c r="Q80" s="61">
        <v>0</v>
      </c>
      <c r="R80" s="62">
        <f t="shared" si="52"/>
        <v>20</v>
      </c>
      <c r="S80" s="54">
        <f t="shared" si="36"/>
        <v>1.5</v>
      </c>
      <c r="T80" s="54">
        <f t="shared" si="36"/>
        <v>1.5</v>
      </c>
      <c r="U80" s="54">
        <f t="shared" si="36"/>
        <v>1.5</v>
      </c>
      <c r="V80" s="54">
        <f t="shared" si="36"/>
        <v>1.5</v>
      </c>
      <c r="W80" s="54">
        <f t="shared" si="36"/>
        <v>3.5</v>
      </c>
      <c r="X80" s="54">
        <f t="shared" si="36"/>
        <v>1.5</v>
      </c>
      <c r="Y80" s="54">
        <f t="shared" si="36"/>
        <v>1.5</v>
      </c>
      <c r="Z80" s="54">
        <f t="shared" si="36"/>
        <v>1.5</v>
      </c>
      <c r="AA80" s="54">
        <f t="shared" si="36"/>
        <v>1.5</v>
      </c>
      <c r="AB80" s="54">
        <f t="shared" si="36"/>
        <v>1.5</v>
      </c>
      <c r="AC80" s="54">
        <f t="shared" si="36"/>
        <v>1.5</v>
      </c>
      <c r="AD80" s="54">
        <f t="shared" si="36"/>
        <v>1.5</v>
      </c>
      <c r="AF80" s="62">
        <f t="shared" si="46"/>
        <v>0</v>
      </c>
      <c r="AG80" s="64">
        <v>0</v>
      </c>
      <c r="AH80" s="64">
        <v>0</v>
      </c>
      <c r="AI80" s="65">
        <v>0</v>
      </c>
      <c r="AJ80" s="66"/>
      <c r="AK80" s="64"/>
      <c r="AL80" s="64"/>
      <c r="AM80" s="64"/>
      <c r="AN80" s="64"/>
      <c r="AO80" s="64"/>
      <c r="AP80" s="64"/>
      <c r="AQ80" s="64"/>
      <c r="AR80" s="64"/>
      <c r="AS80" s="67">
        <f t="shared" si="47"/>
        <v>20</v>
      </c>
      <c r="AT80" s="68"/>
      <c r="AU80" s="69">
        <v>-0.82307692307699654</v>
      </c>
      <c r="AV80" s="62">
        <f t="shared" si="40"/>
        <v>205.99999999999994</v>
      </c>
      <c r="AW80" s="54">
        <f t="shared" si="42"/>
        <v>15.450000000000001</v>
      </c>
      <c r="AX80" s="54">
        <f t="shared" si="42"/>
        <v>15.450000000000001</v>
      </c>
      <c r="AY80" s="54">
        <f t="shared" si="42"/>
        <v>15.450000000000001</v>
      </c>
      <c r="AZ80" s="54">
        <f t="shared" si="41"/>
        <v>15.450000000000001</v>
      </c>
      <c r="BA80" s="54">
        <f t="shared" si="41"/>
        <v>36.050000000000004</v>
      </c>
      <c r="BB80" s="54">
        <f t="shared" si="41"/>
        <v>15.450000000000001</v>
      </c>
      <c r="BC80" s="54">
        <f t="shared" si="41"/>
        <v>15.450000000000001</v>
      </c>
      <c r="BD80" s="54">
        <f t="shared" si="41"/>
        <v>15.450000000000001</v>
      </c>
      <c r="BE80" s="54">
        <f t="shared" si="41"/>
        <v>15.450000000000001</v>
      </c>
      <c r="BF80" s="54">
        <f t="shared" si="41"/>
        <v>15.450000000000001</v>
      </c>
      <c r="BG80" s="54">
        <f t="shared" si="41"/>
        <v>15.450000000000001</v>
      </c>
      <c r="BH80" s="54">
        <f t="shared" si="41"/>
        <v>15.450000000000001</v>
      </c>
      <c r="BI80" s="62">
        <f t="shared" si="37"/>
        <v>0</v>
      </c>
      <c r="BJ80" s="59">
        <f t="shared" si="38"/>
        <v>0</v>
      </c>
      <c r="BK80" s="59">
        <f t="shared" si="38"/>
        <v>0</v>
      </c>
      <c r="BL80" s="59">
        <f t="shared" si="38"/>
        <v>0</v>
      </c>
      <c r="BM80" s="59">
        <f t="shared" si="38"/>
        <v>0</v>
      </c>
      <c r="BN80" s="59">
        <f t="shared" si="38"/>
        <v>0</v>
      </c>
      <c r="BO80" s="59">
        <f t="shared" si="38"/>
        <v>0</v>
      </c>
      <c r="BP80" s="59">
        <f t="shared" si="38"/>
        <v>0</v>
      </c>
      <c r="BQ80" s="59">
        <f t="shared" si="38"/>
        <v>0</v>
      </c>
      <c r="BR80" s="59">
        <f t="shared" si="38"/>
        <v>0</v>
      </c>
      <c r="BS80" s="59">
        <f t="shared" si="38"/>
        <v>0</v>
      </c>
      <c r="BT80" s="59">
        <f t="shared" si="38"/>
        <v>0</v>
      </c>
      <c r="BU80" s="59">
        <f t="shared" si="38"/>
        <v>0</v>
      </c>
      <c r="BV80" s="67">
        <f t="shared" si="48"/>
        <v>205.17692307692295</v>
      </c>
      <c r="BX80" s="54">
        <f t="shared" si="53"/>
        <v>20.085000000000001</v>
      </c>
      <c r="BY80" s="54">
        <f t="shared" si="53"/>
        <v>20.085000000000001</v>
      </c>
      <c r="BZ80" s="54">
        <f t="shared" si="53"/>
        <v>20.085000000000001</v>
      </c>
      <c r="CA80" s="54">
        <f t="shared" si="49"/>
        <v>20.085000000000001</v>
      </c>
      <c r="CB80" s="54">
        <f t="shared" si="49"/>
        <v>46.865000000000002</v>
      </c>
      <c r="CC80" s="54">
        <f t="shared" si="49"/>
        <v>20.085000000000001</v>
      </c>
      <c r="CD80" s="54">
        <f t="shared" si="49"/>
        <v>20.085000000000001</v>
      </c>
      <c r="CE80" s="54">
        <f t="shared" si="49"/>
        <v>20.085000000000001</v>
      </c>
      <c r="CF80" s="54">
        <f t="shared" si="49"/>
        <v>20.085000000000001</v>
      </c>
      <c r="CG80" s="54">
        <f t="shared" si="43"/>
        <v>20.085000000000001</v>
      </c>
      <c r="CH80" s="54">
        <f t="shared" si="43"/>
        <v>20.085000000000001</v>
      </c>
      <c r="CI80" s="54">
        <f t="shared" si="43"/>
        <v>20.085000000000001</v>
      </c>
      <c r="CJ80" s="74">
        <f t="shared" si="39"/>
        <v>267.80000000000007</v>
      </c>
      <c r="CK80" s="59">
        <f t="shared" si="54"/>
        <v>20</v>
      </c>
      <c r="CL80" s="9">
        <f t="shared" si="55"/>
        <v>0</v>
      </c>
      <c r="CM80" s="71">
        <f t="shared" si="50"/>
        <v>267.8</v>
      </c>
      <c r="CN80" s="72"/>
      <c r="CO80" s="73"/>
    </row>
    <row r="81" spans="1:94" ht="20.25" customHeight="1">
      <c r="A81" s="75" t="s">
        <v>236</v>
      </c>
      <c r="B81" s="1" t="s">
        <v>237</v>
      </c>
      <c r="C81" s="1" t="s">
        <v>230</v>
      </c>
      <c r="D81" s="58">
        <f>+VLOOKUP(A81,'[1]BDD-Avk Tx'!B:CE,82,0)</f>
        <v>281</v>
      </c>
      <c r="E81" s="59">
        <v>733.2</v>
      </c>
      <c r="G81" s="4">
        <v>41153</v>
      </c>
      <c r="H81" s="4">
        <f t="shared" si="44"/>
        <v>45647</v>
      </c>
      <c r="I81" s="60" t="str">
        <f>+VLOOKUP(A81,'[1]BDD-Avk Tx'!B:BZ,77,0)</f>
        <v>CDI</v>
      </c>
      <c r="J81" s="4">
        <f t="shared" si="45"/>
        <v>45647</v>
      </c>
      <c r="N81" s="3"/>
      <c r="P81" s="54">
        <f t="shared" si="51"/>
        <v>13.25</v>
      </c>
      <c r="Q81" s="61">
        <v>0</v>
      </c>
      <c r="R81" s="62">
        <f t="shared" si="52"/>
        <v>20</v>
      </c>
      <c r="S81" s="54">
        <f t="shared" si="36"/>
        <v>1.5</v>
      </c>
      <c r="T81" s="54">
        <f t="shared" si="36"/>
        <v>1.5</v>
      </c>
      <c r="U81" s="54">
        <f t="shared" si="36"/>
        <v>1.5</v>
      </c>
      <c r="V81" s="54">
        <f t="shared" si="36"/>
        <v>1.5</v>
      </c>
      <c r="W81" s="54">
        <f t="shared" si="36"/>
        <v>1.5</v>
      </c>
      <c r="X81" s="54">
        <f t="shared" si="36"/>
        <v>1.5</v>
      </c>
      <c r="Y81" s="54">
        <f t="shared" si="36"/>
        <v>1.5</v>
      </c>
      <c r="Z81" s="54">
        <f t="shared" si="36"/>
        <v>1.5</v>
      </c>
      <c r="AA81" s="54">
        <f t="shared" si="36"/>
        <v>1.5</v>
      </c>
      <c r="AB81" s="54">
        <f t="shared" si="36"/>
        <v>3.5</v>
      </c>
      <c r="AC81" s="54">
        <f t="shared" si="36"/>
        <v>1.5</v>
      </c>
      <c r="AD81" s="54">
        <f t="shared" si="36"/>
        <v>1.5</v>
      </c>
      <c r="AF81" s="62">
        <f t="shared" si="46"/>
        <v>4</v>
      </c>
      <c r="AG81" s="64">
        <v>0</v>
      </c>
      <c r="AH81" s="64">
        <v>0</v>
      </c>
      <c r="AI81" s="65">
        <v>4</v>
      </c>
      <c r="AJ81" s="66"/>
      <c r="AK81" s="64"/>
      <c r="AL81" s="64"/>
      <c r="AM81" s="64"/>
      <c r="AN81" s="64"/>
      <c r="AO81" s="64"/>
      <c r="AP81" s="64"/>
      <c r="AQ81" s="64"/>
      <c r="AR81" s="64"/>
      <c r="AS81" s="67">
        <f t="shared" si="47"/>
        <v>16</v>
      </c>
      <c r="AT81" s="68"/>
      <c r="AU81" s="69">
        <v>3.2000000000000455</v>
      </c>
      <c r="AV81" s="62">
        <f t="shared" si="40"/>
        <v>564</v>
      </c>
      <c r="AW81" s="54">
        <f t="shared" si="42"/>
        <v>42.300000000000004</v>
      </c>
      <c r="AX81" s="54">
        <f t="shared" si="42"/>
        <v>42.300000000000004</v>
      </c>
      <c r="AY81" s="54">
        <f t="shared" si="42"/>
        <v>42.300000000000004</v>
      </c>
      <c r="AZ81" s="54">
        <f t="shared" si="41"/>
        <v>42.300000000000004</v>
      </c>
      <c r="BA81" s="54">
        <f t="shared" si="41"/>
        <v>42.300000000000004</v>
      </c>
      <c r="BB81" s="54">
        <f t="shared" si="41"/>
        <v>42.300000000000004</v>
      </c>
      <c r="BC81" s="54">
        <f t="shared" si="41"/>
        <v>42.300000000000004</v>
      </c>
      <c r="BD81" s="54">
        <f t="shared" si="41"/>
        <v>42.300000000000004</v>
      </c>
      <c r="BE81" s="54">
        <f t="shared" si="41"/>
        <v>42.300000000000004</v>
      </c>
      <c r="BF81" s="54">
        <f t="shared" si="41"/>
        <v>98.700000000000017</v>
      </c>
      <c r="BG81" s="54">
        <f t="shared" si="41"/>
        <v>42.300000000000004</v>
      </c>
      <c r="BH81" s="54">
        <f t="shared" si="41"/>
        <v>42.300000000000004</v>
      </c>
      <c r="BI81" s="62">
        <f t="shared" si="37"/>
        <v>-112.80000000000001</v>
      </c>
      <c r="BJ81" s="59">
        <f t="shared" si="38"/>
        <v>0</v>
      </c>
      <c r="BK81" s="59">
        <f t="shared" si="38"/>
        <v>0</v>
      </c>
      <c r="BL81" s="59">
        <f t="shared" si="38"/>
        <v>-112.80000000000001</v>
      </c>
      <c r="BM81" s="59">
        <f t="shared" si="38"/>
        <v>0</v>
      </c>
      <c r="BN81" s="59">
        <f t="shared" si="38"/>
        <v>0</v>
      </c>
      <c r="BO81" s="59">
        <f t="shared" si="38"/>
        <v>0</v>
      </c>
      <c r="BP81" s="59">
        <f t="shared" si="38"/>
        <v>0</v>
      </c>
      <c r="BQ81" s="59">
        <f t="shared" si="38"/>
        <v>0</v>
      </c>
      <c r="BR81" s="59">
        <f t="shared" si="38"/>
        <v>0</v>
      </c>
      <c r="BS81" s="59">
        <f t="shared" si="38"/>
        <v>0</v>
      </c>
      <c r="BT81" s="59">
        <f t="shared" si="38"/>
        <v>0</v>
      </c>
      <c r="BU81" s="59">
        <f t="shared" si="38"/>
        <v>0</v>
      </c>
      <c r="BV81" s="67">
        <f t="shared" si="48"/>
        <v>454.40000000000003</v>
      </c>
      <c r="BX81" s="54">
        <f t="shared" si="53"/>
        <v>54.990000000000009</v>
      </c>
      <c r="BY81" s="54">
        <f t="shared" si="53"/>
        <v>54.990000000000009</v>
      </c>
      <c r="BZ81" s="54">
        <f t="shared" si="53"/>
        <v>54.990000000000009</v>
      </c>
      <c r="CA81" s="54">
        <f t="shared" si="49"/>
        <v>54.990000000000009</v>
      </c>
      <c r="CB81" s="54">
        <f t="shared" si="49"/>
        <v>54.990000000000009</v>
      </c>
      <c r="CC81" s="54">
        <f t="shared" si="49"/>
        <v>54.990000000000009</v>
      </c>
      <c r="CD81" s="54">
        <f t="shared" si="49"/>
        <v>54.990000000000009</v>
      </c>
      <c r="CE81" s="54">
        <f t="shared" si="49"/>
        <v>54.990000000000009</v>
      </c>
      <c r="CF81" s="54">
        <f t="shared" si="49"/>
        <v>54.990000000000009</v>
      </c>
      <c r="CG81" s="54">
        <f t="shared" si="43"/>
        <v>128.31</v>
      </c>
      <c r="CH81" s="54">
        <f t="shared" si="43"/>
        <v>54.990000000000009</v>
      </c>
      <c r="CI81" s="54">
        <f t="shared" si="43"/>
        <v>54.990000000000009</v>
      </c>
      <c r="CJ81" s="74">
        <f t="shared" si="39"/>
        <v>733.2</v>
      </c>
      <c r="CK81" s="59">
        <f t="shared" si="54"/>
        <v>20</v>
      </c>
      <c r="CL81" s="9">
        <f t="shared" si="55"/>
        <v>0</v>
      </c>
      <c r="CM81" s="71">
        <f t="shared" si="50"/>
        <v>733.2</v>
      </c>
      <c r="CN81" s="54"/>
      <c r="CO81" s="73"/>
      <c r="CP81" s="56"/>
    </row>
    <row r="82" spans="1:94" ht="20.25" customHeight="1">
      <c r="A82" s="1" t="s">
        <v>238</v>
      </c>
      <c r="B82" s="1" t="s">
        <v>239</v>
      </c>
      <c r="C82" s="1" t="s">
        <v>240</v>
      </c>
      <c r="D82" s="58">
        <f>+VLOOKUP(A82,'[1]BDD-Avk Tx'!B:CE,82,0)</f>
        <v>281</v>
      </c>
      <c r="E82" s="59">
        <v>634.4</v>
      </c>
      <c r="G82" s="4">
        <v>41153</v>
      </c>
      <c r="H82" s="4">
        <f t="shared" si="44"/>
        <v>45647</v>
      </c>
      <c r="I82" s="60" t="str">
        <f>+VLOOKUP(A82,'[1]BDD-Avk Tx'!B:BZ,77,0)</f>
        <v>CDI</v>
      </c>
      <c r="J82" s="4">
        <f t="shared" si="45"/>
        <v>45647</v>
      </c>
      <c r="N82" s="3"/>
      <c r="P82" s="54">
        <f t="shared" si="51"/>
        <v>13.25</v>
      </c>
      <c r="Q82" s="61">
        <v>1</v>
      </c>
      <c r="R82" s="62">
        <f t="shared" si="52"/>
        <v>20</v>
      </c>
      <c r="S82" s="54">
        <f t="shared" si="36"/>
        <v>1.5</v>
      </c>
      <c r="T82" s="54">
        <f t="shared" si="36"/>
        <v>1.5</v>
      </c>
      <c r="U82" s="54">
        <f t="shared" si="36"/>
        <v>1.5</v>
      </c>
      <c r="V82" s="54">
        <f t="shared" ref="T82:AF104" si="56">+IF(AND(AND($O82="",$P82&gt;=10,MONTH($G82)=MONTH(V$5))),1.5+2,+IF(AND(AND($O82="",$P82&gt;=5,MONTH($G82)=MONTH(V$5))),1.5+1,+IF(AND(AND($P82=5,$O82="",MONTH($G82)=MONTH(V$5))),1.5,+IF(AND($H82&gt;V$5,MONTH($H82)=MONTH(V$5)),1.5/30*(V$4-DAY($H82)),+IF(AND(MONTH($H82)&lt;MONTH(V$5),$O82=""),1.5,+IF(AND($H82=$S$5,$O82=""),1.5,IF($O82&lt;V$5,0,IF(MONTH($O82)=MONTH(V$5),1.5/30*($O82-V$5),1.5))))))))</f>
        <v>1.5</v>
      </c>
      <c r="W82" s="54">
        <f t="shared" si="56"/>
        <v>1.5</v>
      </c>
      <c r="X82" s="54">
        <f t="shared" si="56"/>
        <v>1.5</v>
      </c>
      <c r="Y82" s="54">
        <f t="shared" si="56"/>
        <v>1.5</v>
      </c>
      <c r="Z82" s="54">
        <f t="shared" si="56"/>
        <v>1.5</v>
      </c>
      <c r="AA82" s="54">
        <f t="shared" si="56"/>
        <v>1.5</v>
      </c>
      <c r="AB82" s="54">
        <f t="shared" si="56"/>
        <v>3.5</v>
      </c>
      <c r="AC82" s="54">
        <f t="shared" si="56"/>
        <v>1.5</v>
      </c>
      <c r="AD82" s="54">
        <f t="shared" si="56"/>
        <v>1.5</v>
      </c>
      <c r="AF82" s="62">
        <f t="shared" si="46"/>
        <v>0</v>
      </c>
      <c r="AG82" s="64">
        <v>0</v>
      </c>
      <c r="AH82" s="64">
        <v>0</v>
      </c>
      <c r="AI82" s="65">
        <v>0</v>
      </c>
      <c r="AJ82" s="66"/>
      <c r="AK82" s="64"/>
      <c r="AL82" s="64"/>
      <c r="AM82" s="64"/>
      <c r="AN82" s="64"/>
      <c r="AO82" s="64"/>
      <c r="AP82" s="64"/>
      <c r="AQ82" s="64"/>
      <c r="AR82" s="64"/>
      <c r="AS82" s="67">
        <f t="shared" si="47"/>
        <v>21</v>
      </c>
      <c r="AT82" s="68"/>
      <c r="AU82" s="69">
        <v>42.923076923077019</v>
      </c>
      <c r="AV82" s="62">
        <f t="shared" si="40"/>
        <v>488</v>
      </c>
      <c r="AW82" s="54">
        <f t="shared" si="42"/>
        <v>36.599999999999994</v>
      </c>
      <c r="AX82" s="54">
        <f t="shared" si="42"/>
        <v>36.599999999999994</v>
      </c>
      <c r="AY82" s="54">
        <f t="shared" si="42"/>
        <v>36.599999999999994</v>
      </c>
      <c r="AZ82" s="54">
        <f t="shared" si="41"/>
        <v>36.599999999999994</v>
      </c>
      <c r="BA82" s="54">
        <f t="shared" si="41"/>
        <v>36.599999999999994</v>
      </c>
      <c r="BB82" s="54">
        <f t="shared" si="41"/>
        <v>36.599999999999994</v>
      </c>
      <c r="BC82" s="54">
        <f t="shared" si="41"/>
        <v>36.599999999999994</v>
      </c>
      <c r="BD82" s="54">
        <f t="shared" si="41"/>
        <v>36.599999999999994</v>
      </c>
      <c r="BE82" s="54">
        <f t="shared" si="41"/>
        <v>36.599999999999994</v>
      </c>
      <c r="BF82" s="54">
        <f t="shared" si="41"/>
        <v>85.399999999999991</v>
      </c>
      <c r="BG82" s="54">
        <f t="shared" si="41"/>
        <v>36.599999999999994</v>
      </c>
      <c r="BH82" s="54">
        <f t="shared" si="41"/>
        <v>36.599999999999994</v>
      </c>
      <c r="BI82" s="62">
        <f t="shared" si="37"/>
        <v>0</v>
      </c>
      <c r="BJ82" s="59">
        <f t="shared" si="38"/>
        <v>0</v>
      </c>
      <c r="BK82" s="59">
        <f t="shared" si="38"/>
        <v>0</v>
      </c>
      <c r="BL82" s="59">
        <f t="shared" si="38"/>
        <v>0</v>
      </c>
      <c r="BM82" s="59">
        <f t="shared" si="38"/>
        <v>0</v>
      </c>
      <c r="BN82" s="59">
        <f t="shared" si="38"/>
        <v>0</v>
      </c>
      <c r="BO82" s="59">
        <f t="shared" si="38"/>
        <v>0</v>
      </c>
      <c r="BP82" s="59">
        <f t="shared" si="38"/>
        <v>0</v>
      </c>
      <c r="BQ82" s="59">
        <f t="shared" si="38"/>
        <v>0</v>
      </c>
      <c r="BR82" s="59">
        <f t="shared" si="38"/>
        <v>0</v>
      </c>
      <c r="BS82" s="59">
        <f t="shared" si="38"/>
        <v>0</v>
      </c>
      <c r="BT82" s="59">
        <f t="shared" si="38"/>
        <v>0</v>
      </c>
      <c r="BU82" s="59">
        <f t="shared" si="38"/>
        <v>0</v>
      </c>
      <c r="BV82" s="67">
        <f t="shared" si="48"/>
        <v>530.92307692307702</v>
      </c>
      <c r="BX82" s="54">
        <f t="shared" si="53"/>
        <v>47.58</v>
      </c>
      <c r="BY82" s="54">
        <f t="shared" si="53"/>
        <v>47.58</v>
      </c>
      <c r="BZ82" s="54">
        <f t="shared" si="53"/>
        <v>47.58</v>
      </c>
      <c r="CA82" s="54">
        <f t="shared" si="49"/>
        <v>47.58</v>
      </c>
      <c r="CB82" s="54">
        <f t="shared" si="49"/>
        <v>47.58</v>
      </c>
      <c r="CC82" s="54">
        <f t="shared" si="49"/>
        <v>47.58</v>
      </c>
      <c r="CD82" s="54">
        <f t="shared" si="49"/>
        <v>47.58</v>
      </c>
      <c r="CE82" s="54">
        <f t="shared" si="49"/>
        <v>47.58</v>
      </c>
      <c r="CF82" s="54">
        <f t="shared" si="49"/>
        <v>47.58</v>
      </c>
      <c r="CG82" s="54">
        <f t="shared" si="43"/>
        <v>111.02</v>
      </c>
      <c r="CH82" s="54">
        <f t="shared" si="43"/>
        <v>47.58</v>
      </c>
      <c r="CI82" s="54">
        <f t="shared" si="43"/>
        <v>47.58</v>
      </c>
      <c r="CJ82" s="74">
        <f t="shared" si="39"/>
        <v>634.4</v>
      </c>
      <c r="CK82" s="59">
        <f t="shared" si="54"/>
        <v>20</v>
      </c>
      <c r="CL82" s="9">
        <f t="shared" si="55"/>
        <v>0</v>
      </c>
      <c r="CM82" s="71">
        <f t="shared" si="50"/>
        <v>634.4</v>
      </c>
      <c r="CN82" s="72"/>
      <c r="CO82" s="73"/>
    </row>
    <row r="83" spans="1:94" ht="20.25" customHeight="1">
      <c r="A83" s="75" t="s">
        <v>241</v>
      </c>
      <c r="B83" s="1" t="s">
        <v>242</v>
      </c>
      <c r="C83" s="1" t="s">
        <v>230</v>
      </c>
      <c r="D83" s="58">
        <f>+VLOOKUP(A83,'[1]BDD-Avk Tx'!B:CE,82,0)</f>
        <v>281</v>
      </c>
      <c r="E83" s="59">
        <v>475.8</v>
      </c>
      <c r="G83" s="4">
        <v>41153</v>
      </c>
      <c r="H83" s="4">
        <f t="shared" si="44"/>
        <v>45647</v>
      </c>
      <c r="I83" s="60" t="str">
        <f>+VLOOKUP(A83,'[1]BDD-Avk Tx'!B:BZ,77,0)</f>
        <v>CDI</v>
      </c>
      <c r="J83" s="4">
        <f t="shared" si="45"/>
        <v>45647</v>
      </c>
      <c r="N83" s="3"/>
      <c r="P83" s="54">
        <f t="shared" si="51"/>
        <v>13.25</v>
      </c>
      <c r="Q83" s="61">
        <v>2</v>
      </c>
      <c r="R83" s="62">
        <f t="shared" si="52"/>
        <v>20</v>
      </c>
      <c r="S83" s="54">
        <f t="shared" ref="S83:AD142" si="57">+IF(AND(AND($O83="",$P83&gt;=10,MONTH($G83)=MONTH(S$5))),1.5+2,+IF(AND(AND($O83="",$P83&gt;=5,MONTH($G83)=MONTH(S$5))),1.5+1,+IF(AND(AND($P83=5,$O83="",MONTH($G83)=MONTH(S$5))),1.5,+IF(AND($H83&gt;S$5,MONTH($H83)=MONTH(S$5)),1.5/30*(S$4-DAY($H83)),+IF(AND(MONTH($H83)&lt;MONTH(S$5),$O83=""),1.5,+IF(AND($H83=$S$5,$O83=""),1.5,IF($O83&lt;S$5,0,IF(MONTH($O83)=MONTH(S$5),1.5/30*($O83-S$5),1.5))))))))</f>
        <v>1.5</v>
      </c>
      <c r="T83" s="54">
        <f t="shared" si="56"/>
        <v>1.5</v>
      </c>
      <c r="U83" s="54">
        <f t="shared" si="56"/>
        <v>1.5</v>
      </c>
      <c r="V83" s="54">
        <f t="shared" si="56"/>
        <v>1.5</v>
      </c>
      <c r="W83" s="54">
        <f t="shared" si="56"/>
        <v>1.5</v>
      </c>
      <c r="X83" s="54">
        <f t="shared" si="56"/>
        <v>1.5</v>
      </c>
      <c r="Y83" s="54">
        <f t="shared" si="56"/>
        <v>1.5</v>
      </c>
      <c r="Z83" s="54">
        <f t="shared" si="56"/>
        <v>1.5</v>
      </c>
      <c r="AA83" s="54">
        <f t="shared" si="56"/>
        <v>1.5</v>
      </c>
      <c r="AB83" s="54">
        <f t="shared" si="56"/>
        <v>3.5</v>
      </c>
      <c r="AC83" s="54">
        <f t="shared" si="56"/>
        <v>1.5</v>
      </c>
      <c r="AD83" s="54">
        <f t="shared" si="56"/>
        <v>1.5</v>
      </c>
      <c r="AF83" s="62">
        <f t="shared" si="46"/>
        <v>0</v>
      </c>
      <c r="AG83" s="64">
        <v>0</v>
      </c>
      <c r="AH83" s="64">
        <v>0</v>
      </c>
      <c r="AI83" s="65">
        <v>0</v>
      </c>
      <c r="AJ83" s="66"/>
      <c r="AK83" s="64"/>
      <c r="AL83" s="64"/>
      <c r="AM83" s="64"/>
      <c r="AN83" s="64"/>
      <c r="AO83" s="64"/>
      <c r="AP83" s="64"/>
      <c r="AQ83" s="64"/>
      <c r="AR83" s="64"/>
      <c r="AS83" s="67">
        <f t="shared" si="47"/>
        <v>22</v>
      </c>
      <c r="AT83" s="68"/>
      <c r="AU83" s="69">
        <v>44.733076923076737</v>
      </c>
      <c r="AV83" s="62">
        <f t="shared" si="40"/>
        <v>365.99999999999994</v>
      </c>
      <c r="AW83" s="54">
        <f t="shared" si="42"/>
        <v>27.450000000000003</v>
      </c>
      <c r="AX83" s="54">
        <f t="shared" si="42"/>
        <v>27.450000000000003</v>
      </c>
      <c r="AY83" s="54">
        <f t="shared" si="42"/>
        <v>27.450000000000003</v>
      </c>
      <c r="AZ83" s="54">
        <f t="shared" si="41"/>
        <v>27.450000000000003</v>
      </c>
      <c r="BA83" s="54">
        <f t="shared" si="41"/>
        <v>27.450000000000003</v>
      </c>
      <c r="BB83" s="54">
        <f t="shared" si="41"/>
        <v>27.450000000000003</v>
      </c>
      <c r="BC83" s="54">
        <f t="shared" si="41"/>
        <v>27.450000000000003</v>
      </c>
      <c r="BD83" s="54">
        <f t="shared" si="41"/>
        <v>27.450000000000003</v>
      </c>
      <c r="BE83" s="54">
        <f t="shared" si="41"/>
        <v>27.450000000000003</v>
      </c>
      <c r="BF83" s="54">
        <f t="shared" si="41"/>
        <v>64.05</v>
      </c>
      <c r="BG83" s="54">
        <f t="shared" si="41"/>
        <v>27.450000000000003</v>
      </c>
      <c r="BH83" s="54">
        <f t="shared" si="41"/>
        <v>27.450000000000003</v>
      </c>
      <c r="BI83" s="62">
        <f t="shared" si="37"/>
        <v>0</v>
      </c>
      <c r="BJ83" s="59">
        <f t="shared" si="38"/>
        <v>0</v>
      </c>
      <c r="BK83" s="59">
        <f t="shared" si="38"/>
        <v>0</v>
      </c>
      <c r="BL83" s="59">
        <f t="shared" si="38"/>
        <v>0</v>
      </c>
      <c r="BM83" s="59">
        <f t="shared" si="38"/>
        <v>0</v>
      </c>
      <c r="BN83" s="59">
        <f t="shared" si="38"/>
        <v>0</v>
      </c>
      <c r="BO83" s="59">
        <f t="shared" si="38"/>
        <v>0</v>
      </c>
      <c r="BP83" s="59">
        <f t="shared" si="38"/>
        <v>0</v>
      </c>
      <c r="BQ83" s="59">
        <f t="shared" si="38"/>
        <v>0</v>
      </c>
      <c r="BR83" s="59">
        <f t="shared" si="38"/>
        <v>0</v>
      </c>
      <c r="BS83" s="59">
        <f t="shared" si="38"/>
        <v>0</v>
      </c>
      <c r="BT83" s="59">
        <f t="shared" si="38"/>
        <v>0</v>
      </c>
      <c r="BU83" s="59">
        <f t="shared" si="38"/>
        <v>0</v>
      </c>
      <c r="BV83" s="67">
        <f t="shared" si="48"/>
        <v>410.73307692307668</v>
      </c>
      <c r="BX83" s="54">
        <f t="shared" si="53"/>
        <v>35.685000000000002</v>
      </c>
      <c r="BY83" s="54">
        <f t="shared" si="53"/>
        <v>35.685000000000002</v>
      </c>
      <c r="BZ83" s="54">
        <f t="shared" si="53"/>
        <v>35.685000000000002</v>
      </c>
      <c r="CA83" s="54">
        <f t="shared" si="49"/>
        <v>35.685000000000002</v>
      </c>
      <c r="CB83" s="54">
        <f t="shared" si="49"/>
        <v>35.685000000000002</v>
      </c>
      <c r="CC83" s="54">
        <f t="shared" si="49"/>
        <v>35.685000000000002</v>
      </c>
      <c r="CD83" s="54">
        <f t="shared" si="49"/>
        <v>35.685000000000002</v>
      </c>
      <c r="CE83" s="54">
        <f t="shared" si="49"/>
        <v>35.685000000000002</v>
      </c>
      <c r="CF83" s="54">
        <f t="shared" si="49"/>
        <v>35.685000000000002</v>
      </c>
      <c r="CG83" s="54">
        <f t="shared" si="43"/>
        <v>83.265000000000001</v>
      </c>
      <c r="CH83" s="54">
        <f t="shared" si="43"/>
        <v>35.685000000000002</v>
      </c>
      <c r="CI83" s="54">
        <f t="shared" si="43"/>
        <v>35.685000000000002</v>
      </c>
      <c r="CJ83" s="74">
        <f t="shared" si="39"/>
        <v>475.8</v>
      </c>
      <c r="CK83" s="59">
        <f t="shared" si="54"/>
        <v>20</v>
      </c>
      <c r="CL83" s="9">
        <f t="shared" si="55"/>
        <v>0</v>
      </c>
      <c r="CM83" s="71">
        <f t="shared" si="50"/>
        <v>475.8</v>
      </c>
      <c r="CN83" s="54"/>
      <c r="CO83" s="73"/>
      <c r="CP83" s="56"/>
    </row>
    <row r="84" spans="1:94" ht="20.25" customHeight="1">
      <c r="A84" s="1" t="s">
        <v>243</v>
      </c>
      <c r="B84" s="1" t="s">
        <v>244</v>
      </c>
      <c r="C84" s="1" t="s">
        <v>233</v>
      </c>
      <c r="D84" s="58">
        <f>+VLOOKUP(A84,'[1]BDD-Avk Tx'!B:CE,82,0)</f>
        <v>281</v>
      </c>
      <c r="E84" s="59">
        <v>200.2</v>
      </c>
      <c r="G84" s="4">
        <v>41153</v>
      </c>
      <c r="H84" s="4">
        <f t="shared" si="44"/>
        <v>45647</v>
      </c>
      <c r="I84" s="60" t="str">
        <f>+VLOOKUP(A84,'[1]BDD-Avk Tx'!B:BZ,77,0)</f>
        <v>CDI</v>
      </c>
      <c r="J84" s="4">
        <f t="shared" si="45"/>
        <v>45647</v>
      </c>
      <c r="N84" s="3"/>
      <c r="P84" s="54">
        <f t="shared" si="51"/>
        <v>13.25</v>
      </c>
      <c r="Q84" s="61">
        <v>1</v>
      </c>
      <c r="R84" s="62">
        <f t="shared" si="52"/>
        <v>20</v>
      </c>
      <c r="S84" s="54">
        <f t="shared" si="57"/>
        <v>1.5</v>
      </c>
      <c r="T84" s="54">
        <f t="shared" si="56"/>
        <v>1.5</v>
      </c>
      <c r="U84" s="54">
        <f t="shared" si="56"/>
        <v>1.5</v>
      </c>
      <c r="V84" s="54">
        <f t="shared" si="56"/>
        <v>1.5</v>
      </c>
      <c r="W84" s="54">
        <f t="shared" si="56"/>
        <v>1.5</v>
      </c>
      <c r="X84" s="54">
        <f t="shared" si="56"/>
        <v>1.5</v>
      </c>
      <c r="Y84" s="54">
        <f t="shared" si="56"/>
        <v>1.5</v>
      </c>
      <c r="Z84" s="54">
        <f t="shared" si="56"/>
        <v>1.5</v>
      </c>
      <c r="AA84" s="54">
        <f t="shared" si="56"/>
        <v>1.5</v>
      </c>
      <c r="AB84" s="54">
        <f t="shared" si="56"/>
        <v>3.5</v>
      </c>
      <c r="AC84" s="54">
        <f t="shared" si="56"/>
        <v>1.5</v>
      </c>
      <c r="AD84" s="54">
        <f t="shared" si="56"/>
        <v>1.5</v>
      </c>
      <c r="AF84" s="62">
        <f t="shared" si="46"/>
        <v>0</v>
      </c>
      <c r="AG84" s="64">
        <v>0</v>
      </c>
      <c r="AH84" s="64">
        <v>0</v>
      </c>
      <c r="AI84" s="65">
        <v>0</v>
      </c>
      <c r="AJ84" s="66"/>
      <c r="AK84" s="64"/>
      <c r="AL84" s="64"/>
      <c r="AM84" s="64"/>
      <c r="AN84" s="64"/>
      <c r="AO84" s="64"/>
      <c r="AP84" s="64"/>
      <c r="AQ84" s="64"/>
      <c r="AR84" s="64"/>
      <c r="AS84" s="67">
        <f t="shared" si="47"/>
        <v>21</v>
      </c>
      <c r="AT84" s="68"/>
      <c r="AU84" s="69">
        <v>5.5326923076923151</v>
      </c>
      <c r="AV84" s="62">
        <f t="shared" si="40"/>
        <v>154</v>
      </c>
      <c r="AW84" s="54">
        <f t="shared" si="42"/>
        <v>11.549999999999999</v>
      </c>
      <c r="AX84" s="54">
        <f t="shared" si="42"/>
        <v>11.549999999999999</v>
      </c>
      <c r="AY84" s="54">
        <f t="shared" si="42"/>
        <v>11.549999999999999</v>
      </c>
      <c r="AZ84" s="54">
        <f t="shared" si="41"/>
        <v>11.549999999999999</v>
      </c>
      <c r="BA84" s="54">
        <f t="shared" si="41"/>
        <v>11.549999999999999</v>
      </c>
      <c r="BB84" s="54">
        <f t="shared" si="41"/>
        <v>11.549999999999999</v>
      </c>
      <c r="BC84" s="54">
        <f t="shared" si="41"/>
        <v>11.549999999999999</v>
      </c>
      <c r="BD84" s="54">
        <f t="shared" si="41"/>
        <v>11.549999999999999</v>
      </c>
      <c r="BE84" s="54">
        <f t="shared" si="41"/>
        <v>11.549999999999999</v>
      </c>
      <c r="BF84" s="54">
        <f t="shared" si="41"/>
        <v>26.949999999999996</v>
      </c>
      <c r="BG84" s="54">
        <f t="shared" si="41"/>
        <v>11.549999999999999</v>
      </c>
      <c r="BH84" s="54">
        <f t="shared" si="41"/>
        <v>11.549999999999999</v>
      </c>
      <c r="BI84" s="62">
        <f t="shared" si="37"/>
        <v>0</v>
      </c>
      <c r="BJ84" s="59">
        <f t="shared" si="38"/>
        <v>0</v>
      </c>
      <c r="BK84" s="59">
        <f t="shared" si="38"/>
        <v>0</v>
      </c>
      <c r="BL84" s="59">
        <f t="shared" si="38"/>
        <v>0</v>
      </c>
      <c r="BM84" s="59">
        <f t="shared" si="38"/>
        <v>0</v>
      </c>
      <c r="BN84" s="59">
        <f t="shared" si="38"/>
        <v>0</v>
      </c>
      <c r="BO84" s="59">
        <f t="shared" si="38"/>
        <v>0</v>
      </c>
      <c r="BP84" s="59">
        <f t="shared" si="38"/>
        <v>0</v>
      </c>
      <c r="BQ84" s="59">
        <f t="shared" si="38"/>
        <v>0</v>
      </c>
      <c r="BR84" s="59">
        <f t="shared" si="38"/>
        <v>0</v>
      </c>
      <c r="BS84" s="59">
        <f t="shared" si="38"/>
        <v>0</v>
      </c>
      <c r="BT84" s="59">
        <f t="shared" si="38"/>
        <v>0</v>
      </c>
      <c r="BU84" s="59">
        <f t="shared" si="38"/>
        <v>0</v>
      </c>
      <c r="BV84" s="67">
        <f t="shared" si="48"/>
        <v>159.53269230769232</v>
      </c>
      <c r="BX84" s="54">
        <f t="shared" si="53"/>
        <v>15.015000000000001</v>
      </c>
      <c r="BY84" s="54">
        <f t="shared" si="53"/>
        <v>15.015000000000001</v>
      </c>
      <c r="BZ84" s="54">
        <f t="shared" si="53"/>
        <v>15.015000000000001</v>
      </c>
      <c r="CA84" s="54">
        <f t="shared" si="49"/>
        <v>15.015000000000001</v>
      </c>
      <c r="CB84" s="54">
        <f t="shared" si="49"/>
        <v>15.015000000000001</v>
      </c>
      <c r="CC84" s="54">
        <f t="shared" si="49"/>
        <v>15.015000000000001</v>
      </c>
      <c r="CD84" s="54">
        <f t="shared" si="49"/>
        <v>15.015000000000001</v>
      </c>
      <c r="CE84" s="54">
        <f t="shared" si="49"/>
        <v>15.015000000000001</v>
      </c>
      <c r="CF84" s="54">
        <f t="shared" si="49"/>
        <v>15.015000000000001</v>
      </c>
      <c r="CG84" s="54">
        <f t="shared" si="43"/>
        <v>35.034999999999997</v>
      </c>
      <c r="CH84" s="54">
        <f t="shared" si="43"/>
        <v>15.015000000000001</v>
      </c>
      <c r="CI84" s="54">
        <f t="shared" si="43"/>
        <v>15.015000000000001</v>
      </c>
      <c r="CJ84" s="74">
        <f t="shared" si="39"/>
        <v>200.2</v>
      </c>
      <c r="CK84" s="59">
        <f t="shared" si="54"/>
        <v>20</v>
      </c>
      <c r="CL84" s="9">
        <f t="shared" si="55"/>
        <v>0</v>
      </c>
      <c r="CM84" s="71">
        <f t="shared" si="50"/>
        <v>200.2</v>
      </c>
      <c r="CN84" s="72"/>
      <c r="CO84" s="73"/>
    </row>
    <row r="85" spans="1:94" ht="20.25" customHeight="1">
      <c r="A85" s="75" t="s">
        <v>245</v>
      </c>
      <c r="B85" s="1" t="s">
        <v>246</v>
      </c>
      <c r="C85" s="1" t="s">
        <v>247</v>
      </c>
      <c r="D85" s="58">
        <f>+VLOOKUP(A85,'[1]BDD-Avk Tx'!B:CE,82,0)</f>
        <v>281</v>
      </c>
      <c r="E85" s="59">
        <v>308.10000000000002</v>
      </c>
      <c r="G85" s="4">
        <v>41153</v>
      </c>
      <c r="H85" s="4">
        <f t="shared" si="44"/>
        <v>45647</v>
      </c>
      <c r="I85" s="60" t="str">
        <f>+VLOOKUP(A85,'[1]BDD-Avk Tx'!B:BZ,77,0)</f>
        <v>CDI</v>
      </c>
      <c r="J85" s="4">
        <f t="shared" si="45"/>
        <v>45647</v>
      </c>
      <c r="N85" s="3"/>
      <c r="P85" s="54">
        <f t="shared" si="51"/>
        <v>13.25</v>
      </c>
      <c r="Q85" s="61">
        <v>3</v>
      </c>
      <c r="R85" s="62">
        <f t="shared" si="52"/>
        <v>20</v>
      </c>
      <c r="S85" s="54">
        <f t="shared" si="57"/>
        <v>1.5</v>
      </c>
      <c r="T85" s="54">
        <f t="shared" si="56"/>
        <v>1.5</v>
      </c>
      <c r="U85" s="54">
        <f t="shared" si="56"/>
        <v>1.5</v>
      </c>
      <c r="V85" s="54">
        <f t="shared" si="56"/>
        <v>1.5</v>
      </c>
      <c r="W85" s="54">
        <f t="shared" si="56"/>
        <v>1.5</v>
      </c>
      <c r="X85" s="54">
        <f t="shared" si="56"/>
        <v>1.5</v>
      </c>
      <c r="Y85" s="54">
        <f t="shared" si="56"/>
        <v>1.5</v>
      </c>
      <c r="Z85" s="54">
        <f t="shared" si="56"/>
        <v>1.5</v>
      </c>
      <c r="AA85" s="54">
        <f t="shared" si="56"/>
        <v>1.5</v>
      </c>
      <c r="AB85" s="54">
        <f t="shared" si="56"/>
        <v>3.5</v>
      </c>
      <c r="AC85" s="54">
        <f t="shared" si="56"/>
        <v>1.5</v>
      </c>
      <c r="AD85" s="54">
        <f t="shared" si="56"/>
        <v>1.5</v>
      </c>
      <c r="AF85" s="62">
        <f t="shared" si="46"/>
        <v>0</v>
      </c>
      <c r="AG85" s="64">
        <v>0</v>
      </c>
      <c r="AH85" s="64">
        <v>0</v>
      </c>
      <c r="AI85" s="65">
        <v>0</v>
      </c>
      <c r="AJ85" s="66"/>
      <c r="AK85" s="64"/>
      <c r="AL85" s="64"/>
      <c r="AM85" s="64"/>
      <c r="AN85" s="64"/>
      <c r="AO85" s="64"/>
      <c r="AP85" s="64"/>
      <c r="AQ85" s="64"/>
      <c r="AR85" s="64"/>
      <c r="AS85" s="67">
        <f t="shared" si="47"/>
        <v>23</v>
      </c>
      <c r="AT85" s="68"/>
      <c r="AU85" s="69">
        <v>33.057692307692321</v>
      </c>
      <c r="AV85" s="62">
        <f t="shared" si="40"/>
        <v>237.00000000000006</v>
      </c>
      <c r="AW85" s="54">
        <f t="shared" si="42"/>
        <v>17.775000000000002</v>
      </c>
      <c r="AX85" s="54">
        <f t="shared" si="42"/>
        <v>17.775000000000002</v>
      </c>
      <c r="AY85" s="54">
        <f t="shared" si="42"/>
        <v>17.775000000000002</v>
      </c>
      <c r="AZ85" s="54">
        <f t="shared" si="41"/>
        <v>17.775000000000002</v>
      </c>
      <c r="BA85" s="54">
        <f t="shared" si="41"/>
        <v>17.775000000000002</v>
      </c>
      <c r="BB85" s="54">
        <f t="shared" si="41"/>
        <v>17.775000000000002</v>
      </c>
      <c r="BC85" s="54">
        <f t="shared" si="41"/>
        <v>17.775000000000002</v>
      </c>
      <c r="BD85" s="54">
        <f t="shared" si="41"/>
        <v>17.775000000000002</v>
      </c>
      <c r="BE85" s="54">
        <f t="shared" si="41"/>
        <v>17.775000000000002</v>
      </c>
      <c r="BF85" s="54">
        <f t="shared" si="41"/>
        <v>41.475000000000009</v>
      </c>
      <c r="BG85" s="54">
        <f t="shared" si="41"/>
        <v>17.775000000000002</v>
      </c>
      <c r="BH85" s="54">
        <f t="shared" si="41"/>
        <v>17.775000000000002</v>
      </c>
      <c r="BI85" s="62">
        <f t="shared" si="37"/>
        <v>0</v>
      </c>
      <c r="BJ85" s="59">
        <f t="shared" si="38"/>
        <v>0</v>
      </c>
      <c r="BK85" s="59">
        <f t="shared" si="38"/>
        <v>0</v>
      </c>
      <c r="BL85" s="59">
        <f t="shared" si="38"/>
        <v>0</v>
      </c>
      <c r="BM85" s="59">
        <f t="shared" ref="BJ85:BU134" si="58">(+IF($K85="",$E85/26*AJ85,IF(MONTH($K85)=MONTH(BM$5),$L85/26*AJ85,IF(AND($K85&lt;BM$5,(MONTH($K85)&lt;&gt;MONTH(BM$5))),$L85/26*AJ85,$E85/26*AJ85))))*-1</f>
        <v>0</v>
      </c>
      <c r="BN85" s="59">
        <f t="shared" si="58"/>
        <v>0</v>
      </c>
      <c r="BO85" s="59">
        <f t="shared" si="58"/>
        <v>0</v>
      </c>
      <c r="BP85" s="59">
        <f t="shared" si="58"/>
        <v>0</v>
      </c>
      <c r="BQ85" s="59">
        <f t="shared" si="58"/>
        <v>0</v>
      </c>
      <c r="BR85" s="59">
        <f t="shared" si="58"/>
        <v>0</v>
      </c>
      <c r="BS85" s="59">
        <f t="shared" si="58"/>
        <v>0</v>
      </c>
      <c r="BT85" s="59">
        <f t="shared" si="58"/>
        <v>0</v>
      </c>
      <c r="BU85" s="59">
        <f t="shared" si="58"/>
        <v>0</v>
      </c>
      <c r="BV85" s="67">
        <f t="shared" si="48"/>
        <v>270.05769230769238</v>
      </c>
      <c r="BX85" s="54">
        <f t="shared" si="53"/>
        <v>23.107500000000002</v>
      </c>
      <c r="BY85" s="54">
        <f t="shared" si="53"/>
        <v>23.107500000000002</v>
      </c>
      <c r="BZ85" s="54">
        <f t="shared" si="53"/>
        <v>23.107500000000002</v>
      </c>
      <c r="CA85" s="54">
        <f t="shared" si="49"/>
        <v>23.107500000000002</v>
      </c>
      <c r="CB85" s="54">
        <f t="shared" si="49"/>
        <v>23.107500000000002</v>
      </c>
      <c r="CC85" s="54">
        <f t="shared" si="49"/>
        <v>23.107500000000002</v>
      </c>
      <c r="CD85" s="54">
        <f t="shared" si="49"/>
        <v>23.107500000000002</v>
      </c>
      <c r="CE85" s="54">
        <f t="shared" si="49"/>
        <v>23.107500000000002</v>
      </c>
      <c r="CF85" s="54">
        <f t="shared" si="49"/>
        <v>23.107500000000002</v>
      </c>
      <c r="CG85" s="54">
        <f t="shared" si="43"/>
        <v>53.917500000000004</v>
      </c>
      <c r="CH85" s="54">
        <f t="shared" si="43"/>
        <v>23.107500000000002</v>
      </c>
      <c r="CI85" s="54">
        <f t="shared" si="43"/>
        <v>23.107500000000002</v>
      </c>
      <c r="CJ85" s="74">
        <f t="shared" si="39"/>
        <v>308.10000000000008</v>
      </c>
      <c r="CK85" s="59">
        <f t="shared" si="54"/>
        <v>20</v>
      </c>
      <c r="CL85" s="9">
        <f t="shared" si="55"/>
        <v>0</v>
      </c>
      <c r="CM85" s="71">
        <f t="shared" si="50"/>
        <v>308.10000000000002</v>
      </c>
      <c r="CN85" s="54"/>
      <c r="CO85" s="73"/>
      <c r="CP85" s="56"/>
    </row>
    <row r="86" spans="1:94" ht="20.25" customHeight="1">
      <c r="A86" s="1" t="s">
        <v>248</v>
      </c>
      <c r="B86" s="1" t="s">
        <v>249</v>
      </c>
      <c r="C86" s="1" t="s">
        <v>233</v>
      </c>
      <c r="D86" s="58">
        <f>+VLOOKUP(A86,'[1]BDD-Avk Tx'!B:CE,82,0)</f>
        <v>281</v>
      </c>
      <c r="E86" s="59">
        <v>200.2</v>
      </c>
      <c r="G86" s="4">
        <v>41153</v>
      </c>
      <c r="H86" s="4">
        <f t="shared" si="44"/>
        <v>45647</v>
      </c>
      <c r="I86" s="60" t="str">
        <f>+VLOOKUP(A86,'[1]BDD-Avk Tx'!B:BZ,77,0)</f>
        <v>CDI</v>
      </c>
      <c r="J86" s="4">
        <f t="shared" si="45"/>
        <v>45647</v>
      </c>
      <c r="N86" s="3"/>
      <c r="P86" s="54">
        <f t="shared" si="51"/>
        <v>13.25</v>
      </c>
      <c r="Q86" s="61">
        <v>1</v>
      </c>
      <c r="R86" s="62">
        <f t="shared" si="52"/>
        <v>20</v>
      </c>
      <c r="S86" s="54">
        <f t="shared" si="57"/>
        <v>1.5</v>
      </c>
      <c r="T86" s="54">
        <f t="shared" si="56"/>
        <v>1.5</v>
      </c>
      <c r="U86" s="54">
        <f t="shared" si="56"/>
        <v>1.5</v>
      </c>
      <c r="V86" s="54">
        <f t="shared" si="56"/>
        <v>1.5</v>
      </c>
      <c r="W86" s="54">
        <f t="shared" si="56"/>
        <v>1.5</v>
      </c>
      <c r="X86" s="54">
        <f t="shared" si="56"/>
        <v>1.5</v>
      </c>
      <c r="Y86" s="54">
        <f t="shared" si="56"/>
        <v>1.5</v>
      </c>
      <c r="Z86" s="54">
        <f t="shared" si="56"/>
        <v>1.5</v>
      </c>
      <c r="AA86" s="54">
        <f t="shared" si="56"/>
        <v>1.5</v>
      </c>
      <c r="AB86" s="54">
        <f t="shared" si="56"/>
        <v>3.5</v>
      </c>
      <c r="AC86" s="54">
        <f t="shared" si="56"/>
        <v>1.5</v>
      </c>
      <c r="AD86" s="54">
        <f t="shared" si="56"/>
        <v>1.5</v>
      </c>
      <c r="AF86" s="62">
        <f t="shared" si="46"/>
        <v>0</v>
      </c>
      <c r="AG86" s="64">
        <v>0</v>
      </c>
      <c r="AH86" s="64">
        <v>0</v>
      </c>
      <c r="AI86" s="65">
        <v>0</v>
      </c>
      <c r="AJ86" s="66"/>
      <c r="AK86" s="64"/>
      <c r="AL86" s="64"/>
      <c r="AM86" s="64"/>
      <c r="AN86" s="64"/>
      <c r="AO86" s="64"/>
      <c r="AP86" s="64"/>
      <c r="AQ86" s="64"/>
      <c r="AR86" s="64"/>
      <c r="AS86" s="67">
        <f t="shared" si="47"/>
        <v>21</v>
      </c>
      <c r="AT86" s="68"/>
      <c r="AU86" s="69">
        <v>11.724999999999994</v>
      </c>
      <c r="AV86" s="62">
        <f t="shared" si="40"/>
        <v>154</v>
      </c>
      <c r="AW86" s="54">
        <f t="shared" si="42"/>
        <v>11.549999999999999</v>
      </c>
      <c r="AX86" s="54">
        <f t="shared" si="42"/>
        <v>11.549999999999999</v>
      </c>
      <c r="AY86" s="54">
        <f t="shared" si="42"/>
        <v>11.549999999999999</v>
      </c>
      <c r="AZ86" s="54">
        <f t="shared" si="41"/>
        <v>11.549999999999999</v>
      </c>
      <c r="BA86" s="54">
        <f t="shared" si="41"/>
        <v>11.549999999999999</v>
      </c>
      <c r="BB86" s="54">
        <f t="shared" si="41"/>
        <v>11.549999999999999</v>
      </c>
      <c r="BC86" s="54">
        <f t="shared" si="41"/>
        <v>11.549999999999999</v>
      </c>
      <c r="BD86" s="54">
        <f t="shared" si="41"/>
        <v>11.549999999999999</v>
      </c>
      <c r="BE86" s="54">
        <f t="shared" si="41"/>
        <v>11.549999999999999</v>
      </c>
      <c r="BF86" s="54">
        <f t="shared" si="41"/>
        <v>26.949999999999996</v>
      </c>
      <c r="BG86" s="54">
        <f t="shared" si="41"/>
        <v>11.549999999999999</v>
      </c>
      <c r="BH86" s="54">
        <f t="shared" si="41"/>
        <v>11.549999999999999</v>
      </c>
      <c r="BI86" s="62">
        <f t="shared" si="37"/>
        <v>0</v>
      </c>
      <c r="BJ86" s="59">
        <f t="shared" si="58"/>
        <v>0</v>
      </c>
      <c r="BK86" s="59">
        <f t="shared" si="58"/>
        <v>0</v>
      </c>
      <c r="BL86" s="59">
        <f t="shared" si="58"/>
        <v>0</v>
      </c>
      <c r="BM86" s="59">
        <f t="shared" si="58"/>
        <v>0</v>
      </c>
      <c r="BN86" s="59">
        <f t="shared" si="58"/>
        <v>0</v>
      </c>
      <c r="BO86" s="59">
        <f t="shared" si="58"/>
        <v>0</v>
      </c>
      <c r="BP86" s="59">
        <f t="shared" si="58"/>
        <v>0</v>
      </c>
      <c r="BQ86" s="59">
        <f t="shared" si="58"/>
        <v>0</v>
      </c>
      <c r="BR86" s="59">
        <f t="shared" si="58"/>
        <v>0</v>
      </c>
      <c r="BS86" s="59">
        <f t="shared" si="58"/>
        <v>0</v>
      </c>
      <c r="BT86" s="59">
        <f t="shared" si="58"/>
        <v>0</v>
      </c>
      <c r="BU86" s="59">
        <f t="shared" si="58"/>
        <v>0</v>
      </c>
      <c r="BV86" s="67">
        <f t="shared" si="48"/>
        <v>165.72499999999999</v>
      </c>
      <c r="BX86" s="54">
        <f t="shared" si="53"/>
        <v>15.015000000000001</v>
      </c>
      <c r="BY86" s="54">
        <f t="shared" si="53"/>
        <v>15.015000000000001</v>
      </c>
      <c r="BZ86" s="54">
        <f t="shared" si="53"/>
        <v>15.015000000000001</v>
      </c>
      <c r="CA86" s="54">
        <f t="shared" si="49"/>
        <v>15.015000000000001</v>
      </c>
      <c r="CB86" s="54">
        <f t="shared" si="49"/>
        <v>15.015000000000001</v>
      </c>
      <c r="CC86" s="54">
        <f t="shared" si="49"/>
        <v>15.015000000000001</v>
      </c>
      <c r="CD86" s="54">
        <f t="shared" si="49"/>
        <v>15.015000000000001</v>
      </c>
      <c r="CE86" s="54">
        <f t="shared" si="49"/>
        <v>15.015000000000001</v>
      </c>
      <c r="CF86" s="54">
        <f t="shared" si="49"/>
        <v>15.015000000000001</v>
      </c>
      <c r="CG86" s="54">
        <f t="shared" si="43"/>
        <v>35.034999999999997</v>
      </c>
      <c r="CH86" s="54">
        <f t="shared" si="43"/>
        <v>15.015000000000001</v>
      </c>
      <c r="CI86" s="54">
        <f t="shared" si="43"/>
        <v>15.015000000000001</v>
      </c>
      <c r="CJ86" s="74">
        <f t="shared" si="39"/>
        <v>200.2</v>
      </c>
      <c r="CK86" s="59">
        <f t="shared" si="54"/>
        <v>20</v>
      </c>
      <c r="CL86" s="9">
        <f t="shared" si="55"/>
        <v>0</v>
      </c>
      <c r="CM86" s="71">
        <f t="shared" si="50"/>
        <v>200.2</v>
      </c>
      <c r="CN86" s="72"/>
      <c r="CO86" s="73"/>
    </row>
    <row r="87" spans="1:94" ht="20.25" customHeight="1">
      <c r="A87" s="75" t="s">
        <v>250</v>
      </c>
      <c r="B87" s="1" t="s">
        <v>251</v>
      </c>
      <c r="C87" s="1" t="s">
        <v>252</v>
      </c>
      <c r="D87" s="58">
        <f>+VLOOKUP(A87,'[1]BDD-Avk Tx'!B:CE,82,0)</f>
        <v>281</v>
      </c>
      <c r="E87" s="59">
        <v>846.3</v>
      </c>
      <c r="G87" s="4">
        <v>41295</v>
      </c>
      <c r="H87" s="4">
        <f t="shared" si="44"/>
        <v>45647</v>
      </c>
      <c r="I87" s="60" t="str">
        <f>+VLOOKUP(A87,'[1]BDD-Avk Tx'!B:BZ,77,0)</f>
        <v>CDI</v>
      </c>
      <c r="J87" s="4">
        <f t="shared" si="45"/>
        <v>45647</v>
      </c>
      <c r="N87" s="3"/>
      <c r="P87" s="54">
        <f t="shared" si="51"/>
        <v>12.833333333333334</v>
      </c>
      <c r="Q87" s="61">
        <v>0</v>
      </c>
      <c r="R87" s="62">
        <f t="shared" si="52"/>
        <v>20</v>
      </c>
      <c r="S87" s="54">
        <f t="shared" si="57"/>
        <v>1.5</v>
      </c>
      <c r="T87" s="54">
        <f t="shared" si="56"/>
        <v>3.5</v>
      </c>
      <c r="U87" s="54">
        <f t="shared" si="56"/>
        <v>1.5</v>
      </c>
      <c r="V87" s="54">
        <f t="shared" si="56"/>
        <v>1.5</v>
      </c>
      <c r="W87" s="54">
        <f t="shared" si="56"/>
        <v>1.5</v>
      </c>
      <c r="X87" s="54">
        <f t="shared" si="56"/>
        <v>1.5</v>
      </c>
      <c r="Y87" s="54">
        <f t="shared" si="56"/>
        <v>1.5</v>
      </c>
      <c r="Z87" s="54">
        <f t="shared" si="56"/>
        <v>1.5</v>
      </c>
      <c r="AA87" s="54">
        <f t="shared" si="56"/>
        <v>1.5</v>
      </c>
      <c r="AB87" s="54">
        <f t="shared" si="56"/>
        <v>1.5</v>
      </c>
      <c r="AC87" s="54">
        <f t="shared" si="56"/>
        <v>1.5</v>
      </c>
      <c r="AD87" s="54">
        <f t="shared" si="56"/>
        <v>1.5</v>
      </c>
      <c r="AF87" s="62">
        <f t="shared" si="46"/>
        <v>0</v>
      </c>
      <c r="AG87" s="64">
        <v>0</v>
      </c>
      <c r="AH87" s="64">
        <v>0</v>
      </c>
      <c r="AI87" s="65">
        <v>0</v>
      </c>
      <c r="AJ87" s="66"/>
      <c r="AK87" s="64"/>
      <c r="AL87" s="64"/>
      <c r="AM87" s="64"/>
      <c r="AN87" s="64"/>
      <c r="AO87" s="64"/>
      <c r="AP87" s="64"/>
      <c r="AQ87" s="64"/>
      <c r="AR87" s="64"/>
      <c r="AS87" s="67">
        <f t="shared" si="47"/>
        <v>20</v>
      </c>
      <c r="AT87" s="68"/>
      <c r="AU87" s="69">
        <v>-30.630769230769033</v>
      </c>
      <c r="AV87" s="62">
        <f t="shared" si="40"/>
        <v>651</v>
      </c>
      <c r="AW87" s="54">
        <f t="shared" si="42"/>
        <v>48.824999999999996</v>
      </c>
      <c r="AX87" s="54">
        <f t="shared" si="42"/>
        <v>113.92499999999998</v>
      </c>
      <c r="AY87" s="54">
        <f t="shared" si="42"/>
        <v>48.824999999999996</v>
      </c>
      <c r="AZ87" s="54">
        <f t="shared" si="41"/>
        <v>48.824999999999996</v>
      </c>
      <c r="BA87" s="54">
        <f t="shared" si="41"/>
        <v>48.824999999999996</v>
      </c>
      <c r="BB87" s="54">
        <f t="shared" si="41"/>
        <v>48.824999999999996</v>
      </c>
      <c r="BC87" s="54">
        <f t="shared" si="41"/>
        <v>48.824999999999996</v>
      </c>
      <c r="BD87" s="54">
        <f t="shared" si="41"/>
        <v>48.824999999999996</v>
      </c>
      <c r="BE87" s="54">
        <f t="shared" si="41"/>
        <v>48.824999999999996</v>
      </c>
      <c r="BF87" s="54">
        <f t="shared" si="41"/>
        <v>48.824999999999996</v>
      </c>
      <c r="BG87" s="54">
        <f t="shared" si="41"/>
        <v>48.824999999999996</v>
      </c>
      <c r="BH87" s="54">
        <f t="shared" si="41"/>
        <v>48.824999999999996</v>
      </c>
      <c r="BI87" s="62">
        <f t="shared" si="37"/>
        <v>0</v>
      </c>
      <c r="BJ87" s="59">
        <f t="shared" si="58"/>
        <v>0</v>
      </c>
      <c r="BK87" s="59">
        <f t="shared" si="58"/>
        <v>0</v>
      </c>
      <c r="BL87" s="59">
        <f t="shared" si="58"/>
        <v>0</v>
      </c>
      <c r="BM87" s="59">
        <f t="shared" si="58"/>
        <v>0</v>
      </c>
      <c r="BN87" s="59">
        <f t="shared" si="58"/>
        <v>0</v>
      </c>
      <c r="BO87" s="59">
        <f t="shared" si="58"/>
        <v>0</v>
      </c>
      <c r="BP87" s="59">
        <f t="shared" si="58"/>
        <v>0</v>
      </c>
      <c r="BQ87" s="59">
        <f t="shared" si="58"/>
        <v>0</v>
      </c>
      <c r="BR87" s="59">
        <f t="shared" si="58"/>
        <v>0</v>
      </c>
      <c r="BS87" s="59">
        <f t="shared" si="58"/>
        <v>0</v>
      </c>
      <c r="BT87" s="59">
        <f t="shared" si="58"/>
        <v>0</v>
      </c>
      <c r="BU87" s="59">
        <f t="shared" si="58"/>
        <v>0</v>
      </c>
      <c r="BV87" s="67">
        <f t="shared" si="48"/>
        <v>620.36923076923097</v>
      </c>
      <c r="BX87" s="54">
        <f t="shared" si="53"/>
        <v>63.472499999999997</v>
      </c>
      <c r="BY87" s="54">
        <f t="shared" si="53"/>
        <v>148.10249999999999</v>
      </c>
      <c r="BZ87" s="54">
        <f t="shared" si="53"/>
        <v>63.472499999999997</v>
      </c>
      <c r="CA87" s="54">
        <f t="shared" si="49"/>
        <v>63.472499999999997</v>
      </c>
      <c r="CB87" s="54">
        <f t="shared" si="49"/>
        <v>63.472499999999997</v>
      </c>
      <c r="CC87" s="54">
        <f t="shared" si="49"/>
        <v>63.472499999999997</v>
      </c>
      <c r="CD87" s="54">
        <f t="shared" si="49"/>
        <v>63.472499999999997</v>
      </c>
      <c r="CE87" s="54">
        <f t="shared" si="49"/>
        <v>63.472499999999997</v>
      </c>
      <c r="CF87" s="54">
        <f t="shared" si="49"/>
        <v>63.472499999999997</v>
      </c>
      <c r="CG87" s="54">
        <f t="shared" si="43"/>
        <v>63.472499999999997</v>
      </c>
      <c r="CH87" s="54">
        <f t="shared" si="43"/>
        <v>63.472499999999997</v>
      </c>
      <c r="CI87" s="54">
        <f t="shared" si="43"/>
        <v>63.472499999999997</v>
      </c>
      <c r="CJ87" s="74">
        <f t="shared" si="39"/>
        <v>846.29999999999973</v>
      </c>
      <c r="CK87" s="59">
        <f t="shared" si="54"/>
        <v>20</v>
      </c>
      <c r="CL87" s="9">
        <f t="shared" si="55"/>
        <v>0</v>
      </c>
      <c r="CM87" s="71">
        <f t="shared" si="50"/>
        <v>846.3</v>
      </c>
      <c r="CN87" s="54"/>
      <c r="CO87" s="73"/>
      <c r="CP87" s="56"/>
    </row>
    <row r="88" spans="1:94" ht="20.25" customHeight="1">
      <c r="A88" s="1" t="s">
        <v>253</v>
      </c>
      <c r="B88" s="1" t="s">
        <v>254</v>
      </c>
      <c r="C88" s="1" t="s">
        <v>247</v>
      </c>
      <c r="D88" s="58">
        <f>+VLOOKUP(A88,'[1]BDD-Avk Tx'!B:CE,82,0)</f>
        <v>281</v>
      </c>
      <c r="E88" s="59">
        <v>308.10000000000002</v>
      </c>
      <c r="G88" s="4">
        <v>41153</v>
      </c>
      <c r="H88" s="4">
        <f t="shared" si="44"/>
        <v>45647</v>
      </c>
      <c r="I88" s="60" t="str">
        <f>+VLOOKUP(A88,'[1]BDD-Avk Tx'!B:BZ,77,0)</f>
        <v>CDI</v>
      </c>
      <c r="J88" s="4">
        <f t="shared" si="45"/>
        <v>45647</v>
      </c>
      <c r="N88" s="3"/>
      <c r="P88" s="54">
        <f t="shared" si="51"/>
        <v>13.25</v>
      </c>
      <c r="Q88" s="61">
        <v>1</v>
      </c>
      <c r="R88" s="62">
        <f t="shared" si="52"/>
        <v>20</v>
      </c>
      <c r="S88" s="54">
        <f t="shared" si="57"/>
        <v>1.5</v>
      </c>
      <c r="T88" s="54">
        <f t="shared" si="56"/>
        <v>1.5</v>
      </c>
      <c r="U88" s="54">
        <f t="shared" si="56"/>
        <v>1.5</v>
      </c>
      <c r="V88" s="54">
        <f t="shared" si="56"/>
        <v>1.5</v>
      </c>
      <c r="W88" s="54">
        <f t="shared" si="56"/>
        <v>1.5</v>
      </c>
      <c r="X88" s="54">
        <f t="shared" si="56"/>
        <v>1.5</v>
      </c>
      <c r="Y88" s="54">
        <f t="shared" si="56"/>
        <v>1.5</v>
      </c>
      <c r="Z88" s="54">
        <f t="shared" si="56"/>
        <v>1.5</v>
      </c>
      <c r="AA88" s="54">
        <f t="shared" si="56"/>
        <v>1.5</v>
      </c>
      <c r="AB88" s="54">
        <f t="shared" si="56"/>
        <v>3.5</v>
      </c>
      <c r="AC88" s="54">
        <f t="shared" si="56"/>
        <v>1.5</v>
      </c>
      <c r="AD88" s="54">
        <f t="shared" si="56"/>
        <v>1.5</v>
      </c>
      <c r="AF88" s="62">
        <f t="shared" si="46"/>
        <v>0</v>
      </c>
      <c r="AG88" s="64">
        <v>0</v>
      </c>
      <c r="AH88" s="64">
        <v>0</v>
      </c>
      <c r="AI88" s="65">
        <v>0</v>
      </c>
      <c r="AJ88" s="66"/>
      <c r="AK88" s="64"/>
      <c r="AL88" s="64"/>
      <c r="AM88" s="64"/>
      <c r="AN88" s="64"/>
      <c r="AO88" s="64"/>
      <c r="AP88" s="64"/>
      <c r="AQ88" s="64"/>
      <c r="AR88" s="64"/>
      <c r="AS88" s="67">
        <f t="shared" si="47"/>
        <v>21</v>
      </c>
      <c r="AT88" s="68"/>
      <c r="AU88" s="69">
        <v>15.900000000000034</v>
      </c>
      <c r="AV88" s="62">
        <f t="shared" si="40"/>
        <v>237.00000000000006</v>
      </c>
      <c r="AW88" s="54">
        <f t="shared" si="42"/>
        <v>17.775000000000002</v>
      </c>
      <c r="AX88" s="54">
        <f t="shared" si="42"/>
        <v>17.775000000000002</v>
      </c>
      <c r="AY88" s="54">
        <f t="shared" si="42"/>
        <v>17.775000000000002</v>
      </c>
      <c r="AZ88" s="54">
        <f t="shared" si="41"/>
        <v>17.775000000000002</v>
      </c>
      <c r="BA88" s="54">
        <f t="shared" si="41"/>
        <v>17.775000000000002</v>
      </c>
      <c r="BB88" s="54">
        <f t="shared" si="41"/>
        <v>17.775000000000002</v>
      </c>
      <c r="BC88" s="54">
        <f t="shared" si="41"/>
        <v>17.775000000000002</v>
      </c>
      <c r="BD88" s="54">
        <f t="shared" si="41"/>
        <v>17.775000000000002</v>
      </c>
      <c r="BE88" s="54">
        <f t="shared" si="41"/>
        <v>17.775000000000002</v>
      </c>
      <c r="BF88" s="54">
        <f t="shared" si="41"/>
        <v>41.475000000000009</v>
      </c>
      <c r="BG88" s="54">
        <f t="shared" si="41"/>
        <v>17.775000000000002</v>
      </c>
      <c r="BH88" s="54">
        <f t="shared" si="41"/>
        <v>17.775000000000002</v>
      </c>
      <c r="BI88" s="62">
        <f t="shared" si="37"/>
        <v>0</v>
      </c>
      <c r="BJ88" s="59">
        <f t="shared" si="58"/>
        <v>0</v>
      </c>
      <c r="BK88" s="59">
        <f t="shared" si="58"/>
        <v>0</v>
      </c>
      <c r="BL88" s="59">
        <f t="shared" si="58"/>
        <v>0</v>
      </c>
      <c r="BM88" s="59">
        <f t="shared" si="58"/>
        <v>0</v>
      </c>
      <c r="BN88" s="59">
        <f t="shared" si="58"/>
        <v>0</v>
      </c>
      <c r="BO88" s="59">
        <f t="shared" si="58"/>
        <v>0</v>
      </c>
      <c r="BP88" s="59">
        <f t="shared" si="58"/>
        <v>0</v>
      </c>
      <c r="BQ88" s="59">
        <f t="shared" si="58"/>
        <v>0</v>
      </c>
      <c r="BR88" s="59">
        <f t="shared" si="58"/>
        <v>0</v>
      </c>
      <c r="BS88" s="59">
        <f t="shared" si="58"/>
        <v>0</v>
      </c>
      <c r="BT88" s="59">
        <f t="shared" si="58"/>
        <v>0</v>
      </c>
      <c r="BU88" s="59">
        <f t="shared" si="58"/>
        <v>0</v>
      </c>
      <c r="BV88" s="67">
        <f t="shared" si="48"/>
        <v>252.90000000000009</v>
      </c>
      <c r="BX88" s="54">
        <f t="shared" si="53"/>
        <v>23.107500000000002</v>
      </c>
      <c r="BY88" s="54">
        <f t="shared" si="53"/>
        <v>23.107500000000002</v>
      </c>
      <c r="BZ88" s="54">
        <f t="shared" si="53"/>
        <v>23.107500000000002</v>
      </c>
      <c r="CA88" s="54">
        <f t="shared" si="49"/>
        <v>23.107500000000002</v>
      </c>
      <c r="CB88" s="54">
        <f t="shared" si="49"/>
        <v>23.107500000000002</v>
      </c>
      <c r="CC88" s="54">
        <f t="shared" si="49"/>
        <v>23.107500000000002</v>
      </c>
      <c r="CD88" s="54">
        <f t="shared" si="49"/>
        <v>23.107500000000002</v>
      </c>
      <c r="CE88" s="54">
        <f t="shared" si="49"/>
        <v>23.107500000000002</v>
      </c>
      <c r="CF88" s="54">
        <f t="shared" si="49"/>
        <v>23.107500000000002</v>
      </c>
      <c r="CG88" s="54">
        <f t="shared" si="43"/>
        <v>53.917500000000004</v>
      </c>
      <c r="CH88" s="54">
        <f t="shared" si="43"/>
        <v>23.107500000000002</v>
      </c>
      <c r="CI88" s="54">
        <f t="shared" si="43"/>
        <v>23.107500000000002</v>
      </c>
      <c r="CJ88" s="74">
        <f t="shared" si="39"/>
        <v>308.10000000000008</v>
      </c>
      <c r="CK88" s="59">
        <f t="shared" si="54"/>
        <v>20</v>
      </c>
      <c r="CL88" s="9">
        <f t="shared" si="55"/>
        <v>0</v>
      </c>
      <c r="CM88" s="71">
        <f t="shared" si="50"/>
        <v>308.10000000000002</v>
      </c>
      <c r="CN88" s="72"/>
      <c r="CO88" s="73"/>
    </row>
    <row r="89" spans="1:94" ht="20.25" customHeight="1">
      <c r="A89" s="75" t="s">
        <v>255</v>
      </c>
      <c r="B89" s="1" t="s">
        <v>256</v>
      </c>
      <c r="C89" s="1" t="s">
        <v>257</v>
      </c>
      <c r="D89" s="58">
        <f>+VLOOKUP(A89,'[1]BDD-Avk Tx'!B:CE,82,0)</f>
        <v>281</v>
      </c>
      <c r="E89" s="59">
        <v>200.2</v>
      </c>
      <c r="G89" s="4">
        <v>41153</v>
      </c>
      <c r="H89" s="4">
        <f t="shared" si="44"/>
        <v>45647</v>
      </c>
      <c r="I89" s="60" t="str">
        <f>+VLOOKUP(A89,'[1]BDD-Avk Tx'!B:BZ,77,0)</f>
        <v>CDI</v>
      </c>
      <c r="J89" s="4">
        <f t="shared" si="45"/>
        <v>45647</v>
      </c>
      <c r="N89" s="3"/>
      <c r="P89" s="54">
        <f t="shared" si="51"/>
        <v>13.25</v>
      </c>
      <c r="Q89" s="61">
        <v>4</v>
      </c>
      <c r="R89" s="62">
        <f t="shared" si="52"/>
        <v>20</v>
      </c>
      <c r="S89" s="54">
        <f t="shared" si="57"/>
        <v>1.5</v>
      </c>
      <c r="T89" s="54">
        <f t="shared" si="56"/>
        <v>1.5</v>
      </c>
      <c r="U89" s="54">
        <f t="shared" si="56"/>
        <v>1.5</v>
      </c>
      <c r="V89" s="54">
        <f t="shared" si="56"/>
        <v>1.5</v>
      </c>
      <c r="W89" s="54">
        <f t="shared" si="56"/>
        <v>1.5</v>
      </c>
      <c r="X89" s="54">
        <f t="shared" si="56"/>
        <v>1.5</v>
      </c>
      <c r="Y89" s="54">
        <f t="shared" si="56"/>
        <v>1.5</v>
      </c>
      <c r="Z89" s="54">
        <f t="shared" si="56"/>
        <v>1.5</v>
      </c>
      <c r="AA89" s="54">
        <f t="shared" si="56"/>
        <v>1.5</v>
      </c>
      <c r="AB89" s="54">
        <f t="shared" si="56"/>
        <v>3.5</v>
      </c>
      <c r="AC89" s="54">
        <f t="shared" si="56"/>
        <v>1.5</v>
      </c>
      <c r="AD89" s="54">
        <f t="shared" si="56"/>
        <v>1.5</v>
      </c>
      <c r="AF89" s="62">
        <f t="shared" si="46"/>
        <v>20</v>
      </c>
      <c r="AG89" s="64">
        <v>1</v>
      </c>
      <c r="AH89" s="64">
        <v>19</v>
      </c>
      <c r="AI89" s="65">
        <v>0</v>
      </c>
      <c r="AJ89" s="66"/>
      <c r="AK89" s="64"/>
      <c r="AL89" s="64"/>
      <c r="AM89" s="64"/>
      <c r="AN89" s="64"/>
      <c r="AO89" s="64"/>
      <c r="AP89" s="64"/>
      <c r="AQ89" s="64"/>
      <c r="AR89" s="64"/>
      <c r="AS89" s="67">
        <f t="shared" si="47"/>
        <v>4</v>
      </c>
      <c r="AT89" s="68"/>
      <c r="AU89" s="69">
        <v>27.7038461538462</v>
      </c>
      <c r="AV89" s="62">
        <f t="shared" si="40"/>
        <v>154</v>
      </c>
      <c r="AW89" s="54">
        <f t="shared" si="42"/>
        <v>11.549999999999999</v>
      </c>
      <c r="AX89" s="54">
        <f t="shared" si="42"/>
        <v>11.549999999999999</v>
      </c>
      <c r="AY89" s="54">
        <f t="shared" si="42"/>
        <v>11.549999999999999</v>
      </c>
      <c r="AZ89" s="54">
        <f t="shared" si="41"/>
        <v>11.549999999999999</v>
      </c>
      <c r="BA89" s="54">
        <f t="shared" si="41"/>
        <v>11.549999999999999</v>
      </c>
      <c r="BB89" s="54">
        <f t="shared" si="41"/>
        <v>11.549999999999999</v>
      </c>
      <c r="BC89" s="54">
        <f t="shared" si="41"/>
        <v>11.549999999999999</v>
      </c>
      <c r="BD89" s="54">
        <f t="shared" si="41"/>
        <v>11.549999999999999</v>
      </c>
      <c r="BE89" s="54">
        <f t="shared" si="41"/>
        <v>11.549999999999999</v>
      </c>
      <c r="BF89" s="54">
        <f t="shared" si="41"/>
        <v>26.949999999999996</v>
      </c>
      <c r="BG89" s="54">
        <f t="shared" si="41"/>
        <v>11.549999999999999</v>
      </c>
      <c r="BH89" s="54">
        <f t="shared" si="41"/>
        <v>11.549999999999999</v>
      </c>
      <c r="BI89" s="62">
        <f t="shared" si="37"/>
        <v>-153.99999999999997</v>
      </c>
      <c r="BJ89" s="59">
        <f t="shared" si="58"/>
        <v>-7.6999999999999993</v>
      </c>
      <c r="BK89" s="59">
        <f t="shared" si="58"/>
        <v>-146.29999999999998</v>
      </c>
      <c r="BL89" s="59">
        <f t="shared" si="58"/>
        <v>0</v>
      </c>
      <c r="BM89" s="59">
        <f t="shared" si="58"/>
        <v>0</v>
      </c>
      <c r="BN89" s="59">
        <f t="shared" si="58"/>
        <v>0</v>
      </c>
      <c r="BO89" s="59">
        <f t="shared" si="58"/>
        <v>0</v>
      </c>
      <c r="BP89" s="59">
        <f t="shared" si="58"/>
        <v>0</v>
      </c>
      <c r="BQ89" s="59">
        <f t="shared" si="58"/>
        <v>0</v>
      </c>
      <c r="BR89" s="59">
        <f t="shared" si="58"/>
        <v>0</v>
      </c>
      <c r="BS89" s="59">
        <f t="shared" si="58"/>
        <v>0</v>
      </c>
      <c r="BT89" s="59">
        <f t="shared" si="58"/>
        <v>0</v>
      </c>
      <c r="BU89" s="59">
        <f t="shared" si="58"/>
        <v>0</v>
      </c>
      <c r="BV89" s="67">
        <f t="shared" si="48"/>
        <v>27.703846153846229</v>
      </c>
      <c r="BX89" s="54">
        <f t="shared" si="53"/>
        <v>15.015000000000001</v>
      </c>
      <c r="BY89" s="54">
        <f t="shared" si="53"/>
        <v>15.015000000000001</v>
      </c>
      <c r="BZ89" s="54">
        <f t="shared" si="53"/>
        <v>15.015000000000001</v>
      </c>
      <c r="CA89" s="54">
        <f t="shared" si="49"/>
        <v>15.015000000000001</v>
      </c>
      <c r="CB89" s="54">
        <f t="shared" si="49"/>
        <v>15.015000000000001</v>
      </c>
      <c r="CC89" s="54">
        <f t="shared" si="49"/>
        <v>15.015000000000001</v>
      </c>
      <c r="CD89" s="54">
        <f t="shared" si="49"/>
        <v>15.015000000000001</v>
      </c>
      <c r="CE89" s="54">
        <f t="shared" si="49"/>
        <v>15.015000000000001</v>
      </c>
      <c r="CF89" s="54">
        <f t="shared" si="49"/>
        <v>15.015000000000001</v>
      </c>
      <c r="CG89" s="54">
        <f t="shared" si="43"/>
        <v>35.034999999999997</v>
      </c>
      <c r="CH89" s="54">
        <f t="shared" si="43"/>
        <v>15.015000000000001</v>
      </c>
      <c r="CI89" s="54">
        <f t="shared" si="43"/>
        <v>15.015000000000001</v>
      </c>
      <c r="CJ89" s="74">
        <f t="shared" si="39"/>
        <v>200.2</v>
      </c>
      <c r="CK89" s="59">
        <f t="shared" si="54"/>
        <v>20</v>
      </c>
      <c r="CL89" s="9">
        <f t="shared" si="55"/>
        <v>0</v>
      </c>
      <c r="CM89" s="71">
        <f t="shared" si="50"/>
        <v>200.2</v>
      </c>
      <c r="CN89" s="72"/>
      <c r="CO89" s="73"/>
    </row>
    <row r="90" spans="1:94" ht="20.25" customHeight="1">
      <c r="A90" s="1" t="s">
        <v>258</v>
      </c>
      <c r="B90" s="1" t="s">
        <v>259</v>
      </c>
      <c r="C90" s="1" t="s">
        <v>260</v>
      </c>
      <c r="D90" s="58">
        <f>+VLOOKUP(A90,'[1]BDD-Avk Tx'!B:CE,82,0)</f>
        <v>281</v>
      </c>
      <c r="E90" s="59">
        <v>200.2</v>
      </c>
      <c r="G90" s="4">
        <v>41153</v>
      </c>
      <c r="H90" s="4">
        <f t="shared" si="44"/>
        <v>45647</v>
      </c>
      <c r="I90" s="60" t="str">
        <f>+VLOOKUP(A90,'[1]BDD-Avk Tx'!B:BZ,77,0)</f>
        <v>CDI</v>
      </c>
      <c r="J90" s="4">
        <f t="shared" si="45"/>
        <v>45647</v>
      </c>
      <c r="N90" s="3"/>
      <c r="P90" s="54">
        <f t="shared" si="51"/>
        <v>13.25</v>
      </c>
      <c r="Q90" s="61">
        <v>6</v>
      </c>
      <c r="R90" s="62">
        <f t="shared" si="52"/>
        <v>20</v>
      </c>
      <c r="S90" s="54">
        <f t="shared" si="57"/>
        <v>1.5</v>
      </c>
      <c r="T90" s="54">
        <f t="shared" si="56"/>
        <v>1.5</v>
      </c>
      <c r="U90" s="54">
        <f t="shared" si="56"/>
        <v>1.5</v>
      </c>
      <c r="V90" s="54">
        <f t="shared" si="56"/>
        <v>1.5</v>
      </c>
      <c r="W90" s="54">
        <f t="shared" si="56"/>
        <v>1.5</v>
      </c>
      <c r="X90" s="54">
        <f t="shared" si="56"/>
        <v>1.5</v>
      </c>
      <c r="Y90" s="54">
        <f t="shared" si="56"/>
        <v>1.5</v>
      </c>
      <c r="Z90" s="54">
        <f t="shared" si="56"/>
        <v>1.5</v>
      </c>
      <c r="AA90" s="54">
        <f t="shared" si="56"/>
        <v>1.5</v>
      </c>
      <c r="AB90" s="54">
        <f t="shared" si="56"/>
        <v>3.5</v>
      </c>
      <c r="AC90" s="54">
        <f t="shared" si="56"/>
        <v>1.5</v>
      </c>
      <c r="AD90" s="54">
        <f t="shared" si="56"/>
        <v>1.5</v>
      </c>
      <c r="AF90" s="62">
        <f t="shared" si="46"/>
        <v>0</v>
      </c>
      <c r="AG90" s="64">
        <v>0</v>
      </c>
      <c r="AH90" s="64">
        <v>0</v>
      </c>
      <c r="AI90" s="65">
        <v>0</v>
      </c>
      <c r="AJ90" s="66"/>
      <c r="AK90" s="64"/>
      <c r="AL90" s="64"/>
      <c r="AM90" s="64"/>
      <c r="AN90" s="64"/>
      <c r="AO90" s="64"/>
      <c r="AP90" s="64"/>
      <c r="AQ90" s="64"/>
      <c r="AR90" s="64"/>
      <c r="AS90" s="67">
        <f t="shared" si="47"/>
        <v>26</v>
      </c>
      <c r="AT90" s="68"/>
      <c r="AU90" s="69">
        <v>44.032692307692315</v>
      </c>
      <c r="AV90" s="62">
        <f t="shared" si="40"/>
        <v>154</v>
      </c>
      <c r="AW90" s="54">
        <f t="shared" si="42"/>
        <v>11.549999999999999</v>
      </c>
      <c r="AX90" s="54">
        <f t="shared" si="42"/>
        <v>11.549999999999999</v>
      </c>
      <c r="AY90" s="54">
        <f t="shared" si="42"/>
        <v>11.549999999999999</v>
      </c>
      <c r="AZ90" s="54">
        <f t="shared" si="41"/>
        <v>11.549999999999999</v>
      </c>
      <c r="BA90" s="54">
        <f t="shared" si="41"/>
        <v>11.549999999999999</v>
      </c>
      <c r="BB90" s="54">
        <f t="shared" si="41"/>
        <v>11.549999999999999</v>
      </c>
      <c r="BC90" s="54">
        <f t="shared" si="41"/>
        <v>11.549999999999999</v>
      </c>
      <c r="BD90" s="54">
        <f t="shared" si="41"/>
        <v>11.549999999999999</v>
      </c>
      <c r="BE90" s="54">
        <f t="shared" si="41"/>
        <v>11.549999999999999</v>
      </c>
      <c r="BF90" s="54">
        <f t="shared" si="41"/>
        <v>26.949999999999996</v>
      </c>
      <c r="BG90" s="54">
        <f t="shared" si="41"/>
        <v>11.549999999999999</v>
      </c>
      <c r="BH90" s="54">
        <f t="shared" si="41"/>
        <v>11.549999999999999</v>
      </c>
      <c r="BI90" s="62">
        <f t="shared" si="37"/>
        <v>0</v>
      </c>
      <c r="BJ90" s="59">
        <f t="shared" si="58"/>
        <v>0</v>
      </c>
      <c r="BK90" s="59">
        <f t="shared" si="58"/>
        <v>0</v>
      </c>
      <c r="BL90" s="59">
        <f t="shared" si="58"/>
        <v>0</v>
      </c>
      <c r="BM90" s="59">
        <f t="shared" si="58"/>
        <v>0</v>
      </c>
      <c r="BN90" s="59">
        <f t="shared" si="58"/>
        <v>0</v>
      </c>
      <c r="BO90" s="59">
        <f t="shared" si="58"/>
        <v>0</v>
      </c>
      <c r="BP90" s="59">
        <f t="shared" si="58"/>
        <v>0</v>
      </c>
      <c r="BQ90" s="59">
        <f t="shared" si="58"/>
        <v>0</v>
      </c>
      <c r="BR90" s="59">
        <f t="shared" si="58"/>
        <v>0</v>
      </c>
      <c r="BS90" s="59">
        <f t="shared" si="58"/>
        <v>0</v>
      </c>
      <c r="BT90" s="59">
        <f t="shared" si="58"/>
        <v>0</v>
      </c>
      <c r="BU90" s="59">
        <f t="shared" si="58"/>
        <v>0</v>
      </c>
      <c r="BV90" s="67">
        <f t="shared" si="48"/>
        <v>198.03269230769232</v>
      </c>
      <c r="BX90" s="54">
        <f t="shared" si="53"/>
        <v>15.015000000000001</v>
      </c>
      <c r="BY90" s="54">
        <f t="shared" si="53"/>
        <v>15.015000000000001</v>
      </c>
      <c r="BZ90" s="54">
        <f t="shared" si="53"/>
        <v>15.015000000000001</v>
      </c>
      <c r="CA90" s="54">
        <f t="shared" si="49"/>
        <v>15.015000000000001</v>
      </c>
      <c r="CB90" s="54">
        <f t="shared" si="49"/>
        <v>15.015000000000001</v>
      </c>
      <c r="CC90" s="54">
        <f t="shared" si="49"/>
        <v>15.015000000000001</v>
      </c>
      <c r="CD90" s="54">
        <f t="shared" si="49"/>
        <v>15.015000000000001</v>
      </c>
      <c r="CE90" s="54">
        <f t="shared" si="49"/>
        <v>15.015000000000001</v>
      </c>
      <c r="CF90" s="54">
        <f t="shared" si="49"/>
        <v>15.015000000000001</v>
      </c>
      <c r="CG90" s="54">
        <f t="shared" si="43"/>
        <v>35.034999999999997</v>
      </c>
      <c r="CH90" s="54">
        <f t="shared" si="43"/>
        <v>15.015000000000001</v>
      </c>
      <c r="CI90" s="54">
        <f t="shared" si="43"/>
        <v>15.015000000000001</v>
      </c>
      <c r="CJ90" s="74">
        <f t="shared" si="39"/>
        <v>200.2</v>
      </c>
      <c r="CK90" s="59">
        <f t="shared" si="54"/>
        <v>20</v>
      </c>
      <c r="CL90" s="9">
        <f t="shared" si="55"/>
        <v>0</v>
      </c>
      <c r="CM90" s="71">
        <f t="shared" si="50"/>
        <v>200.2</v>
      </c>
      <c r="CN90" s="54"/>
      <c r="CO90" s="73"/>
      <c r="CP90" s="56"/>
    </row>
    <row r="91" spans="1:94" ht="20.25" customHeight="1">
      <c r="A91" s="75" t="s">
        <v>261</v>
      </c>
      <c r="B91" s="1" t="s">
        <v>262</v>
      </c>
      <c r="C91" s="1" t="s">
        <v>263</v>
      </c>
      <c r="D91" s="58">
        <f>+VLOOKUP(A91,'[1]BDD-Avk Tx'!B:CE,82,0)</f>
        <v>281</v>
      </c>
      <c r="E91" s="59">
        <v>267.8</v>
      </c>
      <c r="G91" s="4">
        <v>41153</v>
      </c>
      <c r="H91" s="4">
        <f t="shared" si="44"/>
        <v>45647</v>
      </c>
      <c r="I91" s="60" t="str">
        <f>+VLOOKUP(A91,'[1]BDD-Avk Tx'!B:BZ,77,0)</f>
        <v>CDI</v>
      </c>
      <c r="J91" s="4">
        <f t="shared" si="45"/>
        <v>45647</v>
      </c>
      <c r="N91" s="3"/>
      <c r="P91" s="54">
        <f t="shared" si="51"/>
        <v>13.25</v>
      </c>
      <c r="Q91" s="61">
        <v>0</v>
      </c>
      <c r="R91" s="62">
        <f t="shared" si="52"/>
        <v>20</v>
      </c>
      <c r="S91" s="54">
        <f t="shared" si="57"/>
        <v>1.5</v>
      </c>
      <c r="T91" s="54">
        <f t="shared" si="56"/>
        <v>1.5</v>
      </c>
      <c r="U91" s="54">
        <f t="shared" si="56"/>
        <v>1.5</v>
      </c>
      <c r="V91" s="54">
        <f t="shared" si="56"/>
        <v>1.5</v>
      </c>
      <c r="W91" s="54">
        <f t="shared" si="56"/>
        <v>1.5</v>
      </c>
      <c r="X91" s="54">
        <f t="shared" si="56"/>
        <v>1.5</v>
      </c>
      <c r="Y91" s="54">
        <f t="shared" si="56"/>
        <v>1.5</v>
      </c>
      <c r="Z91" s="54">
        <f t="shared" si="56"/>
        <v>1.5</v>
      </c>
      <c r="AA91" s="54">
        <f t="shared" si="56"/>
        <v>1.5</v>
      </c>
      <c r="AB91" s="54">
        <f t="shared" si="56"/>
        <v>3.5</v>
      </c>
      <c r="AC91" s="54">
        <f t="shared" si="56"/>
        <v>1.5</v>
      </c>
      <c r="AD91" s="54">
        <f t="shared" si="56"/>
        <v>1.5</v>
      </c>
      <c r="AF91" s="62">
        <f t="shared" si="46"/>
        <v>0</v>
      </c>
      <c r="AG91" s="64">
        <v>0</v>
      </c>
      <c r="AH91" s="64">
        <v>0</v>
      </c>
      <c r="AI91" s="65">
        <v>0</v>
      </c>
      <c r="AJ91" s="66"/>
      <c r="AK91" s="64"/>
      <c r="AL91" s="64"/>
      <c r="AM91" s="64"/>
      <c r="AN91" s="64"/>
      <c r="AO91" s="64"/>
      <c r="AP91" s="64"/>
      <c r="AQ91" s="64"/>
      <c r="AR91" s="64"/>
      <c r="AS91" s="67">
        <f t="shared" si="47"/>
        <v>20</v>
      </c>
      <c r="AT91" s="68"/>
      <c r="AU91" s="69">
        <v>-2.031538461538446</v>
      </c>
      <c r="AV91" s="62">
        <f t="shared" si="40"/>
        <v>206</v>
      </c>
      <c r="AW91" s="54">
        <f t="shared" si="42"/>
        <v>15.450000000000001</v>
      </c>
      <c r="AX91" s="54">
        <f t="shared" si="42"/>
        <v>15.450000000000001</v>
      </c>
      <c r="AY91" s="54">
        <f t="shared" si="42"/>
        <v>15.450000000000001</v>
      </c>
      <c r="AZ91" s="54">
        <f t="shared" si="41"/>
        <v>15.450000000000001</v>
      </c>
      <c r="BA91" s="54">
        <f t="shared" si="41"/>
        <v>15.450000000000001</v>
      </c>
      <c r="BB91" s="54">
        <f t="shared" si="41"/>
        <v>15.450000000000001</v>
      </c>
      <c r="BC91" s="54">
        <f t="shared" si="41"/>
        <v>15.450000000000001</v>
      </c>
      <c r="BD91" s="54">
        <f t="shared" si="41"/>
        <v>15.450000000000001</v>
      </c>
      <c r="BE91" s="54">
        <f t="shared" si="41"/>
        <v>15.450000000000001</v>
      </c>
      <c r="BF91" s="54">
        <f t="shared" si="41"/>
        <v>36.050000000000004</v>
      </c>
      <c r="BG91" s="54">
        <f t="shared" si="41"/>
        <v>15.450000000000001</v>
      </c>
      <c r="BH91" s="54">
        <f t="shared" si="41"/>
        <v>15.450000000000001</v>
      </c>
      <c r="BI91" s="62">
        <f t="shared" si="37"/>
        <v>0</v>
      </c>
      <c r="BJ91" s="59">
        <f t="shared" si="58"/>
        <v>0</v>
      </c>
      <c r="BK91" s="59">
        <f t="shared" si="58"/>
        <v>0</v>
      </c>
      <c r="BL91" s="59">
        <f t="shared" si="58"/>
        <v>0</v>
      </c>
      <c r="BM91" s="59">
        <f t="shared" si="58"/>
        <v>0</v>
      </c>
      <c r="BN91" s="59">
        <f t="shared" si="58"/>
        <v>0</v>
      </c>
      <c r="BO91" s="59">
        <f t="shared" si="58"/>
        <v>0</v>
      </c>
      <c r="BP91" s="59">
        <f t="shared" si="58"/>
        <v>0</v>
      </c>
      <c r="BQ91" s="59">
        <f t="shared" si="58"/>
        <v>0</v>
      </c>
      <c r="BR91" s="59">
        <f t="shared" si="58"/>
        <v>0</v>
      </c>
      <c r="BS91" s="59">
        <f t="shared" si="58"/>
        <v>0</v>
      </c>
      <c r="BT91" s="59">
        <f t="shared" si="58"/>
        <v>0</v>
      </c>
      <c r="BU91" s="59">
        <f t="shared" si="58"/>
        <v>0</v>
      </c>
      <c r="BV91" s="67">
        <f t="shared" si="48"/>
        <v>203.96846153846155</v>
      </c>
      <c r="BX91" s="54">
        <f t="shared" si="53"/>
        <v>20.085000000000001</v>
      </c>
      <c r="BY91" s="54">
        <f t="shared" si="53"/>
        <v>20.085000000000001</v>
      </c>
      <c r="BZ91" s="54">
        <f t="shared" si="53"/>
        <v>20.085000000000001</v>
      </c>
      <c r="CA91" s="54">
        <f t="shared" si="49"/>
        <v>20.085000000000001</v>
      </c>
      <c r="CB91" s="54">
        <f t="shared" si="49"/>
        <v>20.085000000000001</v>
      </c>
      <c r="CC91" s="54">
        <f t="shared" si="49"/>
        <v>20.085000000000001</v>
      </c>
      <c r="CD91" s="54">
        <f t="shared" si="49"/>
        <v>20.085000000000001</v>
      </c>
      <c r="CE91" s="54">
        <f t="shared" si="49"/>
        <v>20.085000000000001</v>
      </c>
      <c r="CF91" s="54">
        <f t="shared" si="49"/>
        <v>20.085000000000001</v>
      </c>
      <c r="CG91" s="54">
        <f t="shared" si="43"/>
        <v>46.865000000000002</v>
      </c>
      <c r="CH91" s="54">
        <f t="shared" si="43"/>
        <v>20.085000000000001</v>
      </c>
      <c r="CI91" s="54">
        <f t="shared" si="43"/>
        <v>20.085000000000001</v>
      </c>
      <c r="CJ91" s="74">
        <f t="shared" si="39"/>
        <v>267.80000000000007</v>
      </c>
      <c r="CK91" s="59">
        <f t="shared" si="54"/>
        <v>20</v>
      </c>
      <c r="CL91" s="9">
        <f t="shared" si="55"/>
        <v>0</v>
      </c>
      <c r="CM91" s="71">
        <f t="shared" si="50"/>
        <v>267.8</v>
      </c>
      <c r="CN91" s="72"/>
      <c r="CO91" s="73"/>
    </row>
    <row r="92" spans="1:94" ht="20.25" customHeight="1">
      <c r="A92" s="1" t="s">
        <v>264</v>
      </c>
      <c r="B92" s="1" t="s">
        <v>265</v>
      </c>
      <c r="C92" s="1" t="s">
        <v>247</v>
      </c>
      <c r="D92" s="58">
        <f>+VLOOKUP(A92,'[1]BDD-Avk Tx'!B:CE,82,0)</f>
        <v>281</v>
      </c>
      <c r="E92" s="59">
        <v>308.10000000000002</v>
      </c>
      <c r="G92" s="4">
        <v>41275</v>
      </c>
      <c r="H92" s="4">
        <f t="shared" si="44"/>
        <v>45647</v>
      </c>
      <c r="I92" s="60" t="str">
        <f>+VLOOKUP(A92,'[1]BDD-Avk Tx'!B:BZ,77,0)</f>
        <v>CDI</v>
      </c>
      <c r="J92" s="4">
        <f t="shared" si="45"/>
        <v>45647</v>
      </c>
      <c r="N92" s="3"/>
      <c r="P92" s="54">
        <f t="shared" si="51"/>
        <v>12.916666666666666</v>
      </c>
      <c r="Q92" s="61">
        <v>2</v>
      </c>
      <c r="R92" s="62">
        <f t="shared" si="52"/>
        <v>20</v>
      </c>
      <c r="S92" s="54">
        <f t="shared" si="57"/>
        <v>1.5</v>
      </c>
      <c r="T92" s="54">
        <f t="shared" si="56"/>
        <v>3.5</v>
      </c>
      <c r="U92" s="54">
        <f t="shared" si="56"/>
        <v>1.5</v>
      </c>
      <c r="V92" s="54">
        <f t="shared" si="56"/>
        <v>1.5</v>
      </c>
      <c r="W92" s="54">
        <f t="shared" si="56"/>
        <v>1.5</v>
      </c>
      <c r="X92" s="54">
        <f t="shared" si="56"/>
        <v>1.5</v>
      </c>
      <c r="Y92" s="54">
        <f t="shared" si="56"/>
        <v>1.5</v>
      </c>
      <c r="Z92" s="54">
        <f t="shared" si="56"/>
        <v>1.5</v>
      </c>
      <c r="AA92" s="54">
        <f t="shared" si="56"/>
        <v>1.5</v>
      </c>
      <c r="AB92" s="54">
        <f t="shared" si="56"/>
        <v>1.5</v>
      </c>
      <c r="AC92" s="54">
        <f t="shared" si="56"/>
        <v>1.5</v>
      </c>
      <c r="AD92" s="54">
        <f t="shared" si="56"/>
        <v>1.5</v>
      </c>
      <c r="AF92" s="62">
        <f t="shared" si="46"/>
        <v>0</v>
      </c>
      <c r="AG92" s="64">
        <v>0</v>
      </c>
      <c r="AH92" s="64">
        <v>0</v>
      </c>
      <c r="AI92" s="65">
        <v>0</v>
      </c>
      <c r="AJ92" s="66"/>
      <c r="AK92" s="64"/>
      <c r="AL92" s="64"/>
      <c r="AM92" s="64"/>
      <c r="AN92" s="64"/>
      <c r="AO92" s="64"/>
      <c r="AP92" s="64"/>
      <c r="AQ92" s="64"/>
      <c r="AR92" s="64"/>
      <c r="AS92" s="67">
        <f t="shared" si="47"/>
        <v>22</v>
      </c>
      <c r="AT92" s="68"/>
      <c r="AU92" s="69">
        <v>27.126923076923134</v>
      </c>
      <c r="AV92" s="62">
        <f t="shared" si="40"/>
        <v>237.00000000000006</v>
      </c>
      <c r="AW92" s="54">
        <f t="shared" si="42"/>
        <v>17.775000000000002</v>
      </c>
      <c r="AX92" s="54">
        <f t="shared" si="42"/>
        <v>41.475000000000009</v>
      </c>
      <c r="AY92" s="54">
        <f t="shared" si="42"/>
        <v>17.775000000000002</v>
      </c>
      <c r="AZ92" s="54">
        <f t="shared" si="41"/>
        <v>17.775000000000002</v>
      </c>
      <c r="BA92" s="54">
        <f t="shared" si="41"/>
        <v>17.775000000000002</v>
      </c>
      <c r="BB92" s="54">
        <f t="shared" si="41"/>
        <v>17.775000000000002</v>
      </c>
      <c r="BC92" s="54">
        <f t="shared" si="41"/>
        <v>17.775000000000002</v>
      </c>
      <c r="BD92" s="54">
        <f t="shared" si="41"/>
        <v>17.775000000000002</v>
      </c>
      <c r="BE92" s="54">
        <f t="shared" si="41"/>
        <v>17.775000000000002</v>
      </c>
      <c r="BF92" s="54">
        <f t="shared" si="41"/>
        <v>17.775000000000002</v>
      </c>
      <c r="BG92" s="54">
        <f t="shared" si="41"/>
        <v>17.775000000000002</v>
      </c>
      <c r="BH92" s="54">
        <f t="shared" si="41"/>
        <v>17.775000000000002</v>
      </c>
      <c r="BI92" s="62">
        <f t="shared" si="37"/>
        <v>0</v>
      </c>
      <c r="BJ92" s="59">
        <f t="shared" si="58"/>
        <v>0</v>
      </c>
      <c r="BK92" s="59">
        <f t="shared" si="58"/>
        <v>0</v>
      </c>
      <c r="BL92" s="59">
        <f t="shared" si="58"/>
        <v>0</v>
      </c>
      <c r="BM92" s="59">
        <f t="shared" si="58"/>
        <v>0</v>
      </c>
      <c r="BN92" s="59">
        <f t="shared" si="58"/>
        <v>0</v>
      </c>
      <c r="BO92" s="59">
        <f t="shared" si="58"/>
        <v>0</v>
      </c>
      <c r="BP92" s="59">
        <f t="shared" si="58"/>
        <v>0</v>
      </c>
      <c r="BQ92" s="59">
        <f t="shared" si="58"/>
        <v>0</v>
      </c>
      <c r="BR92" s="59">
        <f t="shared" si="58"/>
        <v>0</v>
      </c>
      <c r="BS92" s="59">
        <f t="shared" si="58"/>
        <v>0</v>
      </c>
      <c r="BT92" s="59">
        <f t="shared" si="58"/>
        <v>0</v>
      </c>
      <c r="BU92" s="59">
        <f t="shared" si="58"/>
        <v>0</v>
      </c>
      <c r="BV92" s="67">
        <f t="shared" si="48"/>
        <v>264.12692307692316</v>
      </c>
      <c r="BX92" s="54">
        <f t="shared" si="53"/>
        <v>23.107500000000002</v>
      </c>
      <c r="BY92" s="54">
        <f t="shared" si="53"/>
        <v>53.917500000000004</v>
      </c>
      <c r="BZ92" s="54">
        <f t="shared" si="53"/>
        <v>23.107500000000002</v>
      </c>
      <c r="CA92" s="54">
        <f t="shared" si="49"/>
        <v>23.107500000000002</v>
      </c>
      <c r="CB92" s="54">
        <f t="shared" si="49"/>
        <v>23.107500000000002</v>
      </c>
      <c r="CC92" s="54">
        <f t="shared" si="49"/>
        <v>23.107500000000002</v>
      </c>
      <c r="CD92" s="54">
        <f t="shared" si="49"/>
        <v>23.107500000000002</v>
      </c>
      <c r="CE92" s="54">
        <f t="shared" si="49"/>
        <v>23.107500000000002</v>
      </c>
      <c r="CF92" s="54">
        <f t="shared" si="49"/>
        <v>23.107500000000002</v>
      </c>
      <c r="CG92" s="54">
        <f t="shared" si="43"/>
        <v>23.107500000000002</v>
      </c>
      <c r="CH92" s="54">
        <f t="shared" si="43"/>
        <v>23.107500000000002</v>
      </c>
      <c r="CI92" s="54">
        <f t="shared" si="43"/>
        <v>23.107500000000002</v>
      </c>
      <c r="CJ92" s="74">
        <f t="shared" si="39"/>
        <v>308.10000000000014</v>
      </c>
      <c r="CK92" s="59">
        <f t="shared" si="54"/>
        <v>20</v>
      </c>
      <c r="CL92" s="9">
        <f t="shared" si="55"/>
        <v>0</v>
      </c>
      <c r="CM92" s="71">
        <f t="shared" si="50"/>
        <v>308.10000000000002</v>
      </c>
      <c r="CN92" s="54"/>
      <c r="CO92" s="73"/>
      <c r="CP92" s="56"/>
    </row>
    <row r="93" spans="1:94" ht="20.25" customHeight="1">
      <c r="A93" s="75" t="s">
        <v>266</v>
      </c>
      <c r="B93" s="1" t="s">
        <v>267</v>
      </c>
      <c r="C93" s="1" t="s">
        <v>268</v>
      </c>
      <c r="D93" s="58">
        <f>+VLOOKUP(A93,'[1]BDD-Avk Tx'!B:CE,82,0)</f>
        <v>281</v>
      </c>
      <c r="E93" s="59">
        <v>733.2</v>
      </c>
      <c r="G93" s="4">
        <v>41281</v>
      </c>
      <c r="H93" s="4">
        <f t="shared" si="44"/>
        <v>45647</v>
      </c>
      <c r="I93" s="60" t="str">
        <f>+VLOOKUP(A93,'[1]BDD-Avk Tx'!B:BZ,77,0)</f>
        <v>CDI</v>
      </c>
      <c r="J93" s="4">
        <f t="shared" si="45"/>
        <v>45647</v>
      </c>
      <c r="N93" s="3"/>
      <c r="P93" s="54">
        <f t="shared" si="51"/>
        <v>12.916666666666666</v>
      </c>
      <c r="Q93" s="61">
        <v>1</v>
      </c>
      <c r="R93" s="62">
        <f t="shared" si="52"/>
        <v>20</v>
      </c>
      <c r="S93" s="54">
        <f t="shared" si="57"/>
        <v>1.5</v>
      </c>
      <c r="T93" s="54">
        <f t="shared" si="56"/>
        <v>3.5</v>
      </c>
      <c r="U93" s="54">
        <f t="shared" si="56"/>
        <v>1.5</v>
      </c>
      <c r="V93" s="54">
        <f t="shared" si="56"/>
        <v>1.5</v>
      </c>
      <c r="W93" s="54">
        <f t="shared" si="56"/>
        <v>1.5</v>
      </c>
      <c r="X93" s="54">
        <f t="shared" si="56"/>
        <v>1.5</v>
      </c>
      <c r="Y93" s="54">
        <f t="shared" si="56"/>
        <v>1.5</v>
      </c>
      <c r="Z93" s="54">
        <f t="shared" si="56"/>
        <v>1.5</v>
      </c>
      <c r="AA93" s="54">
        <f t="shared" si="56"/>
        <v>1.5</v>
      </c>
      <c r="AB93" s="54">
        <f t="shared" si="56"/>
        <v>1.5</v>
      </c>
      <c r="AC93" s="54">
        <f t="shared" si="56"/>
        <v>1.5</v>
      </c>
      <c r="AD93" s="54">
        <f t="shared" si="56"/>
        <v>1.5</v>
      </c>
      <c r="AF93" s="62">
        <f t="shared" si="46"/>
        <v>0</v>
      </c>
      <c r="AG93" s="64">
        <v>0</v>
      </c>
      <c r="AH93" s="64">
        <v>0</v>
      </c>
      <c r="AI93" s="65">
        <v>0</v>
      </c>
      <c r="AJ93" s="66"/>
      <c r="AK93" s="64"/>
      <c r="AL93" s="64"/>
      <c r="AM93" s="64"/>
      <c r="AN93" s="64"/>
      <c r="AO93" s="64"/>
      <c r="AP93" s="64"/>
      <c r="AQ93" s="64"/>
      <c r="AR93" s="64"/>
      <c r="AS93" s="67">
        <f t="shared" si="47"/>
        <v>21</v>
      </c>
      <c r="AT93" s="68"/>
      <c r="AU93" s="69">
        <v>17.984615384615381</v>
      </c>
      <c r="AV93" s="62">
        <f t="shared" si="40"/>
        <v>564</v>
      </c>
      <c r="AW93" s="54">
        <f t="shared" si="42"/>
        <v>42.300000000000004</v>
      </c>
      <c r="AX93" s="54">
        <f t="shared" si="42"/>
        <v>98.700000000000017</v>
      </c>
      <c r="AY93" s="54">
        <f t="shared" si="42"/>
        <v>42.300000000000004</v>
      </c>
      <c r="AZ93" s="54">
        <f t="shared" si="41"/>
        <v>42.300000000000004</v>
      </c>
      <c r="BA93" s="54">
        <f t="shared" si="41"/>
        <v>42.300000000000004</v>
      </c>
      <c r="BB93" s="54">
        <f t="shared" si="41"/>
        <v>42.300000000000004</v>
      </c>
      <c r="BC93" s="54">
        <f t="shared" ref="BC93:BH156" si="59">+IF($K93="",$E93/26*Y93,IF(MONTH($K93)=MONTH(BC$5),$L93/26*Y93,IF(AND($K93&lt;BC$5,(MONTH($K93)&lt;&gt;MONTH(BC$5))),$L93/26*Y93,$E93/26*Y93)))</f>
        <v>42.300000000000004</v>
      </c>
      <c r="BD93" s="54">
        <f t="shared" si="59"/>
        <v>42.300000000000004</v>
      </c>
      <c r="BE93" s="54">
        <f t="shared" si="59"/>
        <v>42.300000000000004</v>
      </c>
      <c r="BF93" s="54">
        <f t="shared" si="59"/>
        <v>42.300000000000004</v>
      </c>
      <c r="BG93" s="54">
        <f t="shared" si="59"/>
        <v>42.300000000000004</v>
      </c>
      <c r="BH93" s="54">
        <f t="shared" si="59"/>
        <v>42.300000000000004</v>
      </c>
      <c r="BI93" s="62">
        <f t="shared" si="37"/>
        <v>0</v>
      </c>
      <c r="BJ93" s="59">
        <f t="shared" si="58"/>
        <v>0</v>
      </c>
      <c r="BK93" s="59">
        <f t="shared" si="58"/>
        <v>0</v>
      </c>
      <c r="BL93" s="59">
        <f t="shared" si="58"/>
        <v>0</v>
      </c>
      <c r="BM93" s="59">
        <f t="shared" si="58"/>
        <v>0</v>
      </c>
      <c r="BN93" s="59">
        <f t="shared" si="58"/>
        <v>0</v>
      </c>
      <c r="BO93" s="59">
        <f t="shared" si="58"/>
        <v>0</v>
      </c>
      <c r="BP93" s="59">
        <f t="shared" si="58"/>
        <v>0</v>
      </c>
      <c r="BQ93" s="59">
        <f t="shared" si="58"/>
        <v>0</v>
      </c>
      <c r="BR93" s="59">
        <f t="shared" si="58"/>
        <v>0</v>
      </c>
      <c r="BS93" s="59">
        <f t="shared" si="58"/>
        <v>0</v>
      </c>
      <c r="BT93" s="59">
        <f t="shared" si="58"/>
        <v>0</v>
      </c>
      <c r="BU93" s="59">
        <f t="shared" si="58"/>
        <v>0</v>
      </c>
      <c r="BV93" s="67">
        <f t="shared" si="48"/>
        <v>581.98461538461538</v>
      </c>
      <c r="BX93" s="54">
        <f t="shared" si="53"/>
        <v>54.990000000000009</v>
      </c>
      <c r="BY93" s="54">
        <f t="shared" si="53"/>
        <v>128.31</v>
      </c>
      <c r="BZ93" s="54">
        <f t="shared" si="53"/>
        <v>54.990000000000009</v>
      </c>
      <c r="CA93" s="54">
        <f t="shared" si="49"/>
        <v>54.990000000000009</v>
      </c>
      <c r="CB93" s="54">
        <f t="shared" si="49"/>
        <v>54.990000000000009</v>
      </c>
      <c r="CC93" s="54">
        <f t="shared" si="49"/>
        <v>54.990000000000009</v>
      </c>
      <c r="CD93" s="54">
        <f t="shared" si="49"/>
        <v>54.990000000000009</v>
      </c>
      <c r="CE93" s="54">
        <f t="shared" si="49"/>
        <v>54.990000000000009</v>
      </c>
      <c r="CF93" s="54">
        <f t="shared" si="49"/>
        <v>54.990000000000009</v>
      </c>
      <c r="CG93" s="54">
        <f t="shared" si="43"/>
        <v>54.990000000000009</v>
      </c>
      <c r="CH93" s="54">
        <f t="shared" si="43"/>
        <v>54.990000000000009</v>
      </c>
      <c r="CI93" s="54">
        <f t="shared" si="43"/>
        <v>54.990000000000009</v>
      </c>
      <c r="CJ93" s="74">
        <f t="shared" si="39"/>
        <v>733.2</v>
      </c>
      <c r="CK93" s="59">
        <f t="shared" si="54"/>
        <v>20</v>
      </c>
      <c r="CL93" s="9">
        <f t="shared" si="55"/>
        <v>0</v>
      </c>
      <c r="CM93" s="71">
        <f t="shared" si="50"/>
        <v>733.2</v>
      </c>
      <c r="CN93" s="72"/>
      <c r="CO93" s="73"/>
    </row>
    <row r="94" spans="1:94" ht="20.25" customHeight="1">
      <c r="A94" s="75" t="s">
        <v>269</v>
      </c>
      <c r="B94" s="1" t="s">
        <v>270</v>
      </c>
      <c r="C94" s="1" t="s">
        <v>271</v>
      </c>
      <c r="D94" s="58">
        <f>+VLOOKUP(A94,'[1]BDD-Avk Tx'!B:CE,82,0)</f>
        <v>281</v>
      </c>
      <c r="E94" s="59">
        <v>846.3</v>
      </c>
      <c r="G94" s="4">
        <v>41295</v>
      </c>
      <c r="H94" s="4">
        <f t="shared" si="44"/>
        <v>45647</v>
      </c>
      <c r="I94" s="60" t="str">
        <f>+VLOOKUP(A94,'[1]BDD-Avk Tx'!B:BZ,77,0)</f>
        <v>CDI</v>
      </c>
      <c r="J94" s="4">
        <f t="shared" si="45"/>
        <v>45647</v>
      </c>
      <c r="N94" s="3"/>
      <c r="P94" s="54">
        <f t="shared" si="51"/>
        <v>12.833333333333334</v>
      </c>
      <c r="Q94" s="61">
        <v>1</v>
      </c>
      <c r="R94" s="62">
        <f t="shared" si="52"/>
        <v>20</v>
      </c>
      <c r="S94" s="54">
        <f t="shared" si="57"/>
        <v>1.5</v>
      </c>
      <c r="T94" s="54">
        <f t="shared" si="56"/>
        <v>3.5</v>
      </c>
      <c r="U94" s="54">
        <f t="shared" si="56"/>
        <v>1.5</v>
      </c>
      <c r="V94" s="54">
        <f t="shared" si="56"/>
        <v>1.5</v>
      </c>
      <c r="W94" s="54">
        <f t="shared" si="56"/>
        <v>1.5</v>
      </c>
      <c r="X94" s="54">
        <f t="shared" si="56"/>
        <v>1.5</v>
      </c>
      <c r="Y94" s="54">
        <f t="shared" si="56"/>
        <v>1.5</v>
      </c>
      <c r="Z94" s="54">
        <f t="shared" si="56"/>
        <v>1.5</v>
      </c>
      <c r="AA94" s="54">
        <f t="shared" si="56"/>
        <v>1.5</v>
      </c>
      <c r="AB94" s="54">
        <f t="shared" si="56"/>
        <v>1.5</v>
      </c>
      <c r="AC94" s="54">
        <f t="shared" si="56"/>
        <v>1.5</v>
      </c>
      <c r="AD94" s="54">
        <f t="shared" si="56"/>
        <v>1.5</v>
      </c>
      <c r="AF94" s="62">
        <f t="shared" si="46"/>
        <v>0</v>
      </c>
      <c r="AG94" s="64">
        <v>0</v>
      </c>
      <c r="AH94" s="64">
        <v>0</v>
      </c>
      <c r="AI94" s="65">
        <v>0</v>
      </c>
      <c r="AJ94" s="66"/>
      <c r="AK94" s="64"/>
      <c r="AL94" s="64"/>
      <c r="AM94" s="64"/>
      <c r="AN94" s="64"/>
      <c r="AO94" s="64"/>
      <c r="AP94" s="64"/>
      <c r="AQ94" s="64"/>
      <c r="AR94" s="64"/>
      <c r="AS94" s="67">
        <f t="shared" si="47"/>
        <v>21</v>
      </c>
      <c r="AT94" s="68"/>
      <c r="AU94" s="69">
        <v>21.063461538461638</v>
      </c>
      <c r="AV94" s="62">
        <f t="shared" si="40"/>
        <v>651</v>
      </c>
      <c r="AW94" s="54">
        <f t="shared" si="42"/>
        <v>48.824999999999996</v>
      </c>
      <c r="AX94" s="54">
        <f t="shared" si="42"/>
        <v>113.92499999999998</v>
      </c>
      <c r="AY94" s="54">
        <f t="shared" si="42"/>
        <v>48.824999999999996</v>
      </c>
      <c r="AZ94" s="54">
        <f t="shared" si="42"/>
        <v>48.824999999999996</v>
      </c>
      <c r="BA94" s="54">
        <f t="shared" si="42"/>
        <v>48.824999999999996</v>
      </c>
      <c r="BB94" s="54">
        <f t="shared" si="42"/>
        <v>48.824999999999996</v>
      </c>
      <c r="BC94" s="54">
        <f t="shared" si="59"/>
        <v>48.824999999999996</v>
      </c>
      <c r="BD94" s="54">
        <f t="shared" si="59"/>
        <v>48.824999999999996</v>
      </c>
      <c r="BE94" s="54">
        <f t="shared" si="59"/>
        <v>48.824999999999996</v>
      </c>
      <c r="BF94" s="54">
        <f t="shared" si="59"/>
        <v>48.824999999999996</v>
      </c>
      <c r="BG94" s="54">
        <f t="shared" si="59"/>
        <v>48.824999999999996</v>
      </c>
      <c r="BH94" s="54">
        <f t="shared" si="59"/>
        <v>48.824999999999996</v>
      </c>
      <c r="BI94" s="62">
        <f t="shared" si="37"/>
        <v>0</v>
      </c>
      <c r="BJ94" s="59">
        <f t="shared" si="58"/>
        <v>0</v>
      </c>
      <c r="BK94" s="59">
        <f t="shared" si="58"/>
        <v>0</v>
      </c>
      <c r="BL94" s="59">
        <f t="shared" si="58"/>
        <v>0</v>
      </c>
      <c r="BM94" s="59">
        <f t="shared" si="58"/>
        <v>0</v>
      </c>
      <c r="BN94" s="59">
        <f t="shared" si="58"/>
        <v>0</v>
      </c>
      <c r="BO94" s="59">
        <f t="shared" si="58"/>
        <v>0</v>
      </c>
      <c r="BP94" s="59">
        <f t="shared" si="58"/>
        <v>0</v>
      </c>
      <c r="BQ94" s="59">
        <f t="shared" si="58"/>
        <v>0</v>
      </c>
      <c r="BR94" s="59">
        <f t="shared" si="58"/>
        <v>0</v>
      </c>
      <c r="BS94" s="59">
        <f t="shared" si="58"/>
        <v>0</v>
      </c>
      <c r="BT94" s="59">
        <f t="shared" si="58"/>
        <v>0</v>
      </c>
      <c r="BU94" s="59">
        <f t="shared" si="58"/>
        <v>0</v>
      </c>
      <c r="BV94" s="67">
        <f t="shared" si="48"/>
        <v>672.06346153846164</v>
      </c>
      <c r="BX94" s="54">
        <f t="shared" si="53"/>
        <v>63.472499999999997</v>
      </c>
      <c r="BY94" s="54">
        <f t="shared" si="53"/>
        <v>148.10249999999999</v>
      </c>
      <c r="BZ94" s="54">
        <f t="shared" si="53"/>
        <v>63.472499999999997</v>
      </c>
      <c r="CA94" s="54">
        <f t="shared" si="49"/>
        <v>63.472499999999997</v>
      </c>
      <c r="CB94" s="54">
        <f t="shared" si="49"/>
        <v>63.472499999999997</v>
      </c>
      <c r="CC94" s="54">
        <f t="shared" si="49"/>
        <v>63.472499999999997</v>
      </c>
      <c r="CD94" s="54">
        <f t="shared" si="49"/>
        <v>63.472499999999997</v>
      </c>
      <c r="CE94" s="54">
        <f t="shared" si="49"/>
        <v>63.472499999999997</v>
      </c>
      <c r="CF94" s="54">
        <f t="shared" si="49"/>
        <v>63.472499999999997</v>
      </c>
      <c r="CG94" s="54">
        <f t="shared" si="43"/>
        <v>63.472499999999997</v>
      </c>
      <c r="CH94" s="54">
        <f t="shared" si="43"/>
        <v>63.472499999999997</v>
      </c>
      <c r="CI94" s="54">
        <f t="shared" si="43"/>
        <v>63.472499999999997</v>
      </c>
      <c r="CJ94" s="74">
        <f t="shared" si="39"/>
        <v>846.29999999999973</v>
      </c>
      <c r="CK94" s="59">
        <f t="shared" si="54"/>
        <v>20</v>
      </c>
      <c r="CL94" s="9">
        <f t="shared" si="55"/>
        <v>0</v>
      </c>
      <c r="CM94" s="71">
        <f t="shared" si="50"/>
        <v>846.3</v>
      </c>
      <c r="CN94" s="54"/>
      <c r="CO94" s="73"/>
      <c r="CP94" s="56"/>
    </row>
    <row r="95" spans="1:94" ht="20.25" customHeight="1">
      <c r="A95" s="1" t="s">
        <v>272</v>
      </c>
      <c r="B95" s="1" t="s">
        <v>273</v>
      </c>
      <c r="C95" s="1" t="s">
        <v>240</v>
      </c>
      <c r="D95" s="58">
        <f>+VLOOKUP(A95,'[1]BDD-Avk Tx'!B:CE,82,0)</f>
        <v>281</v>
      </c>
      <c r="E95" s="59">
        <v>412.1</v>
      </c>
      <c r="G95" s="4">
        <v>41862</v>
      </c>
      <c r="H95" s="4">
        <f t="shared" si="44"/>
        <v>45647</v>
      </c>
      <c r="I95" s="60" t="str">
        <f>+VLOOKUP(A95,'[1]BDD-Avk Tx'!B:BZ,77,0)</f>
        <v>CDI</v>
      </c>
      <c r="J95" s="4">
        <f t="shared" si="45"/>
        <v>45647</v>
      </c>
      <c r="N95" s="3"/>
      <c r="P95" s="54">
        <f t="shared" si="51"/>
        <v>11.333333333333334</v>
      </c>
      <c r="Q95" s="61">
        <v>6</v>
      </c>
      <c r="R95" s="62">
        <f t="shared" si="52"/>
        <v>20</v>
      </c>
      <c r="S95" s="54">
        <f t="shared" si="57"/>
        <v>1.5</v>
      </c>
      <c r="T95" s="54">
        <f t="shared" si="56"/>
        <v>1.5</v>
      </c>
      <c r="U95" s="54">
        <f t="shared" si="56"/>
        <v>1.5</v>
      </c>
      <c r="V95" s="54">
        <f t="shared" si="56"/>
        <v>1.5</v>
      </c>
      <c r="W95" s="54">
        <f t="shared" si="56"/>
        <v>1.5</v>
      </c>
      <c r="X95" s="54">
        <f t="shared" si="56"/>
        <v>1.5</v>
      </c>
      <c r="Y95" s="54">
        <f t="shared" si="56"/>
        <v>1.5</v>
      </c>
      <c r="Z95" s="54">
        <f t="shared" si="56"/>
        <v>1.5</v>
      </c>
      <c r="AA95" s="54">
        <f t="shared" si="56"/>
        <v>3.5</v>
      </c>
      <c r="AB95" s="54">
        <f t="shared" si="56"/>
        <v>1.5</v>
      </c>
      <c r="AC95" s="54">
        <f t="shared" si="56"/>
        <v>1.5</v>
      </c>
      <c r="AD95" s="54">
        <f t="shared" si="56"/>
        <v>1.5</v>
      </c>
      <c r="AF95" s="62">
        <f t="shared" si="46"/>
        <v>0</v>
      </c>
      <c r="AG95" s="64">
        <v>0</v>
      </c>
      <c r="AH95" s="64">
        <v>0</v>
      </c>
      <c r="AI95" s="65">
        <v>0</v>
      </c>
      <c r="AJ95" s="66"/>
      <c r="AK95" s="64"/>
      <c r="AL95" s="64"/>
      <c r="AM95" s="64"/>
      <c r="AN95" s="64"/>
      <c r="AO95" s="64"/>
      <c r="AP95" s="64"/>
      <c r="AQ95" s="64"/>
      <c r="AR95" s="64"/>
      <c r="AS95" s="67">
        <f t="shared" si="47"/>
        <v>26</v>
      </c>
      <c r="AT95" s="68"/>
      <c r="AU95" s="69">
        <v>108.45576923076902</v>
      </c>
      <c r="AV95" s="62">
        <f t="shared" si="40"/>
        <v>316.99999999999994</v>
      </c>
      <c r="AW95" s="54">
        <f t="shared" si="42"/>
        <v>23.775000000000002</v>
      </c>
      <c r="AX95" s="54">
        <f t="shared" si="42"/>
        <v>23.775000000000002</v>
      </c>
      <c r="AY95" s="54">
        <f t="shared" si="42"/>
        <v>23.775000000000002</v>
      </c>
      <c r="AZ95" s="54">
        <f t="shared" si="42"/>
        <v>23.775000000000002</v>
      </c>
      <c r="BA95" s="54">
        <f t="shared" si="42"/>
        <v>23.775000000000002</v>
      </c>
      <c r="BB95" s="54">
        <f t="shared" si="42"/>
        <v>23.775000000000002</v>
      </c>
      <c r="BC95" s="54">
        <f t="shared" si="59"/>
        <v>23.775000000000002</v>
      </c>
      <c r="BD95" s="54">
        <f t="shared" si="59"/>
        <v>23.775000000000002</v>
      </c>
      <c r="BE95" s="54">
        <f t="shared" si="59"/>
        <v>55.475000000000009</v>
      </c>
      <c r="BF95" s="54">
        <f t="shared" si="59"/>
        <v>23.775000000000002</v>
      </c>
      <c r="BG95" s="54">
        <f t="shared" si="59"/>
        <v>23.775000000000002</v>
      </c>
      <c r="BH95" s="54">
        <f t="shared" si="59"/>
        <v>23.775000000000002</v>
      </c>
      <c r="BI95" s="62">
        <f t="shared" si="37"/>
        <v>0</v>
      </c>
      <c r="BJ95" s="59">
        <f t="shared" si="58"/>
        <v>0</v>
      </c>
      <c r="BK95" s="59">
        <f t="shared" si="58"/>
        <v>0</v>
      </c>
      <c r="BL95" s="59">
        <f t="shared" si="58"/>
        <v>0</v>
      </c>
      <c r="BM95" s="59">
        <f t="shared" si="58"/>
        <v>0</v>
      </c>
      <c r="BN95" s="59">
        <f t="shared" si="58"/>
        <v>0</v>
      </c>
      <c r="BO95" s="59">
        <f t="shared" si="58"/>
        <v>0</v>
      </c>
      <c r="BP95" s="59">
        <f t="shared" si="58"/>
        <v>0</v>
      </c>
      <c r="BQ95" s="59">
        <f t="shared" si="58"/>
        <v>0</v>
      </c>
      <c r="BR95" s="59">
        <f t="shared" si="58"/>
        <v>0</v>
      </c>
      <c r="BS95" s="59">
        <f t="shared" si="58"/>
        <v>0</v>
      </c>
      <c r="BT95" s="59">
        <f t="shared" si="58"/>
        <v>0</v>
      </c>
      <c r="BU95" s="59">
        <f t="shared" si="58"/>
        <v>0</v>
      </c>
      <c r="BV95" s="67">
        <f t="shared" si="48"/>
        <v>425.45576923076896</v>
      </c>
      <c r="BX95" s="54">
        <f t="shared" si="53"/>
        <v>30.907499999999999</v>
      </c>
      <c r="BY95" s="54">
        <f t="shared" si="53"/>
        <v>30.907499999999999</v>
      </c>
      <c r="BZ95" s="54">
        <f t="shared" si="53"/>
        <v>30.907499999999999</v>
      </c>
      <c r="CA95" s="54">
        <f t="shared" si="49"/>
        <v>30.907499999999999</v>
      </c>
      <c r="CB95" s="54">
        <f t="shared" si="49"/>
        <v>30.907499999999999</v>
      </c>
      <c r="CC95" s="54">
        <f t="shared" si="49"/>
        <v>30.907499999999999</v>
      </c>
      <c r="CD95" s="54">
        <f t="shared" si="49"/>
        <v>30.907499999999999</v>
      </c>
      <c r="CE95" s="54">
        <f t="shared" si="49"/>
        <v>30.907499999999999</v>
      </c>
      <c r="CF95" s="54">
        <f t="shared" si="49"/>
        <v>72.117500000000007</v>
      </c>
      <c r="CG95" s="54">
        <f t="shared" si="43"/>
        <v>30.907499999999999</v>
      </c>
      <c r="CH95" s="54">
        <f t="shared" si="43"/>
        <v>30.907499999999999</v>
      </c>
      <c r="CI95" s="54">
        <f t="shared" si="43"/>
        <v>30.907499999999999</v>
      </c>
      <c r="CJ95" s="74">
        <f t="shared" si="39"/>
        <v>412.1</v>
      </c>
      <c r="CK95" s="59">
        <f t="shared" si="54"/>
        <v>20</v>
      </c>
      <c r="CL95" s="9">
        <f t="shared" si="55"/>
        <v>0</v>
      </c>
      <c r="CM95" s="71">
        <f t="shared" si="50"/>
        <v>412.1</v>
      </c>
      <c r="CN95" s="72"/>
      <c r="CO95" s="73"/>
    </row>
    <row r="96" spans="1:94" ht="20.25" customHeight="1">
      <c r="A96" s="75" t="s">
        <v>274</v>
      </c>
      <c r="B96" s="1" t="s">
        <v>275</v>
      </c>
      <c r="C96" s="1" t="s">
        <v>233</v>
      </c>
      <c r="D96" s="58">
        <f>+VLOOKUP(A96,'[1]BDD-Avk Tx'!B:CE,82,0)</f>
        <v>281</v>
      </c>
      <c r="E96" s="59">
        <v>200.2</v>
      </c>
      <c r="G96" s="4">
        <v>41870</v>
      </c>
      <c r="H96" s="4">
        <f t="shared" si="44"/>
        <v>45647</v>
      </c>
      <c r="I96" s="60" t="str">
        <f>+VLOOKUP(A96,'[1]BDD-Avk Tx'!B:BZ,77,0)</f>
        <v>CDI</v>
      </c>
      <c r="J96" s="4">
        <f t="shared" si="45"/>
        <v>45647</v>
      </c>
      <c r="N96" s="3"/>
      <c r="P96" s="54">
        <f t="shared" si="51"/>
        <v>11.333333333333334</v>
      </c>
      <c r="Q96" s="61">
        <v>0.5</v>
      </c>
      <c r="R96" s="62">
        <f t="shared" si="52"/>
        <v>20</v>
      </c>
      <c r="S96" s="54">
        <f t="shared" si="57"/>
        <v>1.5</v>
      </c>
      <c r="T96" s="54">
        <f t="shared" si="56"/>
        <v>1.5</v>
      </c>
      <c r="U96" s="54">
        <f t="shared" si="56"/>
        <v>1.5</v>
      </c>
      <c r="V96" s="54">
        <f t="shared" si="56"/>
        <v>1.5</v>
      </c>
      <c r="W96" s="54">
        <f t="shared" si="56"/>
        <v>1.5</v>
      </c>
      <c r="X96" s="54">
        <f t="shared" si="56"/>
        <v>1.5</v>
      </c>
      <c r="Y96" s="54">
        <f t="shared" si="56"/>
        <v>1.5</v>
      </c>
      <c r="Z96" s="54">
        <f t="shared" si="56"/>
        <v>1.5</v>
      </c>
      <c r="AA96" s="54">
        <f t="shared" si="56"/>
        <v>3.5</v>
      </c>
      <c r="AB96" s="54">
        <f t="shared" si="56"/>
        <v>1.5</v>
      </c>
      <c r="AC96" s="54">
        <f t="shared" si="56"/>
        <v>1.5</v>
      </c>
      <c r="AD96" s="54">
        <f t="shared" si="56"/>
        <v>1.5</v>
      </c>
      <c r="AF96" s="62">
        <f t="shared" si="46"/>
        <v>20</v>
      </c>
      <c r="AG96" s="64">
        <v>0</v>
      </c>
      <c r="AH96" s="64">
        <v>10</v>
      </c>
      <c r="AI96" s="65">
        <v>10</v>
      </c>
      <c r="AJ96" s="66"/>
      <c r="AK96" s="64"/>
      <c r="AL96" s="64"/>
      <c r="AM96" s="64"/>
      <c r="AN96" s="64"/>
      <c r="AO96" s="64"/>
      <c r="AP96" s="64"/>
      <c r="AQ96" s="64"/>
      <c r="AR96" s="64"/>
      <c r="AS96" s="67">
        <f t="shared" si="47"/>
        <v>0.5</v>
      </c>
      <c r="AT96" s="68"/>
      <c r="AU96" s="69">
        <v>7.1009615384616609</v>
      </c>
      <c r="AV96" s="62">
        <f t="shared" si="40"/>
        <v>154.00000000000003</v>
      </c>
      <c r="AW96" s="54">
        <f t="shared" si="42"/>
        <v>11.549999999999999</v>
      </c>
      <c r="AX96" s="54">
        <f t="shared" si="42"/>
        <v>11.549999999999999</v>
      </c>
      <c r="AY96" s="54">
        <f t="shared" si="42"/>
        <v>11.549999999999999</v>
      </c>
      <c r="AZ96" s="54">
        <f t="shared" si="42"/>
        <v>11.549999999999999</v>
      </c>
      <c r="BA96" s="54">
        <f t="shared" si="42"/>
        <v>11.549999999999999</v>
      </c>
      <c r="BB96" s="54">
        <f t="shared" si="42"/>
        <v>11.549999999999999</v>
      </c>
      <c r="BC96" s="54">
        <f t="shared" si="59"/>
        <v>11.549999999999999</v>
      </c>
      <c r="BD96" s="54">
        <f t="shared" si="59"/>
        <v>11.549999999999999</v>
      </c>
      <c r="BE96" s="54">
        <f t="shared" si="59"/>
        <v>26.949999999999996</v>
      </c>
      <c r="BF96" s="54">
        <f t="shared" si="59"/>
        <v>11.549999999999999</v>
      </c>
      <c r="BG96" s="54">
        <f t="shared" si="59"/>
        <v>11.549999999999999</v>
      </c>
      <c r="BH96" s="54">
        <f t="shared" si="59"/>
        <v>11.549999999999999</v>
      </c>
      <c r="BI96" s="62">
        <f t="shared" si="37"/>
        <v>-154</v>
      </c>
      <c r="BJ96" s="59">
        <f t="shared" si="58"/>
        <v>0</v>
      </c>
      <c r="BK96" s="59">
        <f t="shared" si="58"/>
        <v>-77</v>
      </c>
      <c r="BL96" s="59">
        <f t="shared" si="58"/>
        <v>-77</v>
      </c>
      <c r="BM96" s="59">
        <f t="shared" si="58"/>
        <v>0</v>
      </c>
      <c r="BN96" s="59">
        <f t="shared" si="58"/>
        <v>0</v>
      </c>
      <c r="BO96" s="59">
        <f t="shared" si="58"/>
        <v>0</v>
      </c>
      <c r="BP96" s="59">
        <f t="shared" si="58"/>
        <v>0</v>
      </c>
      <c r="BQ96" s="59">
        <f t="shared" si="58"/>
        <v>0</v>
      </c>
      <c r="BR96" s="59">
        <f t="shared" si="58"/>
        <v>0</v>
      </c>
      <c r="BS96" s="59">
        <f t="shared" si="58"/>
        <v>0</v>
      </c>
      <c r="BT96" s="59">
        <f t="shared" si="58"/>
        <v>0</v>
      </c>
      <c r="BU96" s="59">
        <f t="shared" si="58"/>
        <v>0</v>
      </c>
      <c r="BV96" s="67">
        <f t="shared" si="48"/>
        <v>7.1009615384616893</v>
      </c>
      <c r="BX96" s="54">
        <f t="shared" si="53"/>
        <v>15.015000000000001</v>
      </c>
      <c r="BY96" s="54">
        <f t="shared" si="53"/>
        <v>15.015000000000001</v>
      </c>
      <c r="BZ96" s="54">
        <f t="shared" si="53"/>
        <v>15.015000000000001</v>
      </c>
      <c r="CA96" s="54">
        <f t="shared" si="49"/>
        <v>15.015000000000001</v>
      </c>
      <c r="CB96" s="54">
        <f t="shared" si="49"/>
        <v>15.015000000000001</v>
      </c>
      <c r="CC96" s="54">
        <f t="shared" si="49"/>
        <v>15.015000000000001</v>
      </c>
      <c r="CD96" s="54">
        <f t="shared" si="49"/>
        <v>15.015000000000001</v>
      </c>
      <c r="CE96" s="54">
        <f t="shared" si="49"/>
        <v>15.015000000000001</v>
      </c>
      <c r="CF96" s="54">
        <f t="shared" si="49"/>
        <v>35.034999999999997</v>
      </c>
      <c r="CG96" s="54">
        <f t="shared" si="43"/>
        <v>15.015000000000001</v>
      </c>
      <c r="CH96" s="54">
        <f t="shared" si="43"/>
        <v>15.015000000000001</v>
      </c>
      <c r="CI96" s="54">
        <f t="shared" si="43"/>
        <v>15.015000000000001</v>
      </c>
      <c r="CJ96" s="74">
        <f t="shared" si="39"/>
        <v>200.2</v>
      </c>
      <c r="CK96" s="59">
        <f t="shared" si="54"/>
        <v>20</v>
      </c>
      <c r="CL96" s="9">
        <f t="shared" si="55"/>
        <v>0</v>
      </c>
      <c r="CM96" s="71">
        <f t="shared" si="50"/>
        <v>200.2</v>
      </c>
      <c r="CN96" s="54"/>
      <c r="CO96" s="73"/>
      <c r="CP96" s="56"/>
    </row>
    <row r="97" spans="1:94" ht="20.25" customHeight="1">
      <c r="A97" s="1" t="s">
        <v>276</v>
      </c>
      <c r="B97" s="1" t="s">
        <v>277</v>
      </c>
      <c r="C97" s="1" t="s">
        <v>230</v>
      </c>
      <c r="D97" s="58">
        <f>+VLOOKUP(A97,'[1]BDD-Avk Tx'!B:CE,82,0)</f>
        <v>281</v>
      </c>
      <c r="E97" s="59">
        <v>356.2</v>
      </c>
      <c r="G97" s="4">
        <v>41870</v>
      </c>
      <c r="H97" s="4">
        <f t="shared" si="44"/>
        <v>45647</v>
      </c>
      <c r="I97" s="60" t="str">
        <f>+VLOOKUP(A97,'[1]BDD-Avk Tx'!B:BZ,77,0)</f>
        <v>CDI</v>
      </c>
      <c r="J97" s="4">
        <f t="shared" si="45"/>
        <v>45647</v>
      </c>
      <c r="N97" s="3"/>
      <c r="P97" s="54">
        <f t="shared" si="51"/>
        <v>11.333333333333334</v>
      </c>
      <c r="Q97" s="61">
        <v>0.5</v>
      </c>
      <c r="R97" s="62">
        <f t="shared" si="52"/>
        <v>20</v>
      </c>
      <c r="S97" s="54">
        <f t="shared" si="57"/>
        <v>1.5</v>
      </c>
      <c r="T97" s="54">
        <f t="shared" si="56"/>
        <v>1.5</v>
      </c>
      <c r="U97" s="54">
        <f t="shared" si="56"/>
        <v>1.5</v>
      </c>
      <c r="V97" s="54">
        <f t="shared" si="56"/>
        <v>1.5</v>
      </c>
      <c r="W97" s="54">
        <f t="shared" si="56"/>
        <v>1.5</v>
      </c>
      <c r="X97" s="54">
        <f t="shared" si="56"/>
        <v>1.5</v>
      </c>
      <c r="Y97" s="54">
        <f t="shared" si="56"/>
        <v>1.5</v>
      </c>
      <c r="Z97" s="54">
        <f t="shared" si="56"/>
        <v>1.5</v>
      </c>
      <c r="AA97" s="54">
        <f t="shared" si="56"/>
        <v>3.5</v>
      </c>
      <c r="AB97" s="54">
        <f t="shared" si="56"/>
        <v>1.5</v>
      </c>
      <c r="AC97" s="54">
        <f t="shared" si="56"/>
        <v>1.5</v>
      </c>
      <c r="AD97" s="54">
        <f t="shared" si="56"/>
        <v>1.5</v>
      </c>
      <c r="AF97" s="62">
        <f t="shared" si="46"/>
        <v>0</v>
      </c>
      <c r="AG97" s="64">
        <v>0</v>
      </c>
      <c r="AH97" s="64">
        <v>0</v>
      </c>
      <c r="AI97" s="65">
        <v>0</v>
      </c>
      <c r="AJ97" s="66"/>
      <c r="AK97" s="64"/>
      <c r="AL97" s="64"/>
      <c r="AM97" s="64"/>
      <c r="AN97" s="64"/>
      <c r="AO97" s="64"/>
      <c r="AP97" s="64"/>
      <c r="AQ97" s="64"/>
      <c r="AR97" s="64"/>
      <c r="AS97" s="67">
        <f t="shared" si="47"/>
        <v>20.5</v>
      </c>
      <c r="AT97" s="68"/>
      <c r="AU97" s="69">
        <v>0.70000000000010232</v>
      </c>
      <c r="AV97" s="62">
        <f t="shared" si="40"/>
        <v>274</v>
      </c>
      <c r="AW97" s="54">
        <f t="shared" si="42"/>
        <v>20.549999999999997</v>
      </c>
      <c r="AX97" s="54">
        <f t="shared" si="42"/>
        <v>20.549999999999997</v>
      </c>
      <c r="AY97" s="54">
        <f t="shared" si="42"/>
        <v>20.549999999999997</v>
      </c>
      <c r="AZ97" s="54">
        <f t="shared" si="42"/>
        <v>20.549999999999997</v>
      </c>
      <c r="BA97" s="54">
        <f t="shared" si="42"/>
        <v>20.549999999999997</v>
      </c>
      <c r="BB97" s="54">
        <f t="shared" si="42"/>
        <v>20.549999999999997</v>
      </c>
      <c r="BC97" s="54">
        <f t="shared" si="59"/>
        <v>20.549999999999997</v>
      </c>
      <c r="BD97" s="54">
        <f t="shared" si="59"/>
        <v>20.549999999999997</v>
      </c>
      <c r="BE97" s="54">
        <f t="shared" si="59"/>
        <v>47.949999999999996</v>
      </c>
      <c r="BF97" s="54">
        <f t="shared" si="59"/>
        <v>20.549999999999997</v>
      </c>
      <c r="BG97" s="54">
        <f t="shared" si="59"/>
        <v>20.549999999999997</v>
      </c>
      <c r="BH97" s="54">
        <f t="shared" si="59"/>
        <v>20.549999999999997</v>
      </c>
      <c r="BI97" s="62">
        <f t="shared" si="37"/>
        <v>0</v>
      </c>
      <c r="BJ97" s="59">
        <f t="shared" si="58"/>
        <v>0</v>
      </c>
      <c r="BK97" s="59">
        <f t="shared" si="58"/>
        <v>0</v>
      </c>
      <c r="BL97" s="59">
        <f t="shared" si="58"/>
        <v>0</v>
      </c>
      <c r="BM97" s="59">
        <f t="shared" si="58"/>
        <v>0</v>
      </c>
      <c r="BN97" s="59">
        <f t="shared" si="58"/>
        <v>0</v>
      </c>
      <c r="BO97" s="59">
        <f t="shared" si="58"/>
        <v>0</v>
      </c>
      <c r="BP97" s="59">
        <f t="shared" si="58"/>
        <v>0</v>
      </c>
      <c r="BQ97" s="59">
        <f t="shared" si="58"/>
        <v>0</v>
      </c>
      <c r="BR97" s="59">
        <f t="shared" si="58"/>
        <v>0</v>
      </c>
      <c r="BS97" s="59">
        <f t="shared" si="58"/>
        <v>0</v>
      </c>
      <c r="BT97" s="59">
        <f t="shared" si="58"/>
        <v>0</v>
      </c>
      <c r="BU97" s="59">
        <f t="shared" si="58"/>
        <v>0</v>
      </c>
      <c r="BV97" s="67">
        <f t="shared" si="48"/>
        <v>274.7000000000001</v>
      </c>
      <c r="BX97" s="54">
        <f t="shared" si="53"/>
        <v>26.714999999999996</v>
      </c>
      <c r="BY97" s="54">
        <f t="shared" si="53"/>
        <v>26.714999999999996</v>
      </c>
      <c r="BZ97" s="54">
        <f t="shared" si="53"/>
        <v>26.714999999999996</v>
      </c>
      <c r="CA97" s="54">
        <f t="shared" si="49"/>
        <v>26.714999999999996</v>
      </c>
      <c r="CB97" s="54">
        <f t="shared" si="49"/>
        <v>26.714999999999996</v>
      </c>
      <c r="CC97" s="54">
        <f t="shared" si="49"/>
        <v>26.714999999999996</v>
      </c>
      <c r="CD97" s="54">
        <f t="shared" si="49"/>
        <v>26.714999999999996</v>
      </c>
      <c r="CE97" s="54">
        <f t="shared" si="49"/>
        <v>26.714999999999996</v>
      </c>
      <c r="CF97" s="54">
        <f t="shared" si="49"/>
        <v>62.334999999999994</v>
      </c>
      <c r="CG97" s="54">
        <f t="shared" si="43"/>
        <v>26.714999999999996</v>
      </c>
      <c r="CH97" s="54">
        <f t="shared" si="43"/>
        <v>26.714999999999996</v>
      </c>
      <c r="CI97" s="54">
        <f t="shared" si="43"/>
        <v>26.714999999999996</v>
      </c>
      <c r="CJ97" s="74">
        <f t="shared" si="39"/>
        <v>356.19999999999993</v>
      </c>
      <c r="CK97" s="59">
        <f t="shared" si="54"/>
        <v>20</v>
      </c>
      <c r="CL97" s="9">
        <f t="shared" si="55"/>
        <v>0</v>
      </c>
      <c r="CM97" s="71">
        <f t="shared" si="50"/>
        <v>356.2</v>
      </c>
      <c r="CN97" s="72"/>
      <c r="CO97" s="73"/>
    </row>
    <row r="98" spans="1:94" ht="20.25" customHeight="1">
      <c r="A98" s="75" t="s">
        <v>278</v>
      </c>
      <c r="B98" s="1" t="s">
        <v>279</v>
      </c>
      <c r="C98" s="1" t="s">
        <v>260</v>
      </c>
      <c r="D98" s="58">
        <f>+VLOOKUP(A98,'[1]BDD-Avk Tx'!B:CE,82,0)</f>
        <v>282</v>
      </c>
      <c r="E98" s="59">
        <v>200.2</v>
      </c>
      <c r="G98" s="4">
        <v>42121</v>
      </c>
      <c r="H98" s="4">
        <f t="shared" si="44"/>
        <v>45647</v>
      </c>
      <c r="I98" s="60" t="str">
        <f>+VLOOKUP(A98,'[1]BDD-Avk Tx'!B:BZ,77,0)</f>
        <v>CDI</v>
      </c>
      <c r="J98" s="4">
        <f t="shared" si="45"/>
        <v>45647</v>
      </c>
      <c r="N98" s="3"/>
      <c r="P98" s="54">
        <f t="shared" si="51"/>
        <v>10.583333333333334</v>
      </c>
      <c r="Q98" s="61">
        <v>1.5</v>
      </c>
      <c r="R98" s="62">
        <f t="shared" si="52"/>
        <v>20</v>
      </c>
      <c r="S98" s="54">
        <f t="shared" si="57"/>
        <v>1.5</v>
      </c>
      <c r="T98" s="54">
        <f t="shared" si="56"/>
        <v>1.5</v>
      </c>
      <c r="U98" s="54">
        <f t="shared" si="56"/>
        <v>1.5</v>
      </c>
      <c r="V98" s="54">
        <f t="shared" si="56"/>
        <v>1.5</v>
      </c>
      <c r="W98" s="54">
        <f t="shared" si="56"/>
        <v>3.5</v>
      </c>
      <c r="X98" s="54">
        <f t="shared" si="56"/>
        <v>1.5</v>
      </c>
      <c r="Y98" s="54">
        <f t="shared" si="56"/>
        <v>1.5</v>
      </c>
      <c r="Z98" s="54">
        <f t="shared" si="56"/>
        <v>1.5</v>
      </c>
      <c r="AA98" s="54">
        <f t="shared" si="56"/>
        <v>1.5</v>
      </c>
      <c r="AB98" s="54">
        <f t="shared" si="56"/>
        <v>1.5</v>
      </c>
      <c r="AC98" s="54">
        <f t="shared" si="56"/>
        <v>1.5</v>
      </c>
      <c r="AD98" s="54">
        <f t="shared" si="56"/>
        <v>1.5</v>
      </c>
      <c r="AF98" s="62">
        <f t="shared" si="46"/>
        <v>1</v>
      </c>
      <c r="AG98" s="64">
        <v>1</v>
      </c>
      <c r="AH98" s="64">
        <v>0</v>
      </c>
      <c r="AI98" s="65">
        <v>0</v>
      </c>
      <c r="AJ98" s="66"/>
      <c r="AK98" s="64"/>
      <c r="AL98" s="64"/>
      <c r="AM98" s="64"/>
      <c r="AN98" s="64"/>
      <c r="AO98" s="64"/>
      <c r="AP98" s="64"/>
      <c r="AQ98" s="64"/>
      <c r="AR98" s="64"/>
      <c r="AS98" s="67">
        <f t="shared" si="47"/>
        <v>20.5</v>
      </c>
      <c r="AT98" s="68"/>
      <c r="AU98" s="69">
        <v>14.675769230769191</v>
      </c>
      <c r="AV98" s="62">
        <f t="shared" si="40"/>
        <v>154</v>
      </c>
      <c r="AW98" s="54">
        <f t="shared" si="42"/>
        <v>11.549999999999999</v>
      </c>
      <c r="AX98" s="54">
        <f t="shared" si="42"/>
        <v>11.549999999999999</v>
      </c>
      <c r="AY98" s="54">
        <f t="shared" si="42"/>
        <v>11.549999999999999</v>
      </c>
      <c r="AZ98" s="54">
        <f t="shared" si="42"/>
        <v>11.549999999999999</v>
      </c>
      <c r="BA98" s="54">
        <f t="shared" si="42"/>
        <v>26.949999999999996</v>
      </c>
      <c r="BB98" s="54">
        <f t="shared" si="42"/>
        <v>11.549999999999999</v>
      </c>
      <c r="BC98" s="54">
        <f t="shared" si="59"/>
        <v>11.549999999999999</v>
      </c>
      <c r="BD98" s="54">
        <f t="shared" si="59"/>
        <v>11.549999999999999</v>
      </c>
      <c r="BE98" s="54">
        <f t="shared" si="59"/>
        <v>11.549999999999999</v>
      </c>
      <c r="BF98" s="54">
        <f t="shared" si="59"/>
        <v>11.549999999999999</v>
      </c>
      <c r="BG98" s="54">
        <f t="shared" si="59"/>
        <v>11.549999999999999</v>
      </c>
      <c r="BH98" s="54">
        <f t="shared" si="59"/>
        <v>11.549999999999999</v>
      </c>
      <c r="BI98" s="62">
        <f t="shared" si="37"/>
        <v>-7.6999999999999993</v>
      </c>
      <c r="BJ98" s="59">
        <f t="shared" si="58"/>
        <v>-7.6999999999999993</v>
      </c>
      <c r="BK98" s="59">
        <f t="shared" si="58"/>
        <v>0</v>
      </c>
      <c r="BL98" s="59">
        <f t="shared" si="58"/>
        <v>0</v>
      </c>
      <c r="BM98" s="59">
        <f t="shared" si="58"/>
        <v>0</v>
      </c>
      <c r="BN98" s="59">
        <f t="shared" si="58"/>
        <v>0</v>
      </c>
      <c r="BO98" s="59">
        <f t="shared" si="58"/>
        <v>0</v>
      </c>
      <c r="BP98" s="59">
        <f t="shared" si="58"/>
        <v>0</v>
      </c>
      <c r="BQ98" s="59">
        <f t="shared" si="58"/>
        <v>0</v>
      </c>
      <c r="BR98" s="59">
        <f t="shared" si="58"/>
        <v>0</v>
      </c>
      <c r="BS98" s="59">
        <f t="shared" si="58"/>
        <v>0</v>
      </c>
      <c r="BT98" s="59">
        <f t="shared" si="58"/>
        <v>0</v>
      </c>
      <c r="BU98" s="59">
        <f t="shared" si="58"/>
        <v>0</v>
      </c>
      <c r="BV98" s="67">
        <f t="shared" si="48"/>
        <v>160.9757692307692</v>
      </c>
      <c r="BX98" s="54">
        <f t="shared" si="53"/>
        <v>15.015000000000001</v>
      </c>
      <c r="BY98" s="54">
        <f t="shared" si="53"/>
        <v>15.015000000000001</v>
      </c>
      <c r="BZ98" s="54">
        <f t="shared" si="53"/>
        <v>15.015000000000001</v>
      </c>
      <c r="CA98" s="54">
        <f t="shared" si="49"/>
        <v>15.015000000000001</v>
      </c>
      <c r="CB98" s="54">
        <f t="shared" si="49"/>
        <v>35.034999999999997</v>
      </c>
      <c r="CC98" s="54">
        <f t="shared" si="49"/>
        <v>15.015000000000001</v>
      </c>
      <c r="CD98" s="54">
        <f t="shared" si="49"/>
        <v>15.015000000000001</v>
      </c>
      <c r="CE98" s="54">
        <f t="shared" si="49"/>
        <v>15.015000000000001</v>
      </c>
      <c r="CF98" s="54">
        <f t="shared" si="49"/>
        <v>15.015000000000001</v>
      </c>
      <c r="CG98" s="54">
        <f t="shared" si="43"/>
        <v>15.015000000000001</v>
      </c>
      <c r="CH98" s="54">
        <f t="shared" si="43"/>
        <v>15.015000000000001</v>
      </c>
      <c r="CI98" s="54">
        <f t="shared" si="43"/>
        <v>15.015000000000001</v>
      </c>
      <c r="CJ98" s="74">
        <f t="shared" si="39"/>
        <v>200.19999999999993</v>
      </c>
      <c r="CK98" s="59">
        <f t="shared" si="54"/>
        <v>20</v>
      </c>
      <c r="CL98" s="9">
        <f t="shared" si="55"/>
        <v>0</v>
      </c>
      <c r="CM98" s="71">
        <f t="shared" si="50"/>
        <v>200.2</v>
      </c>
      <c r="CN98" s="54"/>
      <c r="CO98" s="73"/>
      <c r="CP98" s="56"/>
    </row>
    <row r="99" spans="1:94" ht="20.25" customHeight="1">
      <c r="A99" s="1" t="s">
        <v>280</v>
      </c>
      <c r="B99" s="1" t="s">
        <v>281</v>
      </c>
      <c r="C99" s="1" t="s">
        <v>260</v>
      </c>
      <c r="D99" s="58">
        <f>+VLOOKUP(A99,'[1]BDD-Avk Tx'!B:CE,82,0)</f>
        <v>281</v>
      </c>
      <c r="E99" s="59">
        <v>200.2</v>
      </c>
      <c r="G99" s="4">
        <v>42154</v>
      </c>
      <c r="H99" s="4">
        <f t="shared" si="44"/>
        <v>45647</v>
      </c>
      <c r="I99" s="60" t="str">
        <f>+VLOOKUP(A99,'[1]BDD-Avk Tx'!B:BZ,77,0)</f>
        <v>CDI</v>
      </c>
      <c r="J99" s="4">
        <f t="shared" si="45"/>
        <v>45647</v>
      </c>
      <c r="N99" s="3"/>
      <c r="P99" s="54">
        <f t="shared" si="51"/>
        <v>10.5</v>
      </c>
      <c r="Q99" s="61">
        <v>1.5</v>
      </c>
      <c r="R99" s="62">
        <f t="shared" si="52"/>
        <v>20</v>
      </c>
      <c r="S99" s="54">
        <f t="shared" si="57"/>
        <v>1.5</v>
      </c>
      <c r="T99" s="54">
        <f t="shared" si="56"/>
        <v>1.5</v>
      </c>
      <c r="U99" s="54">
        <f t="shared" si="56"/>
        <v>1.5</v>
      </c>
      <c r="V99" s="54">
        <f t="shared" si="56"/>
        <v>1.5</v>
      </c>
      <c r="W99" s="54">
        <f t="shared" si="56"/>
        <v>1.5</v>
      </c>
      <c r="X99" s="54">
        <f t="shared" si="56"/>
        <v>3.5</v>
      </c>
      <c r="Y99" s="54">
        <f t="shared" si="56"/>
        <v>1.5</v>
      </c>
      <c r="Z99" s="54">
        <f t="shared" si="56"/>
        <v>1.5</v>
      </c>
      <c r="AA99" s="54">
        <f t="shared" si="56"/>
        <v>1.5</v>
      </c>
      <c r="AB99" s="54">
        <f t="shared" si="56"/>
        <v>1.5</v>
      </c>
      <c r="AC99" s="54">
        <f t="shared" si="56"/>
        <v>1.5</v>
      </c>
      <c r="AD99" s="54">
        <f t="shared" si="56"/>
        <v>1.5</v>
      </c>
      <c r="AF99" s="62">
        <f t="shared" ref="AF99:AF162" si="60">SUM(AG99:AR99)</f>
        <v>0</v>
      </c>
      <c r="AG99" s="64">
        <v>0</v>
      </c>
      <c r="AH99" s="64">
        <v>0</v>
      </c>
      <c r="AI99" s="65">
        <v>0</v>
      </c>
      <c r="AJ99" s="66"/>
      <c r="AK99" s="64"/>
      <c r="AL99" s="64"/>
      <c r="AM99" s="64"/>
      <c r="AN99" s="64"/>
      <c r="AO99" s="64"/>
      <c r="AP99" s="64"/>
      <c r="AQ99" s="64"/>
      <c r="AR99" s="64"/>
      <c r="AS99" s="67">
        <f t="shared" si="47"/>
        <v>21.5</v>
      </c>
      <c r="AT99" s="68"/>
      <c r="AU99" s="69">
        <v>15.420192307692361</v>
      </c>
      <c r="AV99" s="62">
        <f t="shared" si="40"/>
        <v>154</v>
      </c>
      <c r="AW99" s="54">
        <f t="shared" si="42"/>
        <v>11.549999999999999</v>
      </c>
      <c r="AX99" s="54">
        <f t="shared" si="42"/>
        <v>11.549999999999999</v>
      </c>
      <c r="AY99" s="54">
        <f t="shared" si="42"/>
        <v>11.549999999999999</v>
      </c>
      <c r="AZ99" s="54">
        <f t="shared" si="42"/>
        <v>11.549999999999999</v>
      </c>
      <c r="BA99" s="54">
        <f t="shared" si="42"/>
        <v>11.549999999999999</v>
      </c>
      <c r="BB99" s="54">
        <f t="shared" si="42"/>
        <v>26.949999999999996</v>
      </c>
      <c r="BC99" s="54">
        <f t="shared" si="59"/>
        <v>11.549999999999999</v>
      </c>
      <c r="BD99" s="54">
        <f t="shared" si="59"/>
        <v>11.549999999999999</v>
      </c>
      <c r="BE99" s="54">
        <f t="shared" si="59"/>
        <v>11.549999999999999</v>
      </c>
      <c r="BF99" s="54">
        <f t="shared" si="59"/>
        <v>11.549999999999999</v>
      </c>
      <c r="BG99" s="54">
        <f t="shared" si="59"/>
        <v>11.549999999999999</v>
      </c>
      <c r="BH99" s="54">
        <f t="shared" si="59"/>
        <v>11.549999999999999</v>
      </c>
      <c r="BI99" s="62">
        <f t="shared" si="37"/>
        <v>0</v>
      </c>
      <c r="BJ99" s="59">
        <f t="shared" si="58"/>
        <v>0</v>
      </c>
      <c r="BK99" s="59">
        <f t="shared" si="58"/>
        <v>0</v>
      </c>
      <c r="BL99" s="59">
        <f t="shared" si="58"/>
        <v>0</v>
      </c>
      <c r="BM99" s="59">
        <f t="shared" si="58"/>
        <v>0</v>
      </c>
      <c r="BN99" s="59">
        <f t="shared" si="58"/>
        <v>0</v>
      </c>
      <c r="BO99" s="59">
        <f t="shared" si="58"/>
        <v>0</v>
      </c>
      <c r="BP99" s="59">
        <f t="shared" si="58"/>
        <v>0</v>
      </c>
      <c r="BQ99" s="59">
        <f t="shared" si="58"/>
        <v>0</v>
      </c>
      <c r="BR99" s="59">
        <f t="shared" si="58"/>
        <v>0</v>
      </c>
      <c r="BS99" s="59">
        <f t="shared" si="58"/>
        <v>0</v>
      </c>
      <c r="BT99" s="59">
        <f t="shared" si="58"/>
        <v>0</v>
      </c>
      <c r="BU99" s="59">
        <f t="shared" si="58"/>
        <v>0</v>
      </c>
      <c r="BV99" s="67">
        <f t="shared" si="48"/>
        <v>169.42019230769236</v>
      </c>
      <c r="BX99" s="54">
        <f t="shared" si="53"/>
        <v>15.015000000000001</v>
      </c>
      <c r="BY99" s="54">
        <f t="shared" si="53"/>
        <v>15.015000000000001</v>
      </c>
      <c r="BZ99" s="54">
        <f t="shared" si="53"/>
        <v>15.015000000000001</v>
      </c>
      <c r="CA99" s="54">
        <f t="shared" si="49"/>
        <v>15.015000000000001</v>
      </c>
      <c r="CB99" s="54">
        <f t="shared" si="49"/>
        <v>15.015000000000001</v>
      </c>
      <c r="CC99" s="54">
        <f t="shared" si="49"/>
        <v>35.034999999999997</v>
      </c>
      <c r="CD99" s="54">
        <f t="shared" si="49"/>
        <v>15.015000000000001</v>
      </c>
      <c r="CE99" s="54">
        <f t="shared" si="49"/>
        <v>15.015000000000001</v>
      </c>
      <c r="CF99" s="54">
        <f t="shared" si="49"/>
        <v>15.015000000000001</v>
      </c>
      <c r="CG99" s="54">
        <f t="shared" si="43"/>
        <v>15.015000000000001</v>
      </c>
      <c r="CH99" s="54">
        <f t="shared" si="43"/>
        <v>15.015000000000001</v>
      </c>
      <c r="CI99" s="54">
        <f t="shared" si="43"/>
        <v>15.015000000000001</v>
      </c>
      <c r="CJ99" s="74">
        <f t="shared" si="39"/>
        <v>200.19999999999993</v>
      </c>
      <c r="CK99" s="59">
        <f t="shared" si="54"/>
        <v>20</v>
      </c>
      <c r="CL99" s="9">
        <f t="shared" si="55"/>
        <v>0</v>
      </c>
      <c r="CM99" s="71">
        <f t="shared" si="50"/>
        <v>200.2</v>
      </c>
      <c r="CN99" s="72"/>
      <c r="CO99" s="73"/>
    </row>
    <row r="100" spans="1:94" ht="20.25" customHeight="1">
      <c r="A100" s="75" t="s">
        <v>282</v>
      </c>
      <c r="B100" s="1" t="s">
        <v>283</v>
      </c>
      <c r="C100" s="1" t="s">
        <v>284</v>
      </c>
      <c r="D100" s="58">
        <f>+VLOOKUP(A100,'[1]BDD-Avk Tx'!B:CE,82,0)</f>
        <v>281</v>
      </c>
      <c r="E100" s="59">
        <v>308.10000000000002</v>
      </c>
      <c r="G100" s="4">
        <v>42345</v>
      </c>
      <c r="H100" s="4">
        <f t="shared" si="44"/>
        <v>45647</v>
      </c>
      <c r="I100" s="60" t="str">
        <f>+VLOOKUP(A100,'[1]BDD-Avk Tx'!B:BZ,77,0)</f>
        <v>CDI</v>
      </c>
      <c r="J100" s="4">
        <f t="shared" si="45"/>
        <v>45647</v>
      </c>
      <c r="N100" s="3"/>
      <c r="P100" s="54">
        <f t="shared" si="51"/>
        <v>10</v>
      </c>
      <c r="Q100" s="61">
        <v>0.5</v>
      </c>
      <c r="R100" s="62">
        <f t="shared" si="52"/>
        <v>20</v>
      </c>
      <c r="S100" s="54">
        <f t="shared" si="57"/>
        <v>3.5</v>
      </c>
      <c r="T100" s="54">
        <f t="shared" si="56"/>
        <v>1.5</v>
      </c>
      <c r="U100" s="54">
        <f t="shared" si="56"/>
        <v>1.5</v>
      </c>
      <c r="V100" s="54">
        <f t="shared" si="56"/>
        <v>1.5</v>
      </c>
      <c r="W100" s="54">
        <f t="shared" si="56"/>
        <v>1.5</v>
      </c>
      <c r="X100" s="54">
        <f t="shared" si="56"/>
        <v>1.5</v>
      </c>
      <c r="Y100" s="54">
        <f t="shared" si="56"/>
        <v>1.5</v>
      </c>
      <c r="Z100" s="54">
        <f t="shared" si="56"/>
        <v>1.5</v>
      </c>
      <c r="AA100" s="54">
        <f t="shared" si="56"/>
        <v>1.5</v>
      </c>
      <c r="AB100" s="54">
        <f t="shared" si="56"/>
        <v>1.5</v>
      </c>
      <c r="AC100" s="54">
        <f t="shared" si="56"/>
        <v>1.5</v>
      </c>
      <c r="AD100" s="54">
        <f t="shared" si="56"/>
        <v>1.5</v>
      </c>
      <c r="AF100" s="62">
        <f t="shared" si="60"/>
        <v>0</v>
      </c>
      <c r="AG100" s="64">
        <v>0</v>
      </c>
      <c r="AH100" s="64">
        <v>0</v>
      </c>
      <c r="AI100" s="65">
        <v>0</v>
      </c>
      <c r="AJ100" s="66"/>
      <c r="AK100" s="64"/>
      <c r="AL100" s="64"/>
      <c r="AM100" s="64"/>
      <c r="AN100" s="64"/>
      <c r="AO100" s="64"/>
      <c r="AP100" s="64"/>
      <c r="AQ100" s="64"/>
      <c r="AR100" s="64"/>
      <c r="AS100" s="67">
        <f t="shared" si="47"/>
        <v>20.5</v>
      </c>
      <c r="AT100" s="68"/>
      <c r="AU100" s="69">
        <v>-6.2192307692307054</v>
      </c>
      <c r="AV100" s="62">
        <f t="shared" si="40"/>
        <v>237.00000000000006</v>
      </c>
      <c r="AW100" s="54">
        <f t="shared" si="42"/>
        <v>41.475000000000009</v>
      </c>
      <c r="AX100" s="54">
        <f t="shared" si="42"/>
        <v>17.775000000000002</v>
      </c>
      <c r="AY100" s="54">
        <f t="shared" si="42"/>
        <v>17.775000000000002</v>
      </c>
      <c r="AZ100" s="54">
        <f t="shared" si="42"/>
        <v>17.775000000000002</v>
      </c>
      <c r="BA100" s="54">
        <f t="shared" si="42"/>
        <v>17.775000000000002</v>
      </c>
      <c r="BB100" s="54">
        <f t="shared" si="42"/>
        <v>17.775000000000002</v>
      </c>
      <c r="BC100" s="54">
        <f t="shared" si="59"/>
        <v>17.775000000000002</v>
      </c>
      <c r="BD100" s="54">
        <f t="shared" si="59"/>
        <v>17.775000000000002</v>
      </c>
      <c r="BE100" s="54">
        <f t="shared" si="59"/>
        <v>17.775000000000002</v>
      </c>
      <c r="BF100" s="54">
        <f t="shared" si="59"/>
        <v>17.775000000000002</v>
      </c>
      <c r="BG100" s="54">
        <f t="shared" si="59"/>
        <v>17.775000000000002</v>
      </c>
      <c r="BH100" s="54">
        <f t="shared" si="59"/>
        <v>17.775000000000002</v>
      </c>
      <c r="BI100" s="62">
        <f t="shared" si="37"/>
        <v>0</v>
      </c>
      <c r="BJ100" s="59">
        <f t="shared" si="58"/>
        <v>0</v>
      </c>
      <c r="BK100" s="59">
        <f t="shared" si="58"/>
        <v>0</v>
      </c>
      <c r="BL100" s="59">
        <f t="shared" si="58"/>
        <v>0</v>
      </c>
      <c r="BM100" s="59">
        <f t="shared" si="58"/>
        <v>0</v>
      </c>
      <c r="BN100" s="59">
        <f t="shared" si="58"/>
        <v>0</v>
      </c>
      <c r="BO100" s="59">
        <f t="shared" si="58"/>
        <v>0</v>
      </c>
      <c r="BP100" s="59">
        <f t="shared" si="58"/>
        <v>0</v>
      </c>
      <c r="BQ100" s="59">
        <f t="shared" si="58"/>
        <v>0</v>
      </c>
      <c r="BR100" s="59">
        <f t="shared" si="58"/>
        <v>0</v>
      </c>
      <c r="BS100" s="59">
        <f t="shared" si="58"/>
        <v>0</v>
      </c>
      <c r="BT100" s="59">
        <f t="shared" si="58"/>
        <v>0</v>
      </c>
      <c r="BU100" s="59">
        <f t="shared" si="58"/>
        <v>0</v>
      </c>
      <c r="BV100" s="67">
        <f t="shared" si="48"/>
        <v>230.78076923076935</v>
      </c>
      <c r="BX100" s="54">
        <f t="shared" si="53"/>
        <v>53.917500000000004</v>
      </c>
      <c r="BY100" s="54">
        <f t="shared" si="53"/>
        <v>23.107500000000002</v>
      </c>
      <c r="BZ100" s="54">
        <f t="shared" si="53"/>
        <v>23.107500000000002</v>
      </c>
      <c r="CA100" s="54">
        <f t="shared" si="49"/>
        <v>23.107500000000002</v>
      </c>
      <c r="CB100" s="54">
        <f t="shared" si="49"/>
        <v>23.107500000000002</v>
      </c>
      <c r="CC100" s="54">
        <f t="shared" si="49"/>
        <v>23.107500000000002</v>
      </c>
      <c r="CD100" s="54">
        <f t="shared" si="49"/>
        <v>23.107500000000002</v>
      </c>
      <c r="CE100" s="54">
        <f t="shared" si="49"/>
        <v>23.107500000000002</v>
      </c>
      <c r="CF100" s="54">
        <f t="shared" si="49"/>
        <v>23.107500000000002</v>
      </c>
      <c r="CG100" s="54">
        <f t="shared" si="43"/>
        <v>23.107500000000002</v>
      </c>
      <c r="CH100" s="54">
        <f t="shared" si="43"/>
        <v>23.107500000000002</v>
      </c>
      <c r="CI100" s="54">
        <f t="shared" si="43"/>
        <v>23.107500000000002</v>
      </c>
      <c r="CJ100" s="74">
        <f t="shared" si="39"/>
        <v>308.10000000000014</v>
      </c>
      <c r="CK100" s="59">
        <f t="shared" si="54"/>
        <v>20</v>
      </c>
      <c r="CL100" s="9">
        <f t="shared" si="55"/>
        <v>0</v>
      </c>
      <c r="CM100" s="71">
        <f t="shared" si="50"/>
        <v>308.10000000000002</v>
      </c>
      <c r="CN100" s="72"/>
      <c r="CO100" s="73"/>
    </row>
    <row r="101" spans="1:94" ht="20.25" customHeight="1">
      <c r="A101" s="1" t="s">
        <v>285</v>
      </c>
      <c r="B101" s="1" t="s">
        <v>286</v>
      </c>
      <c r="C101" s="1" t="s">
        <v>224</v>
      </c>
      <c r="D101" s="58">
        <f>+VLOOKUP(A101,'[1]BDD-Avk Tx'!B:CE,82,0)</f>
        <v>281</v>
      </c>
      <c r="E101" s="59">
        <v>200.2</v>
      </c>
      <c r="G101" s="4">
        <v>42359</v>
      </c>
      <c r="H101" s="4">
        <f t="shared" si="44"/>
        <v>45647</v>
      </c>
      <c r="I101" s="60" t="str">
        <f>+VLOOKUP(A101,'[1]BDD-Avk Tx'!B:BZ,77,0)</f>
        <v>CDI</v>
      </c>
      <c r="J101" s="4">
        <f t="shared" si="45"/>
        <v>45647</v>
      </c>
      <c r="N101" s="3"/>
      <c r="P101" s="54">
        <f t="shared" si="51"/>
        <v>9.9166666666666661</v>
      </c>
      <c r="Q101" s="61">
        <v>0</v>
      </c>
      <c r="R101" s="62">
        <f t="shared" si="52"/>
        <v>19</v>
      </c>
      <c r="S101" s="54">
        <f t="shared" si="57"/>
        <v>2.5</v>
      </c>
      <c r="T101" s="54">
        <f t="shared" si="56"/>
        <v>1.5</v>
      </c>
      <c r="U101" s="54">
        <f t="shared" si="56"/>
        <v>1.5</v>
      </c>
      <c r="V101" s="54">
        <f t="shared" si="56"/>
        <v>1.5</v>
      </c>
      <c r="W101" s="54">
        <f t="shared" si="56"/>
        <v>1.5</v>
      </c>
      <c r="X101" s="54">
        <f t="shared" si="56"/>
        <v>1.5</v>
      </c>
      <c r="Y101" s="54">
        <f t="shared" si="56"/>
        <v>1.5</v>
      </c>
      <c r="Z101" s="54">
        <f t="shared" si="56"/>
        <v>1.5</v>
      </c>
      <c r="AA101" s="54">
        <f t="shared" si="56"/>
        <v>1.5</v>
      </c>
      <c r="AB101" s="54">
        <f t="shared" si="56"/>
        <v>1.5</v>
      </c>
      <c r="AC101" s="54">
        <f t="shared" si="56"/>
        <v>1.5</v>
      </c>
      <c r="AD101" s="54">
        <f t="shared" si="56"/>
        <v>1.5</v>
      </c>
      <c r="AF101" s="62">
        <f t="shared" si="60"/>
        <v>20</v>
      </c>
      <c r="AG101" s="64">
        <v>5</v>
      </c>
      <c r="AH101" s="64">
        <v>15</v>
      </c>
      <c r="AI101" s="65">
        <v>0</v>
      </c>
      <c r="AJ101" s="66"/>
      <c r="AK101" s="64"/>
      <c r="AL101" s="64"/>
      <c r="AM101" s="64"/>
      <c r="AN101" s="64"/>
      <c r="AO101" s="64"/>
      <c r="AP101" s="64"/>
      <c r="AQ101" s="64"/>
      <c r="AR101" s="64"/>
      <c r="AS101" s="67">
        <f t="shared" si="47"/>
        <v>-1</v>
      </c>
      <c r="AT101" s="68"/>
      <c r="AU101" s="69">
        <v>9.3230769230769113</v>
      </c>
      <c r="AV101" s="62">
        <f t="shared" si="40"/>
        <v>146.29999999999998</v>
      </c>
      <c r="AW101" s="54">
        <f t="shared" si="42"/>
        <v>19.25</v>
      </c>
      <c r="AX101" s="54">
        <f t="shared" si="42"/>
        <v>11.549999999999999</v>
      </c>
      <c r="AY101" s="54">
        <f t="shared" si="42"/>
        <v>11.549999999999999</v>
      </c>
      <c r="AZ101" s="54">
        <f t="shared" si="42"/>
        <v>11.549999999999999</v>
      </c>
      <c r="BA101" s="54">
        <f t="shared" si="42"/>
        <v>11.549999999999999</v>
      </c>
      <c r="BB101" s="54">
        <f t="shared" si="42"/>
        <v>11.549999999999999</v>
      </c>
      <c r="BC101" s="54">
        <f t="shared" si="59"/>
        <v>11.549999999999999</v>
      </c>
      <c r="BD101" s="54">
        <f t="shared" si="59"/>
        <v>11.549999999999999</v>
      </c>
      <c r="BE101" s="54">
        <f t="shared" si="59"/>
        <v>11.549999999999999</v>
      </c>
      <c r="BF101" s="54">
        <f t="shared" si="59"/>
        <v>11.549999999999999</v>
      </c>
      <c r="BG101" s="54">
        <f t="shared" si="59"/>
        <v>11.549999999999999</v>
      </c>
      <c r="BH101" s="54">
        <f t="shared" si="59"/>
        <v>11.549999999999999</v>
      </c>
      <c r="BI101" s="62">
        <f t="shared" si="37"/>
        <v>-154</v>
      </c>
      <c r="BJ101" s="59">
        <f t="shared" si="58"/>
        <v>-38.5</v>
      </c>
      <c r="BK101" s="59">
        <f t="shared" si="58"/>
        <v>-115.49999999999999</v>
      </c>
      <c r="BL101" s="59">
        <f t="shared" si="58"/>
        <v>0</v>
      </c>
      <c r="BM101" s="59">
        <f t="shared" si="58"/>
        <v>0</v>
      </c>
      <c r="BN101" s="59">
        <f t="shared" si="58"/>
        <v>0</v>
      </c>
      <c r="BO101" s="59">
        <f t="shared" si="58"/>
        <v>0</v>
      </c>
      <c r="BP101" s="59">
        <f t="shared" si="58"/>
        <v>0</v>
      </c>
      <c r="BQ101" s="59">
        <f t="shared" si="58"/>
        <v>0</v>
      </c>
      <c r="BR101" s="59">
        <f t="shared" si="58"/>
        <v>0</v>
      </c>
      <c r="BS101" s="59">
        <f t="shared" si="58"/>
        <v>0</v>
      </c>
      <c r="BT101" s="59">
        <f t="shared" si="58"/>
        <v>0</v>
      </c>
      <c r="BU101" s="59">
        <f t="shared" si="58"/>
        <v>0</v>
      </c>
      <c r="BV101" s="67">
        <f t="shared" si="48"/>
        <v>1.6230769230768942</v>
      </c>
      <c r="BX101" s="54">
        <f t="shared" si="53"/>
        <v>26.34210526315789</v>
      </c>
      <c r="BY101" s="54">
        <f t="shared" si="53"/>
        <v>15.805263157894736</v>
      </c>
      <c r="BZ101" s="54">
        <f t="shared" si="53"/>
        <v>15.805263157894736</v>
      </c>
      <c r="CA101" s="54">
        <f t="shared" si="49"/>
        <v>15.805263157894736</v>
      </c>
      <c r="CB101" s="54">
        <f t="shared" si="49"/>
        <v>15.805263157894736</v>
      </c>
      <c r="CC101" s="54">
        <f t="shared" si="49"/>
        <v>15.805263157894736</v>
      </c>
      <c r="CD101" s="54">
        <f t="shared" si="49"/>
        <v>15.805263157894736</v>
      </c>
      <c r="CE101" s="54">
        <f t="shared" si="49"/>
        <v>15.805263157894736</v>
      </c>
      <c r="CF101" s="54">
        <f t="shared" si="49"/>
        <v>15.805263157894736</v>
      </c>
      <c r="CG101" s="54">
        <f t="shared" si="43"/>
        <v>15.805263157894736</v>
      </c>
      <c r="CH101" s="54">
        <f t="shared" si="43"/>
        <v>15.805263157894736</v>
      </c>
      <c r="CI101" s="54">
        <f t="shared" si="43"/>
        <v>15.805263157894736</v>
      </c>
      <c r="CJ101" s="74">
        <f t="shared" si="39"/>
        <v>200.19999999999993</v>
      </c>
      <c r="CK101" s="59">
        <f t="shared" si="54"/>
        <v>19</v>
      </c>
      <c r="CL101" s="9">
        <f t="shared" si="55"/>
        <v>0</v>
      </c>
      <c r="CM101" s="71">
        <f t="shared" si="50"/>
        <v>200.2</v>
      </c>
      <c r="CN101" s="54"/>
      <c r="CO101" s="73"/>
      <c r="CP101" s="56"/>
    </row>
    <row r="102" spans="1:94" ht="20.25" customHeight="1">
      <c r="A102" s="75" t="s">
        <v>287</v>
      </c>
      <c r="B102" s="1" t="s">
        <v>288</v>
      </c>
      <c r="C102" s="1" t="s">
        <v>224</v>
      </c>
      <c r="D102" s="58">
        <f>+VLOOKUP(A102,'[1]BDD-Avk Tx'!B:CE,82,0)</f>
        <v>281</v>
      </c>
      <c r="E102" s="59">
        <v>130</v>
      </c>
      <c r="G102" s="4">
        <v>42653</v>
      </c>
      <c r="H102" s="4">
        <f t="shared" si="44"/>
        <v>45647</v>
      </c>
      <c r="I102" s="60" t="str">
        <f>+VLOOKUP(A102,'[1]BDD-Avk Tx'!B:BZ,77,0)</f>
        <v>CDI</v>
      </c>
      <c r="J102" s="4">
        <f t="shared" si="45"/>
        <v>45647</v>
      </c>
      <c r="N102" s="3"/>
      <c r="P102" s="54">
        <f t="shared" si="51"/>
        <v>9.1666666666666661</v>
      </c>
      <c r="Q102" s="61">
        <v>0</v>
      </c>
      <c r="R102" s="62">
        <f t="shared" si="52"/>
        <v>19</v>
      </c>
      <c r="S102" s="54">
        <f t="shared" si="57"/>
        <v>1.5</v>
      </c>
      <c r="T102" s="54">
        <f t="shared" si="56"/>
        <v>1.5</v>
      </c>
      <c r="U102" s="54">
        <f t="shared" si="56"/>
        <v>1.5</v>
      </c>
      <c r="V102" s="54">
        <f t="shared" si="56"/>
        <v>1.5</v>
      </c>
      <c r="W102" s="54">
        <f t="shared" si="56"/>
        <v>1.5</v>
      </c>
      <c r="X102" s="54">
        <f t="shared" si="56"/>
        <v>1.5</v>
      </c>
      <c r="Y102" s="54">
        <f t="shared" si="56"/>
        <v>1.5</v>
      </c>
      <c r="Z102" s="54">
        <f t="shared" si="56"/>
        <v>1.5</v>
      </c>
      <c r="AA102" s="54">
        <f t="shared" si="56"/>
        <v>1.5</v>
      </c>
      <c r="AB102" s="54">
        <f t="shared" si="56"/>
        <v>1.5</v>
      </c>
      <c r="AC102" s="54">
        <f t="shared" si="56"/>
        <v>2.5</v>
      </c>
      <c r="AD102" s="54">
        <f t="shared" si="56"/>
        <v>1.5</v>
      </c>
      <c r="AF102" s="62">
        <f t="shared" si="60"/>
        <v>0</v>
      </c>
      <c r="AG102" s="64">
        <v>0</v>
      </c>
      <c r="AH102" s="64">
        <v>0</v>
      </c>
      <c r="AI102" s="65">
        <v>0</v>
      </c>
      <c r="AJ102" s="66"/>
      <c r="AK102" s="64"/>
      <c r="AL102" s="64"/>
      <c r="AM102" s="64"/>
      <c r="AN102" s="64"/>
      <c r="AO102" s="64"/>
      <c r="AP102" s="64"/>
      <c r="AQ102" s="64"/>
      <c r="AR102" s="64"/>
      <c r="AS102" s="67">
        <f t="shared" si="47"/>
        <v>19</v>
      </c>
      <c r="AT102" s="68"/>
      <c r="AU102" s="69">
        <v>0</v>
      </c>
      <c r="AV102" s="62">
        <f t="shared" si="40"/>
        <v>95</v>
      </c>
      <c r="AW102" s="54">
        <f t="shared" si="42"/>
        <v>7.5</v>
      </c>
      <c r="AX102" s="54">
        <f t="shared" si="42"/>
        <v>7.5</v>
      </c>
      <c r="AY102" s="54">
        <f t="shared" si="42"/>
        <v>7.5</v>
      </c>
      <c r="AZ102" s="54">
        <f t="shared" si="42"/>
        <v>7.5</v>
      </c>
      <c r="BA102" s="54">
        <f t="shared" si="42"/>
        <v>7.5</v>
      </c>
      <c r="BB102" s="54">
        <f t="shared" si="42"/>
        <v>7.5</v>
      </c>
      <c r="BC102" s="54">
        <f t="shared" si="59"/>
        <v>7.5</v>
      </c>
      <c r="BD102" s="54">
        <f t="shared" si="59"/>
        <v>7.5</v>
      </c>
      <c r="BE102" s="54">
        <f t="shared" si="59"/>
        <v>7.5</v>
      </c>
      <c r="BF102" s="54">
        <f t="shared" si="59"/>
        <v>7.5</v>
      </c>
      <c r="BG102" s="54">
        <f t="shared" si="59"/>
        <v>12.5</v>
      </c>
      <c r="BH102" s="54">
        <f t="shared" si="59"/>
        <v>7.5</v>
      </c>
      <c r="BI102" s="62">
        <f t="shared" si="37"/>
        <v>0</v>
      </c>
      <c r="BJ102" s="59">
        <f t="shared" si="58"/>
        <v>0</v>
      </c>
      <c r="BK102" s="59">
        <f t="shared" si="58"/>
        <v>0</v>
      </c>
      <c r="BL102" s="59">
        <f t="shared" si="58"/>
        <v>0</v>
      </c>
      <c r="BM102" s="59">
        <f t="shared" si="58"/>
        <v>0</v>
      </c>
      <c r="BN102" s="59">
        <f t="shared" si="58"/>
        <v>0</v>
      </c>
      <c r="BO102" s="59">
        <f t="shared" si="58"/>
        <v>0</v>
      </c>
      <c r="BP102" s="59">
        <f t="shared" si="58"/>
        <v>0</v>
      </c>
      <c r="BQ102" s="59">
        <f t="shared" si="58"/>
        <v>0</v>
      </c>
      <c r="BR102" s="59">
        <f t="shared" si="58"/>
        <v>0</v>
      </c>
      <c r="BS102" s="59">
        <f t="shared" si="58"/>
        <v>0</v>
      </c>
      <c r="BT102" s="59">
        <f t="shared" si="58"/>
        <v>0</v>
      </c>
      <c r="BU102" s="59">
        <f t="shared" si="58"/>
        <v>0</v>
      </c>
      <c r="BV102" s="67">
        <f t="shared" si="48"/>
        <v>95</v>
      </c>
      <c r="BX102" s="54">
        <f t="shared" si="53"/>
        <v>10.263157894736842</v>
      </c>
      <c r="BY102" s="54">
        <f t="shared" si="53"/>
        <v>10.263157894736842</v>
      </c>
      <c r="BZ102" s="54">
        <f t="shared" si="53"/>
        <v>10.263157894736842</v>
      </c>
      <c r="CA102" s="54">
        <f t="shared" si="49"/>
        <v>10.263157894736842</v>
      </c>
      <c r="CB102" s="54">
        <f t="shared" si="49"/>
        <v>10.263157894736842</v>
      </c>
      <c r="CC102" s="54">
        <f t="shared" si="49"/>
        <v>10.263157894736842</v>
      </c>
      <c r="CD102" s="54">
        <f t="shared" si="49"/>
        <v>10.263157894736842</v>
      </c>
      <c r="CE102" s="54">
        <f t="shared" si="49"/>
        <v>10.263157894736842</v>
      </c>
      <c r="CF102" s="54">
        <f t="shared" si="49"/>
        <v>10.263157894736842</v>
      </c>
      <c r="CG102" s="54">
        <f t="shared" si="43"/>
        <v>10.263157894736842</v>
      </c>
      <c r="CH102" s="54">
        <f t="shared" si="43"/>
        <v>17.105263157894736</v>
      </c>
      <c r="CI102" s="54">
        <f t="shared" si="43"/>
        <v>10.263157894736842</v>
      </c>
      <c r="CJ102" s="74">
        <f t="shared" si="39"/>
        <v>130.00000000000003</v>
      </c>
      <c r="CK102" s="59">
        <f t="shared" si="54"/>
        <v>19</v>
      </c>
      <c r="CL102" s="9">
        <f t="shared" si="55"/>
        <v>0</v>
      </c>
      <c r="CM102" s="71">
        <f t="shared" si="50"/>
        <v>130</v>
      </c>
      <c r="CN102" s="72"/>
      <c r="CO102" s="73"/>
    </row>
    <row r="103" spans="1:94" ht="20.25" customHeight="1">
      <c r="A103" s="1" t="s">
        <v>289</v>
      </c>
      <c r="B103" s="1" t="s">
        <v>290</v>
      </c>
      <c r="C103" s="1" t="s">
        <v>291</v>
      </c>
      <c r="D103" s="58">
        <f>+VLOOKUP(A103,'[1]BDD-Avk Tx'!B:CE,82,0)</f>
        <v>640</v>
      </c>
      <c r="E103" s="59">
        <v>548.6</v>
      </c>
      <c r="G103" s="4">
        <v>41790</v>
      </c>
      <c r="H103" s="4">
        <f t="shared" si="44"/>
        <v>45647</v>
      </c>
      <c r="I103" s="60" t="str">
        <f>+VLOOKUP(A103,'[1]BDD-Avk Tx'!B:BZ,77,0)</f>
        <v>CDI</v>
      </c>
      <c r="J103" s="4">
        <f t="shared" si="45"/>
        <v>45647</v>
      </c>
      <c r="N103" s="3"/>
      <c r="P103" s="54">
        <f t="shared" si="51"/>
        <v>11.5</v>
      </c>
      <c r="Q103" s="61">
        <v>-0.5</v>
      </c>
      <c r="R103" s="62">
        <f t="shared" si="52"/>
        <v>20</v>
      </c>
      <c r="S103" s="54">
        <f t="shared" si="57"/>
        <v>1.5</v>
      </c>
      <c r="T103" s="54">
        <f t="shared" si="56"/>
        <v>1.5</v>
      </c>
      <c r="U103" s="54">
        <f t="shared" si="56"/>
        <v>1.5</v>
      </c>
      <c r="V103" s="54">
        <f t="shared" si="56"/>
        <v>1.5</v>
      </c>
      <c r="W103" s="54">
        <f t="shared" si="56"/>
        <v>1.5</v>
      </c>
      <c r="X103" s="54">
        <f t="shared" si="56"/>
        <v>3.5</v>
      </c>
      <c r="Y103" s="54">
        <f t="shared" si="56"/>
        <v>1.5</v>
      </c>
      <c r="Z103" s="54">
        <f t="shared" si="56"/>
        <v>1.5</v>
      </c>
      <c r="AA103" s="54">
        <f t="shared" si="56"/>
        <v>1.5</v>
      </c>
      <c r="AB103" s="54">
        <f t="shared" si="56"/>
        <v>1.5</v>
      </c>
      <c r="AC103" s="54">
        <f t="shared" si="56"/>
        <v>1.5</v>
      </c>
      <c r="AD103" s="54">
        <f t="shared" si="56"/>
        <v>1.5</v>
      </c>
      <c r="AF103" s="62">
        <f t="shared" si="60"/>
        <v>0</v>
      </c>
      <c r="AG103" s="64">
        <v>0</v>
      </c>
      <c r="AH103" s="64">
        <v>0</v>
      </c>
      <c r="AI103" s="65">
        <v>0</v>
      </c>
      <c r="AJ103" s="66"/>
      <c r="AK103" s="64"/>
      <c r="AL103" s="64"/>
      <c r="AM103" s="64"/>
      <c r="AN103" s="64"/>
      <c r="AO103" s="64"/>
      <c r="AP103" s="64"/>
      <c r="AQ103" s="64"/>
      <c r="AR103" s="64"/>
      <c r="AS103" s="67">
        <f t="shared" si="47"/>
        <v>19.5</v>
      </c>
      <c r="AT103" s="68"/>
      <c r="AU103" s="69">
        <v>-25.387500000000273</v>
      </c>
      <c r="AV103" s="62">
        <f t="shared" si="40"/>
        <v>421.99999999999989</v>
      </c>
      <c r="AW103" s="54">
        <f t="shared" si="42"/>
        <v>31.650000000000002</v>
      </c>
      <c r="AX103" s="54">
        <f t="shared" si="42"/>
        <v>31.650000000000002</v>
      </c>
      <c r="AY103" s="54">
        <f t="shared" si="42"/>
        <v>31.650000000000002</v>
      </c>
      <c r="AZ103" s="54">
        <f t="shared" si="42"/>
        <v>31.650000000000002</v>
      </c>
      <c r="BA103" s="54">
        <f t="shared" si="42"/>
        <v>31.650000000000002</v>
      </c>
      <c r="BB103" s="54">
        <f t="shared" si="42"/>
        <v>73.850000000000009</v>
      </c>
      <c r="BC103" s="54">
        <f t="shared" si="59"/>
        <v>31.650000000000002</v>
      </c>
      <c r="BD103" s="54">
        <f t="shared" si="59"/>
        <v>31.650000000000002</v>
      </c>
      <c r="BE103" s="54">
        <f t="shared" si="59"/>
        <v>31.650000000000002</v>
      </c>
      <c r="BF103" s="54">
        <f t="shared" si="59"/>
        <v>31.650000000000002</v>
      </c>
      <c r="BG103" s="54">
        <f t="shared" si="59"/>
        <v>31.650000000000002</v>
      </c>
      <c r="BH103" s="54">
        <f t="shared" si="59"/>
        <v>31.650000000000002</v>
      </c>
      <c r="BI103" s="62">
        <f t="shared" si="37"/>
        <v>0</v>
      </c>
      <c r="BJ103" s="59">
        <f t="shared" si="58"/>
        <v>0</v>
      </c>
      <c r="BK103" s="59">
        <f t="shared" si="58"/>
        <v>0</v>
      </c>
      <c r="BL103" s="59">
        <f t="shared" si="58"/>
        <v>0</v>
      </c>
      <c r="BM103" s="59">
        <f t="shared" si="58"/>
        <v>0</v>
      </c>
      <c r="BN103" s="59">
        <f t="shared" si="58"/>
        <v>0</v>
      </c>
      <c r="BO103" s="59">
        <f t="shared" si="58"/>
        <v>0</v>
      </c>
      <c r="BP103" s="59">
        <f t="shared" si="58"/>
        <v>0</v>
      </c>
      <c r="BQ103" s="59">
        <f t="shared" si="58"/>
        <v>0</v>
      </c>
      <c r="BR103" s="59">
        <f t="shared" si="58"/>
        <v>0</v>
      </c>
      <c r="BS103" s="59">
        <f t="shared" si="58"/>
        <v>0</v>
      </c>
      <c r="BT103" s="59">
        <f t="shared" si="58"/>
        <v>0</v>
      </c>
      <c r="BU103" s="59">
        <f t="shared" si="58"/>
        <v>0</v>
      </c>
      <c r="BV103" s="67">
        <f t="shared" si="48"/>
        <v>396.61249999999961</v>
      </c>
      <c r="BX103" s="54">
        <f t="shared" si="53"/>
        <v>41.144999999999996</v>
      </c>
      <c r="BY103" s="54">
        <f t="shared" si="53"/>
        <v>41.144999999999996</v>
      </c>
      <c r="BZ103" s="54">
        <f t="shared" si="53"/>
        <v>41.144999999999996</v>
      </c>
      <c r="CA103" s="54">
        <f t="shared" si="49"/>
        <v>41.144999999999996</v>
      </c>
      <c r="CB103" s="54">
        <f t="shared" si="49"/>
        <v>41.144999999999996</v>
      </c>
      <c r="CC103" s="54">
        <f t="shared" si="49"/>
        <v>96.004999999999995</v>
      </c>
      <c r="CD103" s="54">
        <f t="shared" si="49"/>
        <v>41.144999999999996</v>
      </c>
      <c r="CE103" s="54">
        <f t="shared" si="49"/>
        <v>41.144999999999996</v>
      </c>
      <c r="CF103" s="54">
        <f t="shared" si="49"/>
        <v>41.144999999999996</v>
      </c>
      <c r="CG103" s="54">
        <f t="shared" si="43"/>
        <v>41.144999999999996</v>
      </c>
      <c r="CH103" s="54">
        <f t="shared" si="43"/>
        <v>41.144999999999996</v>
      </c>
      <c r="CI103" s="54">
        <f t="shared" si="43"/>
        <v>41.144999999999996</v>
      </c>
      <c r="CJ103" s="74">
        <f t="shared" si="39"/>
        <v>548.59999999999991</v>
      </c>
      <c r="CK103" s="59">
        <f t="shared" si="54"/>
        <v>20</v>
      </c>
      <c r="CL103" s="9">
        <f t="shared" si="55"/>
        <v>0</v>
      </c>
      <c r="CM103" s="71">
        <f t="shared" si="50"/>
        <v>548.6</v>
      </c>
      <c r="CN103" s="72"/>
      <c r="CO103" s="73"/>
    </row>
    <row r="104" spans="1:94" ht="20.25" customHeight="1">
      <c r="A104" s="75" t="s">
        <v>292</v>
      </c>
      <c r="B104" s="1" t="s">
        <v>293</v>
      </c>
      <c r="C104" s="1" t="s">
        <v>85</v>
      </c>
      <c r="D104" s="58">
        <f>+VLOOKUP(A104,'[1]BDD-Avk Tx'!B:CE,82,0)</f>
        <v>212</v>
      </c>
      <c r="E104" s="59">
        <v>308.10000000000002</v>
      </c>
      <c r="G104" s="4">
        <v>41153</v>
      </c>
      <c r="H104" s="4">
        <f t="shared" si="44"/>
        <v>45647</v>
      </c>
      <c r="I104" s="60" t="str">
        <f>+VLOOKUP(A104,'[1]BDD-Avk Tx'!B:BZ,77,0)</f>
        <v>CDI</v>
      </c>
      <c r="J104" s="4">
        <f t="shared" si="45"/>
        <v>45647</v>
      </c>
      <c r="N104" s="3"/>
      <c r="P104" s="54">
        <f t="shared" si="51"/>
        <v>13.25</v>
      </c>
      <c r="Q104" s="61">
        <v>3</v>
      </c>
      <c r="R104" s="62">
        <f t="shared" si="52"/>
        <v>20</v>
      </c>
      <c r="S104" s="54">
        <f t="shared" si="57"/>
        <v>1.5</v>
      </c>
      <c r="T104" s="54">
        <f t="shared" si="56"/>
        <v>1.5</v>
      </c>
      <c r="U104" s="54">
        <f t="shared" si="56"/>
        <v>1.5</v>
      </c>
      <c r="V104" s="54">
        <f t="shared" si="56"/>
        <v>1.5</v>
      </c>
      <c r="W104" s="54">
        <f t="shared" si="56"/>
        <v>1.5</v>
      </c>
      <c r="X104" s="54">
        <f t="shared" si="56"/>
        <v>1.5</v>
      </c>
      <c r="Y104" s="54">
        <f t="shared" si="56"/>
        <v>1.5</v>
      </c>
      <c r="Z104" s="54">
        <f t="shared" si="56"/>
        <v>1.5</v>
      </c>
      <c r="AA104" s="54">
        <f t="shared" si="56"/>
        <v>1.5</v>
      </c>
      <c r="AB104" s="54">
        <f t="shared" si="56"/>
        <v>3.5</v>
      </c>
      <c r="AC104" s="54">
        <f t="shared" si="56"/>
        <v>1.5</v>
      </c>
      <c r="AD104" s="54">
        <f t="shared" si="56"/>
        <v>1.5</v>
      </c>
      <c r="AF104" s="62">
        <f t="shared" si="60"/>
        <v>0</v>
      </c>
      <c r="AG104" s="64">
        <v>0</v>
      </c>
      <c r="AH104" s="64">
        <v>0</v>
      </c>
      <c r="AI104" s="65">
        <v>0</v>
      </c>
      <c r="AJ104" s="66"/>
      <c r="AK104" s="64"/>
      <c r="AL104" s="64"/>
      <c r="AM104" s="64"/>
      <c r="AN104" s="64"/>
      <c r="AO104" s="64"/>
      <c r="AP104" s="64"/>
      <c r="AQ104" s="64"/>
      <c r="AR104" s="64"/>
      <c r="AS104" s="67">
        <f t="shared" si="47"/>
        <v>23</v>
      </c>
      <c r="AT104" s="68"/>
      <c r="AU104" s="69">
        <v>48.738461538461536</v>
      </c>
      <c r="AV104" s="62">
        <f t="shared" si="40"/>
        <v>237.00000000000006</v>
      </c>
      <c r="AW104" s="54">
        <f t="shared" si="42"/>
        <v>17.775000000000002</v>
      </c>
      <c r="AX104" s="54">
        <f t="shared" si="42"/>
        <v>17.775000000000002</v>
      </c>
      <c r="AY104" s="54">
        <f t="shared" si="42"/>
        <v>17.775000000000002</v>
      </c>
      <c r="AZ104" s="54">
        <f t="shared" si="42"/>
        <v>17.775000000000002</v>
      </c>
      <c r="BA104" s="54">
        <f t="shared" si="42"/>
        <v>17.775000000000002</v>
      </c>
      <c r="BB104" s="54">
        <f t="shared" si="42"/>
        <v>17.775000000000002</v>
      </c>
      <c r="BC104" s="54">
        <f t="shared" si="59"/>
        <v>17.775000000000002</v>
      </c>
      <c r="BD104" s="54">
        <f t="shared" si="59"/>
        <v>17.775000000000002</v>
      </c>
      <c r="BE104" s="54">
        <f t="shared" si="59"/>
        <v>17.775000000000002</v>
      </c>
      <c r="BF104" s="54">
        <f t="shared" si="59"/>
        <v>41.475000000000009</v>
      </c>
      <c r="BG104" s="54">
        <f t="shared" si="59"/>
        <v>17.775000000000002</v>
      </c>
      <c r="BH104" s="54">
        <f t="shared" si="59"/>
        <v>17.775000000000002</v>
      </c>
      <c r="BI104" s="62">
        <f t="shared" si="37"/>
        <v>0</v>
      </c>
      <c r="BJ104" s="59">
        <f t="shared" si="58"/>
        <v>0</v>
      </c>
      <c r="BK104" s="59">
        <f t="shared" si="58"/>
        <v>0</v>
      </c>
      <c r="BL104" s="59">
        <f t="shared" si="58"/>
        <v>0</v>
      </c>
      <c r="BM104" s="59">
        <f t="shared" si="58"/>
        <v>0</v>
      </c>
      <c r="BN104" s="59">
        <f t="shared" si="58"/>
        <v>0</v>
      </c>
      <c r="BO104" s="59">
        <f t="shared" si="58"/>
        <v>0</v>
      </c>
      <c r="BP104" s="59">
        <f t="shared" si="58"/>
        <v>0</v>
      </c>
      <c r="BQ104" s="59">
        <f t="shared" si="58"/>
        <v>0</v>
      </c>
      <c r="BR104" s="59">
        <f t="shared" si="58"/>
        <v>0</v>
      </c>
      <c r="BS104" s="59">
        <f t="shared" si="58"/>
        <v>0</v>
      </c>
      <c r="BT104" s="59">
        <f t="shared" si="58"/>
        <v>0</v>
      </c>
      <c r="BU104" s="59">
        <f t="shared" si="58"/>
        <v>0</v>
      </c>
      <c r="BV104" s="67">
        <f t="shared" si="48"/>
        <v>285.73846153846159</v>
      </c>
      <c r="BX104" s="54">
        <f t="shared" si="53"/>
        <v>23.107500000000002</v>
      </c>
      <c r="BY104" s="54">
        <f t="shared" si="53"/>
        <v>23.107500000000002</v>
      </c>
      <c r="BZ104" s="54">
        <f t="shared" si="53"/>
        <v>23.107500000000002</v>
      </c>
      <c r="CA104" s="54">
        <f t="shared" si="49"/>
        <v>23.107500000000002</v>
      </c>
      <c r="CB104" s="54">
        <f t="shared" si="49"/>
        <v>23.107500000000002</v>
      </c>
      <c r="CC104" s="54">
        <f t="shared" si="49"/>
        <v>23.107500000000002</v>
      </c>
      <c r="CD104" s="54">
        <f t="shared" si="49"/>
        <v>23.107500000000002</v>
      </c>
      <c r="CE104" s="54">
        <f t="shared" si="49"/>
        <v>23.107500000000002</v>
      </c>
      <c r="CF104" s="54">
        <f t="shared" si="49"/>
        <v>23.107500000000002</v>
      </c>
      <c r="CG104" s="54">
        <f t="shared" si="43"/>
        <v>53.917500000000004</v>
      </c>
      <c r="CH104" s="54">
        <f t="shared" si="43"/>
        <v>23.107500000000002</v>
      </c>
      <c r="CI104" s="54">
        <f t="shared" si="43"/>
        <v>23.107500000000002</v>
      </c>
      <c r="CJ104" s="74">
        <f t="shared" si="39"/>
        <v>308.10000000000008</v>
      </c>
      <c r="CK104" s="59">
        <f t="shared" si="54"/>
        <v>20</v>
      </c>
      <c r="CL104" s="9">
        <f t="shared" si="55"/>
        <v>0</v>
      </c>
      <c r="CM104" s="71">
        <f t="shared" si="50"/>
        <v>308.10000000000002</v>
      </c>
      <c r="CN104" s="54"/>
      <c r="CO104" s="73"/>
      <c r="CP104" s="56"/>
    </row>
    <row r="105" spans="1:94" ht="20.25" customHeight="1">
      <c r="A105" s="75" t="s">
        <v>294</v>
      </c>
      <c r="B105" s="1" t="s">
        <v>295</v>
      </c>
      <c r="C105" s="1" t="s">
        <v>296</v>
      </c>
      <c r="D105" s="58">
        <f>+VLOOKUP(A105,'[1]BDD-Avk Tx'!B:CE,82,0)</f>
        <v>212</v>
      </c>
      <c r="E105" s="59">
        <v>308.10000000000002</v>
      </c>
      <c r="G105" s="4">
        <v>41153</v>
      </c>
      <c r="H105" s="4">
        <f t="shared" si="44"/>
        <v>45647</v>
      </c>
      <c r="I105" s="60" t="str">
        <f>+VLOOKUP(A105,'[1]BDD-Avk Tx'!B:BZ,77,0)</f>
        <v>CDI</v>
      </c>
      <c r="J105" s="4">
        <f t="shared" si="45"/>
        <v>45647</v>
      </c>
      <c r="N105" s="3"/>
      <c r="P105" s="54">
        <f t="shared" si="51"/>
        <v>13.25</v>
      </c>
      <c r="Q105" s="61">
        <v>2</v>
      </c>
      <c r="R105" s="62">
        <f t="shared" si="52"/>
        <v>20</v>
      </c>
      <c r="S105" s="54">
        <f t="shared" si="57"/>
        <v>1.5</v>
      </c>
      <c r="T105" s="54">
        <f t="shared" si="57"/>
        <v>1.5</v>
      </c>
      <c r="U105" s="54">
        <f t="shared" si="57"/>
        <v>1.5</v>
      </c>
      <c r="V105" s="54">
        <f t="shared" si="57"/>
        <v>1.5</v>
      </c>
      <c r="W105" s="54">
        <f t="shared" si="57"/>
        <v>1.5</v>
      </c>
      <c r="X105" s="54">
        <f t="shared" si="57"/>
        <v>1.5</v>
      </c>
      <c r="Y105" s="54">
        <f t="shared" si="57"/>
        <v>1.5</v>
      </c>
      <c r="Z105" s="54">
        <f t="shared" si="57"/>
        <v>1.5</v>
      </c>
      <c r="AA105" s="54">
        <f t="shared" si="57"/>
        <v>1.5</v>
      </c>
      <c r="AB105" s="54">
        <f t="shared" si="57"/>
        <v>3.5</v>
      </c>
      <c r="AC105" s="54">
        <f t="shared" si="57"/>
        <v>1.5</v>
      </c>
      <c r="AD105" s="54">
        <f t="shared" si="57"/>
        <v>1.5</v>
      </c>
      <c r="AF105" s="62">
        <f t="shared" si="60"/>
        <v>0</v>
      </c>
      <c r="AG105" s="64">
        <v>0</v>
      </c>
      <c r="AH105" s="64">
        <v>0</v>
      </c>
      <c r="AI105" s="65">
        <v>0</v>
      </c>
      <c r="AJ105" s="66"/>
      <c r="AK105" s="64"/>
      <c r="AL105" s="64"/>
      <c r="AM105" s="64"/>
      <c r="AN105" s="64"/>
      <c r="AO105" s="64"/>
      <c r="AP105" s="64"/>
      <c r="AQ105" s="64"/>
      <c r="AR105" s="64"/>
      <c r="AS105" s="67">
        <f t="shared" si="47"/>
        <v>22</v>
      </c>
      <c r="AT105" s="68"/>
      <c r="AU105" s="69">
        <v>11.698076923076826</v>
      </c>
      <c r="AV105" s="62">
        <f t="shared" si="40"/>
        <v>237.00000000000006</v>
      </c>
      <c r="AW105" s="54">
        <f t="shared" si="42"/>
        <v>17.775000000000002</v>
      </c>
      <c r="AX105" s="54">
        <f t="shared" si="42"/>
        <v>17.775000000000002</v>
      </c>
      <c r="AY105" s="54">
        <f t="shared" si="42"/>
        <v>17.775000000000002</v>
      </c>
      <c r="AZ105" s="54">
        <f t="shared" si="42"/>
        <v>17.775000000000002</v>
      </c>
      <c r="BA105" s="54">
        <f t="shared" si="42"/>
        <v>17.775000000000002</v>
      </c>
      <c r="BB105" s="54">
        <f t="shared" si="42"/>
        <v>17.775000000000002</v>
      </c>
      <c r="BC105" s="54">
        <f t="shared" si="59"/>
        <v>17.775000000000002</v>
      </c>
      <c r="BD105" s="54">
        <f t="shared" si="59"/>
        <v>17.775000000000002</v>
      </c>
      <c r="BE105" s="54">
        <f t="shared" si="59"/>
        <v>17.775000000000002</v>
      </c>
      <c r="BF105" s="54">
        <f t="shared" si="59"/>
        <v>41.475000000000009</v>
      </c>
      <c r="BG105" s="54">
        <f t="shared" si="59"/>
        <v>17.775000000000002</v>
      </c>
      <c r="BH105" s="54">
        <f t="shared" si="59"/>
        <v>17.775000000000002</v>
      </c>
      <c r="BI105" s="62">
        <f t="shared" si="37"/>
        <v>0</v>
      </c>
      <c r="BJ105" s="59">
        <f t="shared" si="58"/>
        <v>0</v>
      </c>
      <c r="BK105" s="59">
        <f t="shared" si="58"/>
        <v>0</v>
      </c>
      <c r="BL105" s="59">
        <f t="shared" si="58"/>
        <v>0</v>
      </c>
      <c r="BM105" s="59">
        <f t="shared" si="58"/>
        <v>0</v>
      </c>
      <c r="BN105" s="59">
        <f t="shared" si="58"/>
        <v>0</v>
      </c>
      <c r="BO105" s="59">
        <f t="shared" si="58"/>
        <v>0</v>
      </c>
      <c r="BP105" s="59">
        <f t="shared" si="58"/>
        <v>0</v>
      </c>
      <c r="BQ105" s="59">
        <f t="shared" si="58"/>
        <v>0</v>
      </c>
      <c r="BR105" s="59">
        <f t="shared" si="58"/>
        <v>0</v>
      </c>
      <c r="BS105" s="59">
        <f t="shared" si="58"/>
        <v>0</v>
      </c>
      <c r="BT105" s="59">
        <f t="shared" si="58"/>
        <v>0</v>
      </c>
      <c r="BU105" s="59">
        <f t="shared" si="58"/>
        <v>0</v>
      </c>
      <c r="BV105" s="67">
        <f t="shared" si="48"/>
        <v>248.69807692307688</v>
      </c>
      <c r="BX105" s="54">
        <f t="shared" si="53"/>
        <v>23.107500000000002</v>
      </c>
      <c r="BY105" s="54">
        <f t="shared" si="53"/>
        <v>23.107500000000002</v>
      </c>
      <c r="BZ105" s="54">
        <f t="shared" si="53"/>
        <v>23.107500000000002</v>
      </c>
      <c r="CA105" s="54">
        <f t="shared" si="49"/>
        <v>23.107500000000002</v>
      </c>
      <c r="CB105" s="54">
        <f t="shared" si="49"/>
        <v>23.107500000000002</v>
      </c>
      <c r="CC105" s="54">
        <f t="shared" si="49"/>
        <v>23.107500000000002</v>
      </c>
      <c r="CD105" s="54">
        <f t="shared" si="49"/>
        <v>23.107500000000002</v>
      </c>
      <c r="CE105" s="54">
        <f t="shared" si="49"/>
        <v>23.107500000000002</v>
      </c>
      <c r="CF105" s="54">
        <f t="shared" si="49"/>
        <v>23.107500000000002</v>
      </c>
      <c r="CG105" s="54">
        <f t="shared" si="43"/>
        <v>53.917500000000004</v>
      </c>
      <c r="CH105" s="54">
        <f t="shared" si="43"/>
        <v>23.107500000000002</v>
      </c>
      <c r="CI105" s="54">
        <f t="shared" si="43"/>
        <v>23.107500000000002</v>
      </c>
      <c r="CJ105" s="74">
        <f t="shared" si="39"/>
        <v>308.10000000000008</v>
      </c>
      <c r="CK105" s="59">
        <f t="shared" si="54"/>
        <v>20</v>
      </c>
      <c r="CL105" s="9">
        <f t="shared" si="55"/>
        <v>0</v>
      </c>
      <c r="CM105" s="71">
        <f t="shared" si="50"/>
        <v>308.10000000000002</v>
      </c>
      <c r="CN105" s="72"/>
      <c r="CO105" s="73"/>
    </row>
    <row r="106" spans="1:94" ht="20.25" customHeight="1">
      <c r="A106" s="1" t="s">
        <v>297</v>
      </c>
      <c r="B106" s="1" t="s">
        <v>298</v>
      </c>
      <c r="C106" s="1" t="s">
        <v>85</v>
      </c>
      <c r="D106" s="58">
        <f>+VLOOKUP(A106,'[1]BDD-Avk Tx'!B:CE,82,0)</f>
        <v>212</v>
      </c>
      <c r="E106" s="59">
        <v>308.10000000000002</v>
      </c>
      <c r="G106" s="4">
        <v>41153</v>
      </c>
      <c r="H106" s="4">
        <f t="shared" si="44"/>
        <v>45647</v>
      </c>
      <c r="I106" s="60" t="str">
        <f>+VLOOKUP(A106,'[1]BDD-Avk Tx'!B:BZ,77,0)</f>
        <v>CDI</v>
      </c>
      <c r="J106" s="4">
        <f t="shared" si="45"/>
        <v>45647</v>
      </c>
      <c r="N106" s="3"/>
      <c r="P106" s="54">
        <f t="shared" si="51"/>
        <v>13.25</v>
      </c>
      <c r="Q106" s="61">
        <v>0</v>
      </c>
      <c r="R106" s="62">
        <f t="shared" si="52"/>
        <v>20</v>
      </c>
      <c r="S106" s="54">
        <f t="shared" si="57"/>
        <v>1.5</v>
      </c>
      <c r="T106" s="54">
        <f t="shared" si="57"/>
        <v>1.5</v>
      </c>
      <c r="U106" s="54">
        <f t="shared" si="57"/>
        <v>1.5</v>
      </c>
      <c r="V106" s="54">
        <f t="shared" si="57"/>
        <v>1.5</v>
      </c>
      <c r="W106" s="54">
        <f t="shared" si="57"/>
        <v>1.5</v>
      </c>
      <c r="X106" s="54">
        <f t="shared" si="57"/>
        <v>1.5</v>
      </c>
      <c r="Y106" s="54">
        <f t="shared" si="57"/>
        <v>1.5</v>
      </c>
      <c r="Z106" s="54">
        <f t="shared" si="57"/>
        <v>1.5</v>
      </c>
      <c r="AA106" s="54">
        <f t="shared" si="57"/>
        <v>1.5</v>
      </c>
      <c r="AB106" s="54">
        <f t="shared" si="57"/>
        <v>3.5</v>
      </c>
      <c r="AC106" s="54">
        <f t="shared" si="57"/>
        <v>1.5</v>
      </c>
      <c r="AD106" s="54">
        <f t="shared" si="57"/>
        <v>1.5</v>
      </c>
      <c r="AF106" s="62">
        <f t="shared" si="60"/>
        <v>18</v>
      </c>
      <c r="AG106" s="64">
        <v>0</v>
      </c>
      <c r="AH106" s="64">
        <v>0</v>
      </c>
      <c r="AI106" s="65">
        <v>18</v>
      </c>
      <c r="AJ106" s="66"/>
      <c r="AK106" s="64"/>
      <c r="AL106" s="64"/>
      <c r="AM106" s="64"/>
      <c r="AN106" s="64"/>
      <c r="AO106" s="64"/>
      <c r="AP106" s="64"/>
      <c r="AQ106" s="64"/>
      <c r="AR106" s="64"/>
      <c r="AS106" s="67">
        <f t="shared" si="47"/>
        <v>2</v>
      </c>
      <c r="AT106" s="68"/>
      <c r="AU106" s="69">
        <v>11.723076923076917</v>
      </c>
      <c r="AV106" s="62">
        <f t="shared" si="40"/>
        <v>237.00000000000006</v>
      </c>
      <c r="AW106" s="54">
        <f t="shared" si="42"/>
        <v>17.775000000000002</v>
      </c>
      <c r="AX106" s="54">
        <f t="shared" si="42"/>
        <v>17.775000000000002</v>
      </c>
      <c r="AY106" s="54">
        <f t="shared" si="42"/>
        <v>17.775000000000002</v>
      </c>
      <c r="AZ106" s="54">
        <f t="shared" si="42"/>
        <v>17.775000000000002</v>
      </c>
      <c r="BA106" s="54">
        <f t="shared" si="42"/>
        <v>17.775000000000002</v>
      </c>
      <c r="BB106" s="54">
        <f t="shared" si="42"/>
        <v>17.775000000000002</v>
      </c>
      <c r="BC106" s="54">
        <f t="shared" si="59"/>
        <v>17.775000000000002</v>
      </c>
      <c r="BD106" s="54">
        <f t="shared" si="59"/>
        <v>17.775000000000002</v>
      </c>
      <c r="BE106" s="54">
        <f t="shared" si="59"/>
        <v>17.775000000000002</v>
      </c>
      <c r="BF106" s="54">
        <f t="shared" si="59"/>
        <v>41.475000000000009</v>
      </c>
      <c r="BG106" s="54">
        <f t="shared" si="59"/>
        <v>17.775000000000002</v>
      </c>
      <c r="BH106" s="54">
        <f t="shared" si="59"/>
        <v>17.775000000000002</v>
      </c>
      <c r="BI106" s="62">
        <f t="shared" si="37"/>
        <v>-213.3</v>
      </c>
      <c r="BJ106" s="59">
        <f t="shared" si="58"/>
        <v>0</v>
      </c>
      <c r="BK106" s="59">
        <f t="shared" si="58"/>
        <v>0</v>
      </c>
      <c r="BL106" s="59">
        <f t="shared" si="58"/>
        <v>-213.3</v>
      </c>
      <c r="BM106" s="59">
        <f t="shared" si="58"/>
        <v>0</v>
      </c>
      <c r="BN106" s="59">
        <f t="shared" si="58"/>
        <v>0</v>
      </c>
      <c r="BO106" s="59">
        <f t="shared" si="58"/>
        <v>0</v>
      </c>
      <c r="BP106" s="59">
        <f t="shared" ref="BP106:BU143" si="61">(+IF($K106="",$E106/26*AM106,IF(MONTH($K106)=MONTH(BP$5),$L106/26*AM106,IF(AND($K106&lt;BP$5,(MONTH($K106)&lt;&gt;MONTH(BP$5))),$L106/26*AM106,$E106/26*AM106))))*-1</f>
        <v>0</v>
      </c>
      <c r="BQ106" s="59">
        <f t="shared" si="61"/>
        <v>0</v>
      </c>
      <c r="BR106" s="59">
        <f t="shared" si="61"/>
        <v>0</v>
      </c>
      <c r="BS106" s="59">
        <f t="shared" si="61"/>
        <v>0</v>
      </c>
      <c r="BT106" s="59">
        <f t="shared" si="61"/>
        <v>0</v>
      </c>
      <c r="BU106" s="59">
        <f t="shared" si="61"/>
        <v>0</v>
      </c>
      <c r="BV106" s="67">
        <f t="shared" si="48"/>
        <v>35.423076923076962</v>
      </c>
      <c r="BX106" s="54">
        <f t="shared" si="53"/>
        <v>23.107500000000002</v>
      </c>
      <c r="BY106" s="54">
        <f t="shared" si="53"/>
        <v>23.107500000000002</v>
      </c>
      <c r="BZ106" s="54">
        <f t="shared" si="53"/>
        <v>23.107500000000002</v>
      </c>
      <c r="CA106" s="54">
        <f t="shared" si="49"/>
        <v>23.107500000000002</v>
      </c>
      <c r="CB106" s="54">
        <f t="shared" si="49"/>
        <v>23.107500000000002</v>
      </c>
      <c r="CC106" s="54">
        <f t="shared" si="49"/>
        <v>23.107500000000002</v>
      </c>
      <c r="CD106" s="54">
        <f t="shared" si="49"/>
        <v>23.107500000000002</v>
      </c>
      <c r="CE106" s="54">
        <f t="shared" si="49"/>
        <v>23.107500000000002</v>
      </c>
      <c r="CF106" s="54">
        <f t="shared" si="49"/>
        <v>23.107500000000002</v>
      </c>
      <c r="CG106" s="54">
        <f t="shared" si="43"/>
        <v>53.917500000000004</v>
      </c>
      <c r="CH106" s="54">
        <f t="shared" si="43"/>
        <v>23.107500000000002</v>
      </c>
      <c r="CI106" s="54">
        <f t="shared" si="43"/>
        <v>23.107500000000002</v>
      </c>
      <c r="CJ106" s="74">
        <f t="shared" si="39"/>
        <v>308.10000000000008</v>
      </c>
      <c r="CK106" s="59">
        <f t="shared" si="54"/>
        <v>20</v>
      </c>
      <c r="CL106" s="9">
        <f t="shared" si="55"/>
        <v>0</v>
      </c>
      <c r="CM106" s="71">
        <f t="shared" si="50"/>
        <v>308.10000000000002</v>
      </c>
      <c r="CN106" s="54"/>
      <c r="CO106" s="73"/>
      <c r="CP106" s="56"/>
    </row>
    <row r="107" spans="1:94" ht="20.25" customHeight="1">
      <c r="A107" s="75" t="s">
        <v>299</v>
      </c>
      <c r="B107" s="1" t="s">
        <v>300</v>
      </c>
      <c r="C107" s="1" t="s">
        <v>301</v>
      </c>
      <c r="D107" s="58">
        <f>+VLOOKUP(A107,'[1]BDD-Avk Tx'!B:CE,82,0)</f>
        <v>282</v>
      </c>
      <c r="E107" s="59">
        <v>475.8</v>
      </c>
      <c r="G107" s="4">
        <v>41153</v>
      </c>
      <c r="H107" s="4">
        <f t="shared" si="44"/>
        <v>45647</v>
      </c>
      <c r="I107" s="60" t="str">
        <f>+VLOOKUP(A107,'[1]BDD-Avk Tx'!B:BZ,77,0)</f>
        <v>CDI</v>
      </c>
      <c r="J107" s="4">
        <f t="shared" si="45"/>
        <v>45647</v>
      </c>
      <c r="N107" s="3"/>
      <c r="P107" s="54">
        <f t="shared" si="51"/>
        <v>13.25</v>
      </c>
      <c r="Q107" s="61">
        <v>1</v>
      </c>
      <c r="R107" s="62">
        <f t="shared" si="52"/>
        <v>20</v>
      </c>
      <c r="S107" s="54">
        <f t="shared" si="57"/>
        <v>1.5</v>
      </c>
      <c r="T107" s="54">
        <f t="shared" si="57"/>
        <v>1.5</v>
      </c>
      <c r="U107" s="54">
        <f t="shared" si="57"/>
        <v>1.5</v>
      </c>
      <c r="V107" s="54">
        <f t="shared" si="57"/>
        <v>1.5</v>
      </c>
      <c r="W107" s="54">
        <f t="shared" si="57"/>
        <v>1.5</v>
      </c>
      <c r="X107" s="54">
        <f t="shared" si="57"/>
        <v>1.5</v>
      </c>
      <c r="Y107" s="54">
        <f t="shared" si="57"/>
        <v>1.5</v>
      </c>
      <c r="Z107" s="54">
        <f t="shared" si="57"/>
        <v>1.5</v>
      </c>
      <c r="AA107" s="54">
        <f t="shared" si="57"/>
        <v>1.5</v>
      </c>
      <c r="AB107" s="54">
        <f t="shared" si="57"/>
        <v>3.5</v>
      </c>
      <c r="AC107" s="54">
        <f t="shared" si="57"/>
        <v>1.5</v>
      </c>
      <c r="AD107" s="54">
        <f t="shared" si="57"/>
        <v>1.5</v>
      </c>
      <c r="AF107" s="62">
        <f t="shared" si="60"/>
        <v>0</v>
      </c>
      <c r="AG107" s="64">
        <v>0</v>
      </c>
      <c r="AH107" s="64">
        <v>0</v>
      </c>
      <c r="AI107" s="65">
        <v>0</v>
      </c>
      <c r="AJ107" s="66"/>
      <c r="AK107" s="64"/>
      <c r="AL107" s="64"/>
      <c r="AM107" s="64"/>
      <c r="AN107" s="64"/>
      <c r="AO107" s="64"/>
      <c r="AP107" s="64"/>
      <c r="AQ107" s="64"/>
      <c r="AR107" s="64"/>
      <c r="AS107" s="67">
        <f t="shared" si="47"/>
        <v>21</v>
      </c>
      <c r="AT107" s="68"/>
      <c r="AU107" s="69">
        <v>13.099999999999852</v>
      </c>
      <c r="AV107" s="62">
        <f t="shared" si="40"/>
        <v>365.99999999999994</v>
      </c>
      <c r="AW107" s="54">
        <f t="shared" si="42"/>
        <v>27.450000000000003</v>
      </c>
      <c r="AX107" s="54">
        <f t="shared" si="42"/>
        <v>27.450000000000003</v>
      </c>
      <c r="AY107" s="54">
        <f t="shared" si="42"/>
        <v>27.450000000000003</v>
      </c>
      <c r="AZ107" s="54">
        <f t="shared" si="42"/>
        <v>27.450000000000003</v>
      </c>
      <c r="BA107" s="54">
        <f t="shared" si="42"/>
        <v>27.450000000000003</v>
      </c>
      <c r="BB107" s="54">
        <f t="shared" si="42"/>
        <v>27.450000000000003</v>
      </c>
      <c r="BC107" s="54">
        <f t="shared" si="59"/>
        <v>27.450000000000003</v>
      </c>
      <c r="BD107" s="54">
        <f t="shared" si="59"/>
        <v>27.450000000000003</v>
      </c>
      <c r="BE107" s="54">
        <f t="shared" si="59"/>
        <v>27.450000000000003</v>
      </c>
      <c r="BF107" s="54">
        <f t="shared" si="59"/>
        <v>64.05</v>
      </c>
      <c r="BG107" s="54">
        <f t="shared" si="59"/>
        <v>27.450000000000003</v>
      </c>
      <c r="BH107" s="54">
        <f t="shared" si="59"/>
        <v>27.450000000000003</v>
      </c>
      <c r="BI107" s="62">
        <f t="shared" si="37"/>
        <v>0</v>
      </c>
      <c r="BJ107" s="59">
        <f t="shared" ref="BJ107:BR156" si="62">(+IF($K107="",$E107/26*AG107,IF(MONTH($K107)=MONTH(BJ$5),$L107/26*AG107,IF(AND($K107&lt;BJ$5,(MONTH($K107)&lt;&gt;MONTH(BJ$5))),$L107/26*AG107,$E107/26*AG107))))*-1</f>
        <v>0</v>
      </c>
      <c r="BK107" s="59">
        <f t="shared" si="62"/>
        <v>0</v>
      </c>
      <c r="BL107" s="59">
        <f t="shared" si="62"/>
        <v>0</v>
      </c>
      <c r="BM107" s="59">
        <f t="shared" si="62"/>
        <v>0</v>
      </c>
      <c r="BN107" s="59">
        <f t="shared" si="62"/>
        <v>0</v>
      </c>
      <c r="BO107" s="59">
        <f t="shared" si="62"/>
        <v>0</v>
      </c>
      <c r="BP107" s="59">
        <f t="shared" si="61"/>
        <v>0</v>
      </c>
      <c r="BQ107" s="59">
        <f t="shared" si="61"/>
        <v>0</v>
      </c>
      <c r="BR107" s="59">
        <f t="shared" si="61"/>
        <v>0</v>
      </c>
      <c r="BS107" s="59">
        <f t="shared" si="61"/>
        <v>0</v>
      </c>
      <c r="BT107" s="59">
        <f t="shared" si="61"/>
        <v>0</v>
      </c>
      <c r="BU107" s="59">
        <f t="shared" si="61"/>
        <v>0</v>
      </c>
      <c r="BV107" s="67">
        <f t="shared" si="48"/>
        <v>379.0999999999998</v>
      </c>
      <c r="BX107" s="54">
        <f t="shared" si="53"/>
        <v>35.685000000000002</v>
      </c>
      <c r="BY107" s="54">
        <f t="shared" si="53"/>
        <v>35.685000000000002</v>
      </c>
      <c r="BZ107" s="54">
        <f t="shared" si="53"/>
        <v>35.685000000000002</v>
      </c>
      <c r="CA107" s="54">
        <f t="shared" si="49"/>
        <v>35.685000000000002</v>
      </c>
      <c r="CB107" s="54">
        <f t="shared" si="49"/>
        <v>35.685000000000002</v>
      </c>
      <c r="CC107" s="54">
        <f t="shared" si="49"/>
        <v>35.685000000000002</v>
      </c>
      <c r="CD107" s="54">
        <f t="shared" si="49"/>
        <v>35.685000000000002</v>
      </c>
      <c r="CE107" s="54">
        <f t="shared" si="49"/>
        <v>35.685000000000002</v>
      </c>
      <c r="CF107" s="54">
        <f t="shared" si="49"/>
        <v>35.685000000000002</v>
      </c>
      <c r="CG107" s="54">
        <f t="shared" si="43"/>
        <v>83.265000000000001</v>
      </c>
      <c r="CH107" s="54">
        <f t="shared" si="43"/>
        <v>35.685000000000002</v>
      </c>
      <c r="CI107" s="54">
        <f t="shared" si="43"/>
        <v>35.685000000000002</v>
      </c>
      <c r="CJ107" s="74">
        <f t="shared" si="39"/>
        <v>475.8</v>
      </c>
      <c r="CK107" s="59">
        <f t="shared" si="54"/>
        <v>20</v>
      </c>
      <c r="CL107" s="9">
        <f t="shared" si="55"/>
        <v>0</v>
      </c>
      <c r="CM107" s="71">
        <f t="shared" si="50"/>
        <v>475.8</v>
      </c>
      <c r="CN107" s="72"/>
      <c r="CO107" s="73"/>
    </row>
    <row r="108" spans="1:94" ht="20.25" customHeight="1">
      <c r="A108" s="1" t="s">
        <v>302</v>
      </c>
      <c r="B108" s="1" t="s">
        <v>303</v>
      </c>
      <c r="C108" s="1" t="s">
        <v>304</v>
      </c>
      <c r="D108" s="58">
        <f>+VLOOKUP(A108,'[1]BDD-Avk Tx'!B:CE,82,0)</f>
        <v>260</v>
      </c>
      <c r="E108" s="59">
        <v>200.2</v>
      </c>
      <c r="G108" s="4">
        <v>41366</v>
      </c>
      <c r="H108" s="4">
        <f t="shared" si="44"/>
        <v>45647</v>
      </c>
      <c r="I108" s="60" t="str">
        <f>+VLOOKUP(A108,'[1]BDD-Avk Tx'!B:BZ,77,0)</f>
        <v>CDI</v>
      </c>
      <c r="J108" s="4">
        <f t="shared" si="45"/>
        <v>45647</v>
      </c>
      <c r="N108" s="3"/>
      <c r="P108" s="54">
        <f t="shared" si="51"/>
        <v>12.666666666666666</v>
      </c>
      <c r="Q108" s="61">
        <v>21</v>
      </c>
      <c r="R108" s="62">
        <f t="shared" si="52"/>
        <v>20</v>
      </c>
      <c r="S108" s="54">
        <f t="shared" si="57"/>
        <v>1.5</v>
      </c>
      <c r="T108" s="54">
        <f t="shared" si="57"/>
        <v>1.5</v>
      </c>
      <c r="U108" s="54">
        <f t="shared" si="57"/>
        <v>1.5</v>
      </c>
      <c r="V108" s="54">
        <f t="shared" si="57"/>
        <v>1.5</v>
      </c>
      <c r="W108" s="54">
        <f t="shared" si="57"/>
        <v>3.5</v>
      </c>
      <c r="X108" s="54">
        <f t="shared" si="57"/>
        <v>1.5</v>
      </c>
      <c r="Y108" s="54">
        <f t="shared" si="57"/>
        <v>1.5</v>
      </c>
      <c r="Z108" s="54">
        <f t="shared" si="57"/>
        <v>1.5</v>
      </c>
      <c r="AA108" s="54">
        <f t="shared" si="57"/>
        <v>1.5</v>
      </c>
      <c r="AB108" s="54">
        <f t="shared" si="57"/>
        <v>1.5</v>
      </c>
      <c r="AC108" s="54">
        <f t="shared" si="57"/>
        <v>1.5</v>
      </c>
      <c r="AD108" s="54">
        <f t="shared" si="57"/>
        <v>1.5</v>
      </c>
      <c r="AF108" s="62">
        <f t="shared" si="60"/>
        <v>38</v>
      </c>
      <c r="AG108" s="64">
        <v>13</v>
      </c>
      <c r="AH108" s="64">
        <v>25</v>
      </c>
      <c r="AI108" s="65">
        <v>0</v>
      </c>
      <c r="AJ108" s="66"/>
      <c r="AK108" s="64"/>
      <c r="AL108" s="64"/>
      <c r="AM108" s="64"/>
      <c r="AN108" s="64"/>
      <c r="AO108" s="64"/>
      <c r="AP108" s="64"/>
      <c r="AQ108" s="64"/>
      <c r="AR108" s="64"/>
      <c r="AS108" s="67">
        <f t="shared" si="47"/>
        <v>3</v>
      </c>
      <c r="AT108" s="68"/>
      <c r="AU108" s="69">
        <v>164.67500000000001</v>
      </c>
      <c r="AV108" s="62">
        <f t="shared" si="40"/>
        <v>154</v>
      </c>
      <c r="AW108" s="54">
        <f t="shared" si="42"/>
        <v>11.549999999999999</v>
      </c>
      <c r="AX108" s="54">
        <f t="shared" si="42"/>
        <v>11.549999999999999</v>
      </c>
      <c r="AY108" s="54">
        <f t="shared" si="42"/>
        <v>11.549999999999999</v>
      </c>
      <c r="AZ108" s="54">
        <f t="shared" si="42"/>
        <v>11.549999999999999</v>
      </c>
      <c r="BA108" s="54">
        <f t="shared" si="42"/>
        <v>26.949999999999996</v>
      </c>
      <c r="BB108" s="54">
        <f t="shared" si="42"/>
        <v>11.549999999999999</v>
      </c>
      <c r="BC108" s="54">
        <f t="shared" si="59"/>
        <v>11.549999999999999</v>
      </c>
      <c r="BD108" s="54">
        <f t="shared" si="59"/>
        <v>11.549999999999999</v>
      </c>
      <c r="BE108" s="54">
        <f t="shared" si="59"/>
        <v>11.549999999999999</v>
      </c>
      <c r="BF108" s="54">
        <f t="shared" si="59"/>
        <v>11.549999999999999</v>
      </c>
      <c r="BG108" s="54">
        <f t="shared" si="59"/>
        <v>11.549999999999999</v>
      </c>
      <c r="BH108" s="54">
        <f t="shared" si="59"/>
        <v>11.549999999999999</v>
      </c>
      <c r="BI108" s="62">
        <f t="shared" si="37"/>
        <v>-292.59999999999997</v>
      </c>
      <c r="BJ108" s="59">
        <f t="shared" si="62"/>
        <v>-100.1</v>
      </c>
      <c r="BK108" s="59">
        <f t="shared" si="62"/>
        <v>-192.49999999999997</v>
      </c>
      <c r="BL108" s="59">
        <f t="shared" si="62"/>
        <v>0</v>
      </c>
      <c r="BM108" s="59">
        <f t="shared" si="62"/>
        <v>0</v>
      </c>
      <c r="BN108" s="59">
        <f t="shared" si="62"/>
        <v>0</v>
      </c>
      <c r="BO108" s="59">
        <f t="shared" si="62"/>
        <v>0</v>
      </c>
      <c r="BP108" s="59">
        <f t="shared" si="61"/>
        <v>0</v>
      </c>
      <c r="BQ108" s="59">
        <f t="shared" si="61"/>
        <v>0</v>
      </c>
      <c r="BR108" s="59">
        <f t="shared" si="61"/>
        <v>0</v>
      </c>
      <c r="BS108" s="59">
        <f t="shared" si="61"/>
        <v>0</v>
      </c>
      <c r="BT108" s="59">
        <f t="shared" si="61"/>
        <v>0</v>
      </c>
      <c r="BU108" s="59">
        <f t="shared" si="61"/>
        <v>0</v>
      </c>
      <c r="BV108" s="67">
        <f t="shared" si="48"/>
        <v>26.075000000000045</v>
      </c>
      <c r="BX108" s="54">
        <f t="shared" si="53"/>
        <v>15.015000000000001</v>
      </c>
      <c r="BY108" s="54">
        <f t="shared" si="53"/>
        <v>15.015000000000001</v>
      </c>
      <c r="BZ108" s="54">
        <f t="shared" si="53"/>
        <v>15.015000000000001</v>
      </c>
      <c r="CA108" s="54">
        <f t="shared" si="49"/>
        <v>15.015000000000001</v>
      </c>
      <c r="CB108" s="54">
        <f t="shared" si="49"/>
        <v>35.034999999999997</v>
      </c>
      <c r="CC108" s="54">
        <f t="shared" si="49"/>
        <v>15.015000000000001</v>
      </c>
      <c r="CD108" s="54">
        <f t="shared" si="49"/>
        <v>15.015000000000001</v>
      </c>
      <c r="CE108" s="54">
        <f t="shared" si="49"/>
        <v>15.015000000000001</v>
      </c>
      <c r="CF108" s="54">
        <f t="shared" si="49"/>
        <v>15.015000000000001</v>
      </c>
      <c r="CG108" s="54">
        <f t="shared" si="43"/>
        <v>15.015000000000001</v>
      </c>
      <c r="CH108" s="54">
        <f t="shared" si="43"/>
        <v>15.015000000000001</v>
      </c>
      <c r="CI108" s="54">
        <f t="shared" si="43"/>
        <v>15.015000000000001</v>
      </c>
      <c r="CJ108" s="74">
        <f t="shared" si="39"/>
        <v>200.19999999999993</v>
      </c>
      <c r="CK108" s="59">
        <f t="shared" si="54"/>
        <v>20</v>
      </c>
      <c r="CL108" s="9">
        <f t="shared" si="55"/>
        <v>0</v>
      </c>
      <c r="CM108" s="71">
        <f t="shared" si="50"/>
        <v>200.2</v>
      </c>
      <c r="CN108" s="54"/>
      <c r="CO108" s="73"/>
      <c r="CP108" s="56"/>
    </row>
    <row r="109" spans="1:94" ht="20.25" customHeight="1">
      <c r="A109" s="75" t="s">
        <v>305</v>
      </c>
      <c r="B109" s="1" t="s">
        <v>306</v>
      </c>
      <c r="C109" s="1" t="s">
        <v>206</v>
      </c>
      <c r="D109" s="58">
        <f>+VLOOKUP(A109,'[1]BDD-Avk Tx'!B:CE,82,0)</f>
        <v>212</v>
      </c>
      <c r="E109" s="59">
        <v>200.2</v>
      </c>
      <c r="G109" s="4">
        <v>41848</v>
      </c>
      <c r="H109" s="4">
        <f t="shared" si="44"/>
        <v>45647</v>
      </c>
      <c r="I109" s="60" t="str">
        <f>+VLOOKUP(A109,'[1]BDD-Avk Tx'!B:BZ,77,0)</f>
        <v>CDI</v>
      </c>
      <c r="J109" s="4">
        <f t="shared" si="45"/>
        <v>45647</v>
      </c>
      <c r="N109" s="3"/>
      <c r="P109" s="54">
        <f t="shared" si="51"/>
        <v>11.333333333333334</v>
      </c>
      <c r="Q109" s="61">
        <v>2</v>
      </c>
      <c r="R109" s="62">
        <f t="shared" si="52"/>
        <v>20</v>
      </c>
      <c r="S109" s="54">
        <f t="shared" si="57"/>
        <v>1.5</v>
      </c>
      <c r="T109" s="54">
        <f t="shared" si="57"/>
        <v>1.5</v>
      </c>
      <c r="U109" s="54">
        <f t="shared" si="57"/>
        <v>1.5</v>
      </c>
      <c r="V109" s="54">
        <f t="shared" si="57"/>
        <v>1.5</v>
      </c>
      <c r="W109" s="54">
        <f t="shared" si="57"/>
        <v>1.5</v>
      </c>
      <c r="X109" s="54">
        <f t="shared" si="57"/>
        <v>1.5</v>
      </c>
      <c r="Y109" s="54">
        <f t="shared" si="57"/>
        <v>1.5</v>
      </c>
      <c r="Z109" s="54">
        <f t="shared" si="57"/>
        <v>3.5</v>
      </c>
      <c r="AA109" s="54">
        <f t="shared" si="57"/>
        <v>1.5</v>
      </c>
      <c r="AB109" s="54">
        <f t="shared" si="57"/>
        <v>1.5</v>
      </c>
      <c r="AC109" s="54">
        <f t="shared" si="57"/>
        <v>1.5</v>
      </c>
      <c r="AD109" s="54">
        <f t="shared" si="57"/>
        <v>1.5</v>
      </c>
      <c r="AF109" s="62">
        <f t="shared" si="60"/>
        <v>0</v>
      </c>
      <c r="AG109" s="64">
        <v>0</v>
      </c>
      <c r="AH109" s="64">
        <v>0</v>
      </c>
      <c r="AI109" s="65">
        <v>0</v>
      </c>
      <c r="AJ109" s="66"/>
      <c r="AK109" s="64"/>
      <c r="AL109" s="64"/>
      <c r="AM109" s="64"/>
      <c r="AN109" s="64"/>
      <c r="AO109" s="64"/>
      <c r="AP109" s="64"/>
      <c r="AQ109" s="64"/>
      <c r="AR109" s="64"/>
      <c r="AS109" s="67">
        <f t="shared" si="47"/>
        <v>22</v>
      </c>
      <c r="AT109" s="68"/>
      <c r="AU109" s="69">
        <v>18.146153846153908</v>
      </c>
      <c r="AV109" s="62">
        <f t="shared" si="40"/>
        <v>154</v>
      </c>
      <c r="AW109" s="54">
        <f t="shared" si="42"/>
        <v>11.549999999999999</v>
      </c>
      <c r="AX109" s="54">
        <f t="shared" si="42"/>
        <v>11.549999999999999</v>
      </c>
      <c r="AY109" s="54">
        <f t="shared" si="42"/>
        <v>11.549999999999999</v>
      </c>
      <c r="AZ109" s="54">
        <f t="shared" si="42"/>
        <v>11.549999999999999</v>
      </c>
      <c r="BA109" s="54">
        <f t="shared" si="42"/>
        <v>11.549999999999999</v>
      </c>
      <c r="BB109" s="54">
        <f t="shared" si="42"/>
        <v>11.549999999999999</v>
      </c>
      <c r="BC109" s="54">
        <f t="shared" si="59"/>
        <v>11.549999999999999</v>
      </c>
      <c r="BD109" s="54">
        <f t="shared" si="59"/>
        <v>26.949999999999996</v>
      </c>
      <c r="BE109" s="54">
        <f t="shared" si="59"/>
        <v>11.549999999999999</v>
      </c>
      <c r="BF109" s="54">
        <f t="shared" si="59"/>
        <v>11.549999999999999</v>
      </c>
      <c r="BG109" s="54">
        <f t="shared" si="59"/>
        <v>11.549999999999999</v>
      </c>
      <c r="BH109" s="54">
        <f t="shared" si="59"/>
        <v>11.549999999999999</v>
      </c>
      <c r="BI109" s="62">
        <f t="shared" si="37"/>
        <v>0</v>
      </c>
      <c r="BJ109" s="59">
        <f t="shared" si="62"/>
        <v>0</v>
      </c>
      <c r="BK109" s="59">
        <f t="shared" si="62"/>
        <v>0</v>
      </c>
      <c r="BL109" s="59">
        <f t="shared" si="62"/>
        <v>0</v>
      </c>
      <c r="BM109" s="59">
        <f t="shared" si="62"/>
        <v>0</v>
      </c>
      <c r="BN109" s="59">
        <f t="shared" si="62"/>
        <v>0</v>
      </c>
      <c r="BO109" s="59">
        <f t="shared" si="62"/>
        <v>0</v>
      </c>
      <c r="BP109" s="59">
        <f t="shared" si="61"/>
        <v>0</v>
      </c>
      <c r="BQ109" s="59">
        <f t="shared" si="61"/>
        <v>0</v>
      </c>
      <c r="BR109" s="59">
        <f t="shared" si="61"/>
        <v>0</v>
      </c>
      <c r="BS109" s="59">
        <f t="shared" si="61"/>
        <v>0</v>
      </c>
      <c r="BT109" s="59">
        <f t="shared" si="61"/>
        <v>0</v>
      </c>
      <c r="BU109" s="59">
        <f t="shared" si="61"/>
        <v>0</v>
      </c>
      <c r="BV109" s="67">
        <f t="shared" si="48"/>
        <v>172.14615384615391</v>
      </c>
      <c r="BX109" s="54">
        <f t="shared" si="53"/>
        <v>15.015000000000001</v>
      </c>
      <c r="BY109" s="54">
        <f t="shared" si="53"/>
        <v>15.015000000000001</v>
      </c>
      <c r="BZ109" s="54">
        <f t="shared" si="53"/>
        <v>15.015000000000001</v>
      </c>
      <c r="CA109" s="54">
        <f t="shared" si="49"/>
        <v>15.015000000000001</v>
      </c>
      <c r="CB109" s="54">
        <f t="shared" si="49"/>
        <v>15.015000000000001</v>
      </c>
      <c r="CC109" s="54">
        <f t="shared" si="49"/>
        <v>15.015000000000001</v>
      </c>
      <c r="CD109" s="54">
        <f t="shared" si="49"/>
        <v>15.015000000000001</v>
      </c>
      <c r="CE109" s="54">
        <f t="shared" si="49"/>
        <v>35.034999999999997</v>
      </c>
      <c r="CF109" s="54">
        <f t="shared" si="49"/>
        <v>15.015000000000001</v>
      </c>
      <c r="CG109" s="54">
        <f t="shared" si="43"/>
        <v>15.015000000000001</v>
      </c>
      <c r="CH109" s="54">
        <f t="shared" si="43"/>
        <v>15.015000000000001</v>
      </c>
      <c r="CI109" s="54">
        <f t="shared" si="43"/>
        <v>15.015000000000001</v>
      </c>
      <c r="CJ109" s="74">
        <f t="shared" si="39"/>
        <v>200.19999999999993</v>
      </c>
      <c r="CK109" s="59">
        <f t="shared" si="54"/>
        <v>20</v>
      </c>
      <c r="CL109" s="9">
        <f t="shared" si="55"/>
        <v>0</v>
      </c>
      <c r="CM109" s="71">
        <f t="shared" si="50"/>
        <v>200.2</v>
      </c>
      <c r="CN109" s="72"/>
      <c r="CO109" s="73"/>
    </row>
    <row r="110" spans="1:94" ht="20.25" customHeight="1">
      <c r="A110" s="1" t="s">
        <v>307</v>
      </c>
      <c r="B110" s="1" t="s">
        <v>308</v>
      </c>
      <c r="C110" s="1" t="s">
        <v>309</v>
      </c>
      <c r="D110" s="58">
        <f>+VLOOKUP(A110,'[1]BDD-Avk Tx'!B:CE,82,0)</f>
        <v>260</v>
      </c>
      <c r="E110" s="59">
        <v>172.9</v>
      </c>
      <c r="G110" s="4">
        <v>42345</v>
      </c>
      <c r="H110" s="4">
        <f t="shared" si="44"/>
        <v>45647</v>
      </c>
      <c r="I110" s="60" t="str">
        <f>+VLOOKUP(A110,'[1]BDD-Avk Tx'!B:BZ,77,0)</f>
        <v>CDI</v>
      </c>
      <c r="J110" s="4">
        <f t="shared" si="45"/>
        <v>45647</v>
      </c>
      <c r="N110" s="3"/>
      <c r="P110" s="54">
        <f t="shared" si="51"/>
        <v>10</v>
      </c>
      <c r="Q110" s="61">
        <v>0.5</v>
      </c>
      <c r="R110" s="62">
        <f t="shared" si="52"/>
        <v>20</v>
      </c>
      <c r="S110" s="54">
        <f t="shared" si="57"/>
        <v>3.5</v>
      </c>
      <c r="T110" s="54">
        <f t="shared" si="57"/>
        <v>1.5</v>
      </c>
      <c r="U110" s="54">
        <f t="shared" si="57"/>
        <v>1.5</v>
      </c>
      <c r="V110" s="54">
        <f t="shared" si="57"/>
        <v>1.5</v>
      </c>
      <c r="W110" s="54">
        <f t="shared" si="57"/>
        <v>1.5</v>
      </c>
      <c r="X110" s="54">
        <f t="shared" si="57"/>
        <v>1.5</v>
      </c>
      <c r="Y110" s="54">
        <f t="shared" si="57"/>
        <v>1.5</v>
      </c>
      <c r="Z110" s="54">
        <f t="shared" si="57"/>
        <v>1.5</v>
      </c>
      <c r="AA110" s="54">
        <f t="shared" si="57"/>
        <v>1.5</v>
      </c>
      <c r="AB110" s="54">
        <f t="shared" si="57"/>
        <v>1.5</v>
      </c>
      <c r="AC110" s="54">
        <f t="shared" si="57"/>
        <v>1.5</v>
      </c>
      <c r="AD110" s="54">
        <f t="shared" si="57"/>
        <v>1.5</v>
      </c>
      <c r="AF110" s="62">
        <f t="shared" si="60"/>
        <v>0</v>
      </c>
      <c r="AG110" s="64">
        <v>0</v>
      </c>
      <c r="AH110" s="64">
        <v>0</v>
      </c>
      <c r="AI110" s="65">
        <v>0</v>
      </c>
      <c r="AJ110" s="66"/>
      <c r="AK110" s="64"/>
      <c r="AL110" s="64"/>
      <c r="AM110" s="64"/>
      <c r="AN110" s="64"/>
      <c r="AO110" s="64"/>
      <c r="AP110" s="64"/>
      <c r="AQ110" s="64"/>
      <c r="AR110" s="64"/>
      <c r="AS110" s="67">
        <f t="shared" si="47"/>
        <v>20.5</v>
      </c>
      <c r="AT110" s="68"/>
      <c r="AU110" s="69">
        <v>-0.39615384615392202</v>
      </c>
      <c r="AV110" s="62">
        <f t="shared" si="40"/>
        <v>132.99999999999997</v>
      </c>
      <c r="AW110" s="54">
        <f t="shared" si="42"/>
        <v>23.275000000000002</v>
      </c>
      <c r="AX110" s="54">
        <f t="shared" si="42"/>
        <v>9.9750000000000014</v>
      </c>
      <c r="AY110" s="54">
        <f t="shared" si="42"/>
        <v>9.9750000000000014</v>
      </c>
      <c r="AZ110" s="54">
        <f t="shared" si="42"/>
        <v>9.9750000000000014</v>
      </c>
      <c r="BA110" s="54">
        <f t="shared" si="42"/>
        <v>9.9750000000000014</v>
      </c>
      <c r="BB110" s="54">
        <f t="shared" si="42"/>
        <v>9.9750000000000014</v>
      </c>
      <c r="BC110" s="54">
        <f t="shared" si="59"/>
        <v>9.9750000000000014</v>
      </c>
      <c r="BD110" s="54">
        <f t="shared" si="59"/>
        <v>9.9750000000000014</v>
      </c>
      <c r="BE110" s="54">
        <f t="shared" si="59"/>
        <v>9.9750000000000014</v>
      </c>
      <c r="BF110" s="54">
        <f t="shared" si="59"/>
        <v>9.9750000000000014</v>
      </c>
      <c r="BG110" s="54">
        <f t="shared" si="59"/>
        <v>9.9750000000000014</v>
      </c>
      <c r="BH110" s="54">
        <f t="shared" si="59"/>
        <v>9.9750000000000014</v>
      </c>
      <c r="BI110" s="62">
        <f t="shared" si="37"/>
        <v>0</v>
      </c>
      <c r="BJ110" s="59">
        <f t="shared" si="62"/>
        <v>0</v>
      </c>
      <c r="BK110" s="59">
        <f t="shared" si="62"/>
        <v>0</v>
      </c>
      <c r="BL110" s="59">
        <f t="shared" si="62"/>
        <v>0</v>
      </c>
      <c r="BM110" s="59">
        <f t="shared" si="62"/>
        <v>0</v>
      </c>
      <c r="BN110" s="59">
        <f t="shared" si="62"/>
        <v>0</v>
      </c>
      <c r="BO110" s="59">
        <f t="shared" si="62"/>
        <v>0</v>
      </c>
      <c r="BP110" s="59">
        <f t="shared" si="61"/>
        <v>0</v>
      </c>
      <c r="BQ110" s="59">
        <f t="shared" si="61"/>
        <v>0</v>
      </c>
      <c r="BR110" s="59">
        <f t="shared" si="61"/>
        <v>0</v>
      </c>
      <c r="BS110" s="59">
        <f t="shared" si="61"/>
        <v>0</v>
      </c>
      <c r="BT110" s="59">
        <f t="shared" si="61"/>
        <v>0</v>
      </c>
      <c r="BU110" s="59">
        <f t="shared" si="61"/>
        <v>0</v>
      </c>
      <c r="BV110" s="67">
        <f t="shared" si="48"/>
        <v>132.60384615384606</v>
      </c>
      <c r="BX110" s="54">
        <f t="shared" si="53"/>
        <v>30.2575</v>
      </c>
      <c r="BY110" s="54">
        <f t="shared" si="53"/>
        <v>12.967499999999999</v>
      </c>
      <c r="BZ110" s="54">
        <f t="shared" si="53"/>
        <v>12.967499999999999</v>
      </c>
      <c r="CA110" s="54">
        <f t="shared" si="49"/>
        <v>12.967499999999999</v>
      </c>
      <c r="CB110" s="54">
        <f t="shared" si="49"/>
        <v>12.967499999999999</v>
      </c>
      <c r="CC110" s="54">
        <f t="shared" si="49"/>
        <v>12.967499999999999</v>
      </c>
      <c r="CD110" s="54">
        <f t="shared" si="49"/>
        <v>12.967499999999999</v>
      </c>
      <c r="CE110" s="54">
        <f t="shared" si="49"/>
        <v>12.967499999999999</v>
      </c>
      <c r="CF110" s="54">
        <f t="shared" si="49"/>
        <v>12.967499999999999</v>
      </c>
      <c r="CG110" s="54">
        <f t="shared" si="43"/>
        <v>12.967499999999999</v>
      </c>
      <c r="CH110" s="54">
        <f t="shared" si="43"/>
        <v>12.967499999999999</v>
      </c>
      <c r="CI110" s="54">
        <f t="shared" si="43"/>
        <v>12.967499999999999</v>
      </c>
      <c r="CJ110" s="74">
        <f t="shared" si="39"/>
        <v>172.9</v>
      </c>
      <c r="CK110" s="59">
        <f t="shared" si="54"/>
        <v>20</v>
      </c>
      <c r="CL110" s="9">
        <f t="shared" si="55"/>
        <v>0</v>
      </c>
      <c r="CM110" s="71">
        <f t="shared" si="50"/>
        <v>172.9</v>
      </c>
      <c r="CN110" s="54"/>
      <c r="CO110" s="73"/>
      <c r="CP110" s="56"/>
    </row>
    <row r="111" spans="1:94" ht="20.25" customHeight="1">
      <c r="A111" s="75" t="s">
        <v>310</v>
      </c>
      <c r="B111" s="1" t="s">
        <v>311</v>
      </c>
      <c r="C111" s="1" t="s">
        <v>312</v>
      </c>
      <c r="D111" s="58">
        <f>+VLOOKUP(A111,'[1]BDD-Avk Tx'!B:CE,82,0)</f>
        <v>215</v>
      </c>
      <c r="E111" s="59">
        <v>172.9</v>
      </c>
      <c r="G111" s="4">
        <v>42443</v>
      </c>
      <c r="H111" s="4">
        <f t="shared" si="44"/>
        <v>45647</v>
      </c>
      <c r="I111" s="60" t="str">
        <f>+VLOOKUP(A111,'[1]BDD-Avk Tx'!B:BZ,77,0)</f>
        <v>CDI</v>
      </c>
      <c r="J111" s="4">
        <f t="shared" si="45"/>
        <v>45647</v>
      </c>
      <c r="N111" s="3"/>
      <c r="P111" s="54">
        <f t="shared" si="51"/>
        <v>9.75</v>
      </c>
      <c r="Q111" s="61">
        <v>1</v>
      </c>
      <c r="R111" s="62">
        <f t="shared" si="52"/>
        <v>19</v>
      </c>
      <c r="S111" s="54">
        <f t="shared" si="57"/>
        <v>1.5</v>
      </c>
      <c r="T111" s="54">
        <f t="shared" si="57"/>
        <v>1.5</v>
      </c>
      <c r="U111" s="54">
        <f t="shared" si="57"/>
        <v>1.5</v>
      </c>
      <c r="V111" s="54">
        <f t="shared" si="57"/>
        <v>2.5</v>
      </c>
      <c r="W111" s="54">
        <f t="shared" si="57"/>
        <v>1.5</v>
      </c>
      <c r="X111" s="54">
        <f t="shared" si="57"/>
        <v>1.5</v>
      </c>
      <c r="Y111" s="54">
        <f t="shared" si="57"/>
        <v>1.5</v>
      </c>
      <c r="Z111" s="54">
        <f t="shared" si="57"/>
        <v>1.5</v>
      </c>
      <c r="AA111" s="54">
        <f t="shared" si="57"/>
        <v>1.5</v>
      </c>
      <c r="AB111" s="54">
        <f t="shared" si="57"/>
        <v>1.5</v>
      </c>
      <c r="AC111" s="54">
        <f t="shared" si="57"/>
        <v>1.5</v>
      </c>
      <c r="AD111" s="54">
        <f t="shared" si="57"/>
        <v>1.5</v>
      </c>
      <c r="AF111" s="62">
        <f t="shared" si="60"/>
        <v>0</v>
      </c>
      <c r="AG111" s="64">
        <v>0</v>
      </c>
      <c r="AH111" s="64">
        <v>0</v>
      </c>
      <c r="AI111" s="65">
        <v>0</v>
      </c>
      <c r="AJ111" s="66"/>
      <c r="AK111" s="64"/>
      <c r="AL111" s="64"/>
      <c r="AM111" s="64"/>
      <c r="AN111" s="64"/>
      <c r="AO111" s="64"/>
      <c r="AP111" s="64"/>
      <c r="AQ111" s="64"/>
      <c r="AR111" s="64"/>
      <c r="AS111" s="67">
        <f t="shared" si="47"/>
        <v>20</v>
      </c>
      <c r="AT111" s="68"/>
      <c r="AU111" s="69">
        <v>3.1769230769229893</v>
      </c>
      <c r="AV111" s="62">
        <f t="shared" si="40"/>
        <v>126.34999999999997</v>
      </c>
      <c r="AW111" s="54">
        <f t="shared" si="42"/>
        <v>9.9750000000000014</v>
      </c>
      <c r="AX111" s="54">
        <f t="shared" si="42"/>
        <v>9.9750000000000014</v>
      </c>
      <c r="AY111" s="54">
        <f t="shared" si="42"/>
        <v>9.9750000000000014</v>
      </c>
      <c r="AZ111" s="54">
        <f t="shared" si="42"/>
        <v>16.625</v>
      </c>
      <c r="BA111" s="54">
        <f t="shared" si="42"/>
        <v>9.9750000000000014</v>
      </c>
      <c r="BB111" s="54">
        <f t="shared" si="42"/>
        <v>9.9750000000000014</v>
      </c>
      <c r="BC111" s="54">
        <f t="shared" si="59"/>
        <v>9.9750000000000014</v>
      </c>
      <c r="BD111" s="54">
        <f t="shared" si="59"/>
        <v>9.9750000000000014</v>
      </c>
      <c r="BE111" s="54">
        <f t="shared" si="59"/>
        <v>9.9750000000000014</v>
      </c>
      <c r="BF111" s="54">
        <f t="shared" si="59"/>
        <v>9.9750000000000014</v>
      </c>
      <c r="BG111" s="54">
        <f t="shared" si="59"/>
        <v>9.9750000000000014</v>
      </c>
      <c r="BH111" s="54">
        <f t="shared" si="59"/>
        <v>9.9750000000000014</v>
      </c>
      <c r="BI111" s="62">
        <f t="shared" si="37"/>
        <v>0</v>
      </c>
      <c r="BJ111" s="59">
        <f t="shared" si="62"/>
        <v>0</v>
      </c>
      <c r="BK111" s="59">
        <f t="shared" si="62"/>
        <v>0</v>
      </c>
      <c r="BL111" s="59">
        <f t="shared" si="62"/>
        <v>0</v>
      </c>
      <c r="BM111" s="59">
        <f t="shared" si="62"/>
        <v>0</v>
      </c>
      <c r="BN111" s="59">
        <f t="shared" si="62"/>
        <v>0</v>
      </c>
      <c r="BO111" s="59">
        <f t="shared" si="62"/>
        <v>0</v>
      </c>
      <c r="BP111" s="59">
        <f t="shared" si="61"/>
        <v>0</v>
      </c>
      <c r="BQ111" s="59">
        <f t="shared" si="61"/>
        <v>0</v>
      </c>
      <c r="BR111" s="59">
        <f t="shared" si="61"/>
        <v>0</v>
      </c>
      <c r="BS111" s="59">
        <f t="shared" si="61"/>
        <v>0</v>
      </c>
      <c r="BT111" s="59">
        <f t="shared" si="61"/>
        <v>0</v>
      </c>
      <c r="BU111" s="59">
        <f t="shared" si="61"/>
        <v>0</v>
      </c>
      <c r="BV111" s="67">
        <f t="shared" si="48"/>
        <v>129.52692307692297</v>
      </c>
      <c r="BX111" s="54">
        <f t="shared" si="53"/>
        <v>13.649999999999999</v>
      </c>
      <c r="BY111" s="54">
        <f t="shared" si="53"/>
        <v>13.649999999999999</v>
      </c>
      <c r="BZ111" s="54">
        <f t="shared" si="53"/>
        <v>13.649999999999999</v>
      </c>
      <c r="CA111" s="54">
        <f t="shared" si="49"/>
        <v>22.75</v>
      </c>
      <c r="CB111" s="54">
        <f t="shared" si="49"/>
        <v>13.649999999999999</v>
      </c>
      <c r="CC111" s="54">
        <f t="shared" si="49"/>
        <v>13.649999999999999</v>
      </c>
      <c r="CD111" s="54">
        <f t="shared" si="49"/>
        <v>13.649999999999999</v>
      </c>
      <c r="CE111" s="54">
        <f t="shared" si="49"/>
        <v>13.649999999999999</v>
      </c>
      <c r="CF111" s="54">
        <f t="shared" si="49"/>
        <v>13.649999999999999</v>
      </c>
      <c r="CG111" s="54">
        <f t="shared" si="43"/>
        <v>13.649999999999999</v>
      </c>
      <c r="CH111" s="54">
        <f t="shared" si="43"/>
        <v>13.649999999999999</v>
      </c>
      <c r="CI111" s="54">
        <f t="shared" si="43"/>
        <v>13.649999999999999</v>
      </c>
      <c r="CJ111" s="74">
        <f t="shared" si="39"/>
        <v>172.90000000000003</v>
      </c>
      <c r="CK111" s="59">
        <f t="shared" si="54"/>
        <v>19</v>
      </c>
      <c r="CL111" s="9">
        <f t="shared" si="55"/>
        <v>0</v>
      </c>
      <c r="CM111" s="71">
        <f t="shared" si="50"/>
        <v>172.9</v>
      </c>
      <c r="CN111" s="72"/>
      <c r="CO111" s="73"/>
    </row>
    <row r="112" spans="1:94" ht="20.25" customHeight="1">
      <c r="A112" s="1" t="s">
        <v>313</v>
      </c>
      <c r="B112" s="1" t="s">
        <v>314</v>
      </c>
      <c r="C112" s="1" t="s">
        <v>315</v>
      </c>
      <c r="D112" s="58">
        <f>+VLOOKUP(A112,'[1]BDD-Avk Tx'!B:CE,82,0)</f>
        <v>212</v>
      </c>
      <c r="E112" s="59">
        <v>412.1</v>
      </c>
      <c r="G112" s="4">
        <v>41153</v>
      </c>
      <c r="H112" s="4">
        <f t="shared" si="44"/>
        <v>45647</v>
      </c>
      <c r="I112" s="60" t="str">
        <f>+VLOOKUP(A112,'[1]BDD-Avk Tx'!B:BZ,77,0)</f>
        <v>CDI</v>
      </c>
      <c r="J112" s="4">
        <f t="shared" si="45"/>
        <v>45647</v>
      </c>
      <c r="N112" s="3"/>
      <c r="P112" s="54">
        <f t="shared" si="51"/>
        <v>13.25</v>
      </c>
      <c r="Q112" s="61">
        <v>0</v>
      </c>
      <c r="R112" s="62">
        <f t="shared" si="52"/>
        <v>20</v>
      </c>
      <c r="S112" s="54">
        <f t="shared" si="57"/>
        <v>1.5</v>
      </c>
      <c r="T112" s="54">
        <f t="shared" si="57"/>
        <v>1.5</v>
      </c>
      <c r="U112" s="54">
        <f t="shared" si="57"/>
        <v>1.5</v>
      </c>
      <c r="V112" s="54">
        <f t="shared" si="57"/>
        <v>1.5</v>
      </c>
      <c r="W112" s="54">
        <f t="shared" si="57"/>
        <v>1.5</v>
      </c>
      <c r="X112" s="54">
        <f t="shared" si="57"/>
        <v>1.5</v>
      </c>
      <c r="Y112" s="54">
        <f t="shared" si="57"/>
        <v>1.5</v>
      </c>
      <c r="Z112" s="54">
        <f t="shared" si="57"/>
        <v>1.5</v>
      </c>
      <c r="AA112" s="54">
        <f t="shared" si="57"/>
        <v>1.5</v>
      </c>
      <c r="AB112" s="54">
        <f t="shared" si="57"/>
        <v>3.5</v>
      </c>
      <c r="AC112" s="54">
        <f t="shared" si="57"/>
        <v>1.5</v>
      </c>
      <c r="AD112" s="54">
        <f t="shared" si="57"/>
        <v>1.5</v>
      </c>
      <c r="AF112" s="62">
        <f t="shared" si="60"/>
        <v>0</v>
      </c>
      <c r="AG112" s="64">
        <v>0</v>
      </c>
      <c r="AH112" s="64">
        <v>0</v>
      </c>
      <c r="AI112" s="65">
        <v>0</v>
      </c>
      <c r="AJ112" s="66"/>
      <c r="AK112" s="64"/>
      <c r="AL112" s="64"/>
      <c r="AM112" s="64"/>
      <c r="AN112" s="64"/>
      <c r="AO112" s="64"/>
      <c r="AP112" s="64"/>
      <c r="AQ112" s="64"/>
      <c r="AR112" s="64"/>
      <c r="AS112" s="67">
        <f t="shared" si="47"/>
        <v>20</v>
      </c>
      <c r="AT112" s="68"/>
      <c r="AU112" s="69">
        <v>22.239999999999895</v>
      </c>
      <c r="AV112" s="62">
        <f t="shared" si="40"/>
        <v>317</v>
      </c>
      <c r="AW112" s="54">
        <f t="shared" si="42"/>
        <v>23.775000000000002</v>
      </c>
      <c r="AX112" s="54">
        <f t="shared" si="42"/>
        <v>23.775000000000002</v>
      </c>
      <c r="AY112" s="54">
        <f t="shared" si="42"/>
        <v>23.775000000000002</v>
      </c>
      <c r="AZ112" s="54">
        <f t="shared" si="42"/>
        <v>23.775000000000002</v>
      </c>
      <c r="BA112" s="54">
        <f t="shared" si="42"/>
        <v>23.775000000000002</v>
      </c>
      <c r="BB112" s="54">
        <f t="shared" si="42"/>
        <v>23.775000000000002</v>
      </c>
      <c r="BC112" s="54">
        <f t="shared" si="59"/>
        <v>23.775000000000002</v>
      </c>
      <c r="BD112" s="54">
        <f t="shared" si="59"/>
        <v>23.775000000000002</v>
      </c>
      <c r="BE112" s="54">
        <f t="shared" si="59"/>
        <v>23.775000000000002</v>
      </c>
      <c r="BF112" s="54">
        <f t="shared" si="59"/>
        <v>55.475000000000009</v>
      </c>
      <c r="BG112" s="54">
        <f t="shared" si="59"/>
        <v>23.775000000000002</v>
      </c>
      <c r="BH112" s="54">
        <f t="shared" si="59"/>
        <v>23.775000000000002</v>
      </c>
      <c r="BI112" s="62">
        <f t="shared" si="37"/>
        <v>0</v>
      </c>
      <c r="BJ112" s="59">
        <f t="shared" si="62"/>
        <v>0</v>
      </c>
      <c r="BK112" s="59">
        <f t="shared" si="62"/>
        <v>0</v>
      </c>
      <c r="BL112" s="59">
        <f t="shared" si="62"/>
        <v>0</v>
      </c>
      <c r="BM112" s="59">
        <f t="shared" si="62"/>
        <v>0</v>
      </c>
      <c r="BN112" s="59">
        <f t="shared" si="62"/>
        <v>0</v>
      </c>
      <c r="BO112" s="59">
        <f t="shared" si="62"/>
        <v>0</v>
      </c>
      <c r="BP112" s="59">
        <f t="shared" si="61"/>
        <v>0</v>
      </c>
      <c r="BQ112" s="59">
        <f t="shared" si="61"/>
        <v>0</v>
      </c>
      <c r="BR112" s="59">
        <f t="shared" si="61"/>
        <v>0</v>
      </c>
      <c r="BS112" s="59">
        <f t="shared" si="61"/>
        <v>0</v>
      </c>
      <c r="BT112" s="59">
        <f t="shared" si="61"/>
        <v>0</v>
      </c>
      <c r="BU112" s="59">
        <f t="shared" si="61"/>
        <v>0</v>
      </c>
      <c r="BV112" s="67">
        <f t="shared" si="48"/>
        <v>339.2399999999999</v>
      </c>
      <c r="BX112" s="54">
        <f t="shared" si="53"/>
        <v>30.907499999999999</v>
      </c>
      <c r="BY112" s="54">
        <f t="shared" si="53"/>
        <v>30.907499999999999</v>
      </c>
      <c r="BZ112" s="54">
        <f t="shared" si="53"/>
        <v>30.907499999999999</v>
      </c>
      <c r="CA112" s="54">
        <f t="shared" si="49"/>
        <v>30.907499999999999</v>
      </c>
      <c r="CB112" s="54">
        <f t="shared" si="49"/>
        <v>30.907499999999999</v>
      </c>
      <c r="CC112" s="54">
        <f t="shared" si="49"/>
        <v>30.907499999999999</v>
      </c>
      <c r="CD112" s="54">
        <f t="shared" si="49"/>
        <v>30.907499999999999</v>
      </c>
      <c r="CE112" s="54">
        <f t="shared" si="49"/>
        <v>30.907499999999999</v>
      </c>
      <c r="CF112" s="54">
        <f t="shared" si="49"/>
        <v>30.907499999999999</v>
      </c>
      <c r="CG112" s="54">
        <f t="shared" si="43"/>
        <v>72.117500000000007</v>
      </c>
      <c r="CH112" s="54">
        <f t="shared" si="43"/>
        <v>30.907499999999999</v>
      </c>
      <c r="CI112" s="54">
        <f t="shared" si="43"/>
        <v>30.907499999999999</v>
      </c>
      <c r="CJ112" s="74">
        <f t="shared" si="39"/>
        <v>412.1</v>
      </c>
      <c r="CK112" s="59">
        <f t="shared" si="54"/>
        <v>20</v>
      </c>
      <c r="CL112" s="9">
        <f t="shared" si="55"/>
        <v>0</v>
      </c>
      <c r="CM112" s="71">
        <f t="shared" si="50"/>
        <v>412.1</v>
      </c>
      <c r="CN112" s="54"/>
      <c r="CO112" s="73"/>
      <c r="CP112" s="56"/>
    </row>
    <row r="113" spans="1:94" ht="20.25" customHeight="1">
      <c r="A113" s="75" t="s">
        <v>316</v>
      </c>
      <c r="B113" s="1" t="s">
        <v>317</v>
      </c>
      <c r="C113" s="1" t="s">
        <v>318</v>
      </c>
      <c r="D113" s="58">
        <f>+VLOOKUP(A113,'[1]BDD-Avk Tx'!B:CE,82,0)</f>
        <v>212</v>
      </c>
      <c r="E113" s="59">
        <v>412.1</v>
      </c>
      <c r="G113" s="4">
        <v>41153</v>
      </c>
      <c r="H113" s="4">
        <f t="shared" si="44"/>
        <v>45647</v>
      </c>
      <c r="I113" s="60" t="str">
        <f>+VLOOKUP(A113,'[1]BDD-Avk Tx'!B:BZ,77,0)</f>
        <v>CDI</v>
      </c>
      <c r="J113" s="4">
        <f t="shared" si="45"/>
        <v>45647</v>
      </c>
      <c r="N113" s="3"/>
      <c r="P113" s="54">
        <f t="shared" si="51"/>
        <v>13.25</v>
      </c>
      <c r="Q113" s="61">
        <v>1</v>
      </c>
      <c r="R113" s="62">
        <f t="shared" si="52"/>
        <v>20</v>
      </c>
      <c r="S113" s="54">
        <f t="shared" si="57"/>
        <v>1.5</v>
      </c>
      <c r="T113" s="54">
        <f t="shared" si="57"/>
        <v>1.5</v>
      </c>
      <c r="U113" s="54">
        <f t="shared" si="57"/>
        <v>1.5</v>
      </c>
      <c r="V113" s="54">
        <f t="shared" si="57"/>
        <v>1.5</v>
      </c>
      <c r="W113" s="54">
        <f t="shared" si="57"/>
        <v>1.5</v>
      </c>
      <c r="X113" s="54">
        <f t="shared" si="57"/>
        <v>1.5</v>
      </c>
      <c r="Y113" s="54">
        <f t="shared" si="57"/>
        <v>1.5</v>
      </c>
      <c r="Z113" s="54">
        <f t="shared" si="57"/>
        <v>1.5</v>
      </c>
      <c r="AA113" s="54">
        <f t="shared" si="57"/>
        <v>1.5</v>
      </c>
      <c r="AB113" s="54">
        <f t="shared" si="57"/>
        <v>3.5</v>
      </c>
      <c r="AC113" s="54">
        <f t="shared" si="57"/>
        <v>1.5</v>
      </c>
      <c r="AD113" s="54">
        <f t="shared" si="57"/>
        <v>1.5</v>
      </c>
      <c r="AF113" s="62">
        <f t="shared" si="60"/>
        <v>0</v>
      </c>
      <c r="AG113" s="64">
        <v>0</v>
      </c>
      <c r="AH113" s="64">
        <v>0</v>
      </c>
      <c r="AI113" s="65">
        <v>0</v>
      </c>
      <c r="AJ113" s="66"/>
      <c r="AK113" s="64"/>
      <c r="AL113" s="64"/>
      <c r="AM113" s="64"/>
      <c r="AN113" s="64"/>
      <c r="AO113" s="64"/>
      <c r="AP113" s="64"/>
      <c r="AQ113" s="64"/>
      <c r="AR113" s="64"/>
      <c r="AS113" s="67">
        <f t="shared" si="47"/>
        <v>21</v>
      </c>
      <c r="AT113" s="68"/>
      <c r="AU113" s="69">
        <v>15.850000000000023</v>
      </c>
      <c r="AV113" s="62">
        <f t="shared" si="40"/>
        <v>317</v>
      </c>
      <c r="AW113" s="54">
        <f t="shared" si="42"/>
        <v>23.775000000000002</v>
      </c>
      <c r="AX113" s="54">
        <f t="shared" si="42"/>
        <v>23.775000000000002</v>
      </c>
      <c r="AY113" s="54">
        <f t="shared" si="42"/>
        <v>23.775000000000002</v>
      </c>
      <c r="AZ113" s="54">
        <f t="shared" si="42"/>
        <v>23.775000000000002</v>
      </c>
      <c r="BA113" s="54">
        <f t="shared" si="42"/>
        <v>23.775000000000002</v>
      </c>
      <c r="BB113" s="54">
        <f t="shared" si="42"/>
        <v>23.775000000000002</v>
      </c>
      <c r="BC113" s="54">
        <f t="shared" si="59"/>
        <v>23.775000000000002</v>
      </c>
      <c r="BD113" s="54">
        <f t="shared" si="59"/>
        <v>23.775000000000002</v>
      </c>
      <c r="BE113" s="54">
        <f t="shared" si="59"/>
        <v>23.775000000000002</v>
      </c>
      <c r="BF113" s="54">
        <f t="shared" si="59"/>
        <v>55.475000000000009</v>
      </c>
      <c r="BG113" s="54">
        <f t="shared" si="59"/>
        <v>23.775000000000002</v>
      </c>
      <c r="BH113" s="54">
        <f t="shared" si="59"/>
        <v>23.775000000000002</v>
      </c>
      <c r="BI113" s="62">
        <f t="shared" si="37"/>
        <v>0</v>
      </c>
      <c r="BJ113" s="59">
        <f t="shared" si="62"/>
        <v>0</v>
      </c>
      <c r="BK113" s="59">
        <f t="shared" si="62"/>
        <v>0</v>
      </c>
      <c r="BL113" s="59">
        <f t="shared" si="62"/>
        <v>0</v>
      </c>
      <c r="BM113" s="59">
        <f t="shared" si="62"/>
        <v>0</v>
      </c>
      <c r="BN113" s="59">
        <f t="shared" si="62"/>
        <v>0</v>
      </c>
      <c r="BO113" s="59">
        <f t="shared" si="62"/>
        <v>0</v>
      </c>
      <c r="BP113" s="59">
        <f t="shared" si="61"/>
        <v>0</v>
      </c>
      <c r="BQ113" s="59">
        <f t="shared" si="61"/>
        <v>0</v>
      </c>
      <c r="BR113" s="59">
        <f t="shared" si="61"/>
        <v>0</v>
      </c>
      <c r="BS113" s="59">
        <f t="shared" si="61"/>
        <v>0</v>
      </c>
      <c r="BT113" s="59">
        <f t="shared" si="61"/>
        <v>0</v>
      </c>
      <c r="BU113" s="59">
        <f t="shared" si="61"/>
        <v>0</v>
      </c>
      <c r="BV113" s="67">
        <f t="shared" si="48"/>
        <v>332.85</v>
      </c>
      <c r="BX113" s="54">
        <f t="shared" si="53"/>
        <v>30.907499999999999</v>
      </c>
      <c r="BY113" s="54">
        <f t="shared" si="53"/>
        <v>30.907499999999999</v>
      </c>
      <c r="BZ113" s="54">
        <f t="shared" si="53"/>
        <v>30.907499999999999</v>
      </c>
      <c r="CA113" s="54">
        <f t="shared" si="49"/>
        <v>30.907499999999999</v>
      </c>
      <c r="CB113" s="54">
        <f t="shared" si="49"/>
        <v>30.907499999999999</v>
      </c>
      <c r="CC113" s="54">
        <f t="shared" si="49"/>
        <v>30.907499999999999</v>
      </c>
      <c r="CD113" s="54">
        <f t="shared" si="49"/>
        <v>30.907499999999999</v>
      </c>
      <c r="CE113" s="54">
        <f t="shared" si="49"/>
        <v>30.907499999999999</v>
      </c>
      <c r="CF113" s="54">
        <f t="shared" si="49"/>
        <v>30.907499999999999</v>
      </c>
      <c r="CG113" s="54">
        <f t="shared" si="43"/>
        <v>72.117500000000007</v>
      </c>
      <c r="CH113" s="54">
        <f t="shared" si="43"/>
        <v>30.907499999999999</v>
      </c>
      <c r="CI113" s="54">
        <f t="shared" si="43"/>
        <v>30.907499999999999</v>
      </c>
      <c r="CJ113" s="74">
        <f t="shared" si="39"/>
        <v>412.1</v>
      </c>
      <c r="CK113" s="59">
        <f t="shared" si="54"/>
        <v>20</v>
      </c>
      <c r="CL113" s="9">
        <f t="shared" si="55"/>
        <v>0</v>
      </c>
      <c r="CM113" s="71">
        <f t="shared" si="50"/>
        <v>412.1</v>
      </c>
      <c r="CN113" s="72"/>
      <c r="CO113" s="73"/>
    </row>
    <row r="114" spans="1:94" ht="20.25" customHeight="1">
      <c r="A114" s="1" t="s">
        <v>319</v>
      </c>
      <c r="B114" s="1" t="s">
        <v>320</v>
      </c>
      <c r="C114" s="1" t="s">
        <v>321</v>
      </c>
      <c r="D114" s="58">
        <f>+VLOOKUP(A114,'[1]BDD-Avk Tx'!B:CE,82,0)</f>
        <v>443</v>
      </c>
      <c r="E114" s="59">
        <v>267.8</v>
      </c>
      <c r="G114" s="4">
        <v>41153</v>
      </c>
      <c r="H114" s="4">
        <f t="shared" si="44"/>
        <v>45647</v>
      </c>
      <c r="I114" s="60" t="str">
        <f>+VLOOKUP(A114,'[1]BDD-Avk Tx'!B:BZ,77,0)</f>
        <v>CDI</v>
      </c>
      <c r="J114" s="4">
        <f t="shared" si="45"/>
        <v>45647</v>
      </c>
      <c r="N114" s="3"/>
      <c r="P114" s="54">
        <f t="shared" si="51"/>
        <v>13.25</v>
      </c>
      <c r="Q114" s="61">
        <v>1</v>
      </c>
      <c r="R114" s="62">
        <f t="shared" si="52"/>
        <v>20</v>
      </c>
      <c r="S114" s="54">
        <f t="shared" si="57"/>
        <v>1.5</v>
      </c>
      <c r="T114" s="54">
        <f t="shared" si="57"/>
        <v>1.5</v>
      </c>
      <c r="U114" s="54">
        <f t="shared" si="57"/>
        <v>1.5</v>
      </c>
      <c r="V114" s="54">
        <f t="shared" si="57"/>
        <v>1.5</v>
      </c>
      <c r="W114" s="54">
        <f t="shared" si="57"/>
        <v>1.5</v>
      </c>
      <c r="X114" s="54">
        <f t="shared" si="57"/>
        <v>1.5</v>
      </c>
      <c r="Y114" s="54">
        <f t="shared" si="57"/>
        <v>1.5</v>
      </c>
      <c r="Z114" s="54">
        <f t="shared" si="57"/>
        <v>1.5</v>
      </c>
      <c r="AA114" s="54">
        <f t="shared" si="57"/>
        <v>1.5</v>
      </c>
      <c r="AB114" s="54">
        <f t="shared" si="57"/>
        <v>3.5</v>
      </c>
      <c r="AC114" s="54">
        <f t="shared" si="57"/>
        <v>1.5</v>
      </c>
      <c r="AD114" s="54">
        <f t="shared" si="57"/>
        <v>1.5</v>
      </c>
      <c r="AF114" s="62">
        <f t="shared" si="60"/>
        <v>6</v>
      </c>
      <c r="AG114" s="64">
        <v>0</v>
      </c>
      <c r="AH114" s="64">
        <v>0</v>
      </c>
      <c r="AI114" s="65">
        <v>6</v>
      </c>
      <c r="AJ114" s="66"/>
      <c r="AK114" s="64"/>
      <c r="AL114" s="64"/>
      <c r="AM114" s="64"/>
      <c r="AN114" s="64"/>
      <c r="AO114" s="64"/>
      <c r="AP114" s="64"/>
      <c r="AQ114" s="64"/>
      <c r="AR114" s="64"/>
      <c r="AS114" s="67">
        <f t="shared" si="47"/>
        <v>15</v>
      </c>
      <c r="AT114" s="68"/>
      <c r="AU114" s="69">
        <v>5.507692307692281</v>
      </c>
      <c r="AV114" s="62">
        <f t="shared" si="40"/>
        <v>206</v>
      </c>
      <c r="AW114" s="54">
        <f t="shared" si="42"/>
        <v>15.450000000000001</v>
      </c>
      <c r="AX114" s="54">
        <f t="shared" si="42"/>
        <v>15.450000000000001</v>
      </c>
      <c r="AY114" s="54">
        <f t="shared" si="42"/>
        <v>15.450000000000001</v>
      </c>
      <c r="AZ114" s="54">
        <f t="shared" si="42"/>
        <v>15.450000000000001</v>
      </c>
      <c r="BA114" s="54">
        <f t="shared" si="42"/>
        <v>15.450000000000001</v>
      </c>
      <c r="BB114" s="54">
        <f t="shared" si="42"/>
        <v>15.450000000000001</v>
      </c>
      <c r="BC114" s="54">
        <f t="shared" si="59"/>
        <v>15.450000000000001</v>
      </c>
      <c r="BD114" s="54">
        <f t="shared" si="59"/>
        <v>15.450000000000001</v>
      </c>
      <c r="BE114" s="54">
        <f t="shared" si="59"/>
        <v>15.450000000000001</v>
      </c>
      <c r="BF114" s="54">
        <f t="shared" si="59"/>
        <v>36.050000000000004</v>
      </c>
      <c r="BG114" s="54">
        <f t="shared" si="59"/>
        <v>15.450000000000001</v>
      </c>
      <c r="BH114" s="54">
        <f t="shared" si="59"/>
        <v>15.450000000000001</v>
      </c>
      <c r="BI114" s="62">
        <f t="shared" si="37"/>
        <v>-61.800000000000004</v>
      </c>
      <c r="BJ114" s="59">
        <f t="shared" si="62"/>
        <v>0</v>
      </c>
      <c r="BK114" s="59">
        <f t="shared" si="62"/>
        <v>0</v>
      </c>
      <c r="BL114" s="59">
        <f t="shared" si="62"/>
        <v>-61.800000000000004</v>
      </c>
      <c r="BM114" s="59">
        <f t="shared" si="62"/>
        <v>0</v>
      </c>
      <c r="BN114" s="59">
        <f t="shared" si="62"/>
        <v>0</v>
      </c>
      <c r="BO114" s="59">
        <f t="shared" si="62"/>
        <v>0</v>
      </c>
      <c r="BP114" s="59">
        <f t="shared" si="61"/>
        <v>0</v>
      </c>
      <c r="BQ114" s="59">
        <f t="shared" si="61"/>
        <v>0</v>
      </c>
      <c r="BR114" s="59">
        <f t="shared" si="61"/>
        <v>0</v>
      </c>
      <c r="BS114" s="59">
        <f t="shared" si="61"/>
        <v>0</v>
      </c>
      <c r="BT114" s="59">
        <f t="shared" si="61"/>
        <v>0</v>
      </c>
      <c r="BU114" s="59">
        <f t="shared" si="61"/>
        <v>0</v>
      </c>
      <c r="BV114" s="67">
        <f t="shared" si="48"/>
        <v>149.70769230769227</v>
      </c>
      <c r="BX114" s="54">
        <f t="shared" si="53"/>
        <v>20.085000000000001</v>
      </c>
      <c r="BY114" s="54">
        <f t="shared" si="53"/>
        <v>20.085000000000001</v>
      </c>
      <c r="BZ114" s="54">
        <f t="shared" si="53"/>
        <v>20.085000000000001</v>
      </c>
      <c r="CA114" s="54">
        <f t="shared" si="49"/>
        <v>20.085000000000001</v>
      </c>
      <c r="CB114" s="54">
        <f t="shared" si="49"/>
        <v>20.085000000000001</v>
      </c>
      <c r="CC114" s="54">
        <f t="shared" si="49"/>
        <v>20.085000000000001</v>
      </c>
      <c r="CD114" s="54">
        <f t="shared" ref="CD114:CI174" si="63">+IF(AND($J114&gt;CD$5,MONTH($J114&lt;&gt;CD$5)),0,+IF(AND($J114&gt;CD$5,MONTH($J114=CD$5)),$E114/$R114*DAY($J114),IF(AND($O114&lt;&gt;"",$O114&lt;CD$5),0,IF($K114="",$E114/$R114*Y114,IF(MONTH($K114)=MONTH(CD$5),$L114/$R114*Y114,IF(AND($K114&lt;CD$5,(MONTH($K114)&lt;&gt;MONTH(CD$5))),$L114/$R114*Y114,$E114/$R114*Y114))))))</f>
        <v>20.085000000000001</v>
      </c>
      <c r="CE114" s="54">
        <f t="shared" si="63"/>
        <v>20.085000000000001</v>
      </c>
      <c r="CF114" s="54">
        <f t="shared" si="63"/>
        <v>20.085000000000001</v>
      </c>
      <c r="CG114" s="54">
        <f t="shared" si="43"/>
        <v>46.865000000000002</v>
      </c>
      <c r="CH114" s="54">
        <f t="shared" si="43"/>
        <v>20.085000000000001</v>
      </c>
      <c r="CI114" s="54">
        <f t="shared" si="43"/>
        <v>20.085000000000001</v>
      </c>
      <c r="CJ114" s="74">
        <f t="shared" si="39"/>
        <v>267.80000000000007</v>
      </c>
      <c r="CK114" s="59">
        <f t="shared" si="54"/>
        <v>20</v>
      </c>
      <c r="CL114" s="9">
        <f t="shared" si="55"/>
        <v>0</v>
      </c>
      <c r="CM114" s="71">
        <f t="shared" si="50"/>
        <v>267.8</v>
      </c>
      <c r="CN114" s="54"/>
      <c r="CO114" s="73"/>
      <c r="CP114" s="56"/>
    </row>
    <row r="115" spans="1:94" ht="20.25" customHeight="1">
      <c r="A115" s="75" t="s">
        <v>322</v>
      </c>
      <c r="B115" s="1" t="s">
        <v>323</v>
      </c>
      <c r="C115" s="1" t="s">
        <v>324</v>
      </c>
      <c r="D115" s="58">
        <f>+VLOOKUP(A115,'[1]BDD-Avk Tx'!B:CE,82,0)</f>
        <v>443</v>
      </c>
      <c r="E115" s="59">
        <v>231.4</v>
      </c>
      <c r="G115" s="4">
        <v>41153</v>
      </c>
      <c r="H115" s="4">
        <f t="shared" si="44"/>
        <v>45647</v>
      </c>
      <c r="I115" s="60" t="str">
        <f>+VLOOKUP(A115,'[1]BDD-Avk Tx'!B:BZ,77,0)</f>
        <v>CDI</v>
      </c>
      <c r="J115" s="4">
        <f t="shared" si="45"/>
        <v>45647</v>
      </c>
      <c r="N115" s="3"/>
      <c r="P115" s="54">
        <f t="shared" si="51"/>
        <v>13.25</v>
      </c>
      <c r="Q115" s="61">
        <v>0</v>
      </c>
      <c r="R115" s="62">
        <f t="shared" si="52"/>
        <v>20</v>
      </c>
      <c r="S115" s="54">
        <f t="shared" si="57"/>
        <v>1.5</v>
      </c>
      <c r="T115" s="54">
        <f t="shared" si="57"/>
        <v>1.5</v>
      </c>
      <c r="U115" s="54">
        <f t="shared" si="57"/>
        <v>1.5</v>
      </c>
      <c r="V115" s="54">
        <f t="shared" si="57"/>
        <v>1.5</v>
      </c>
      <c r="W115" s="54">
        <f t="shared" si="57"/>
        <v>1.5</v>
      </c>
      <c r="X115" s="54">
        <f t="shared" si="57"/>
        <v>1.5</v>
      </c>
      <c r="Y115" s="54">
        <f t="shared" si="57"/>
        <v>1.5</v>
      </c>
      <c r="Z115" s="54">
        <f t="shared" si="57"/>
        <v>1.5</v>
      </c>
      <c r="AA115" s="54">
        <f t="shared" si="57"/>
        <v>1.5</v>
      </c>
      <c r="AB115" s="54">
        <f t="shared" si="57"/>
        <v>3.5</v>
      </c>
      <c r="AC115" s="54">
        <f t="shared" si="57"/>
        <v>1.5</v>
      </c>
      <c r="AD115" s="54">
        <f t="shared" si="57"/>
        <v>1.5</v>
      </c>
      <c r="AF115" s="62">
        <f t="shared" si="60"/>
        <v>12</v>
      </c>
      <c r="AG115" s="64">
        <v>6</v>
      </c>
      <c r="AH115" s="64">
        <v>0</v>
      </c>
      <c r="AI115" s="65">
        <v>6</v>
      </c>
      <c r="AJ115" s="66"/>
      <c r="AK115" s="64"/>
      <c r="AL115" s="64"/>
      <c r="AM115" s="64"/>
      <c r="AN115" s="64"/>
      <c r="AO115" s="64"/>
      <c r="AP115" s="64"/>
      <c r="AQ115" s="64"/>
      <c r="AR115" s="66"/>
      <c r="AS115" s="67">
        <f t="shared" si="47"/>
        <v>8</v>
      </c>
      <c r="AT115" s="68"/>
      <c r="AU115" s="69">
        <v>6.9230769230728129E-2</v>
      </c>
      <c r="AV115" s="62">
        <f t="shared" si="40"/>
        <v>177.99999999999997</v>
      </c>
      <c r="AW115" s="54">
        <f t="shared" si="42"/>
        <v>13.350000000000001</v>
      </c>
      <c r="AX115" s="54">
        <f t="shared" si="42"/>
        <v>13.350000000000001</v>
      </c>
      <c r="AY115" s="54">
        <f t="shared" si="42"/>
        <v>13.350000000000001</v>
      </c>
      <c r="AZ115" s="54">
        <f t="shared" si="42"/>
        <v>13.350000000000001</v>
      </c>
      <c r="BA115" s="54">
        <f t="shared" si="42"/>
        <v>13.350000000000001</v>
      </c>
      <c r="BB115" s="54">
        <f t="shared" si="42"/>
        <v>13.350000000000001</v>
      </c>
      <c r="BC115" s="54">
        <f t="shared" si="59"/>
        <v>13.350000000000001</v>
      </c>
      <c r="BD115" s="54">
        <f t="shared" si="59"/>
        <v>13.350000000000001</v>
      </c>
      <c r="BE115" s="54">
        <f t="shared" si="59"/>
        <v>13.350000000000001</v>
      </c>
      <c r="BF115" s="54">
        <f t="shared" si="59"/>
        <v>31.150000000000002</v>
      </c>
      <c r="BG115" s="54">
        <f t="shared" si="59"/>
        <v>13.350000000000001</v>
      </c>
      <c r="BH115" s="54">
        <f t="shared" si="59"/>
        <v>13.350000000000001</v>
      </c>
      <c r="BI115" s="62">
        <f t="shared" si="37"/>
        <v>-106.80000000000001</v>
      </c>
      <c r="BJ115" s="59">
        <f t="shared" si="62"/>
        <v>-53.400000000000006</v>
      </c>
      <c r="BK115" s="59">
        <f t="shared" si="62"/>
        <v>0</v>
      </c>
      <c r="BL115" s="59">
        <f t="shared" si="62"/>
        <v>-53.400000000000006</v>
      </c>
      <c r="BM115" s="59">
        <f t="shared" si="62"/>
        <v>0</v>
      </c>
      <c r="BN115" s="59">
        <f t="shared" si="62"/>
        <v>0</v>
      </c>
      <c r="BO115" s="59">
        <f t="shared" si="62"/>
        <v>0</v>
      </c>
      <c r="BP115" s="59">
        <f t="shared" si="61"/>
        <v>0</v>
      </c>
      <c r="BQ115" s="59">
        <f t="shared" si="61"/>
        <v>0</v>
      </c>
      <c r="BR115" s="59">
        <f t="shared" si="61"/>
        <v>0</v>
      </c>
      <c r="BS115" s="59">
        <f t="shared" si="61"/>
        <v>0</v>
      </c>
      <c r="BT115" s="59">
        <f t="shared" si="61"/>
        <v>0</v>
      </c>
      <c r="BU115" s="59">
        <f t="shared" si="61"/>
        <v>0</v>
      </c>
      <c r="BV115" s="67">
        <f t="shared" si="48"/>
        <v>71.269230769230688</v>
      </c>
      <c r="BX115" s="54">
        <f t="shared" si="53"/>
        <v>17.355</v>
      </c>
      <c r="BY115" s="54">
        <f t="shared" si="53"/>
        <v>17.355</v>
      </c>
      <c r="BZ115" s="54">
        <f t="shared" si="53"/>
        <v>17.355</v>
      </c>
      <c r="CA115" s="54">
        <f t="shared" si="53"/>
        <v>17.355</v>
      </c>
      <c r="CB115" s="54">
        <f t="shared" si="53"/>
        <v>17.355</v>
      </c>
      <c r="CC115" s="54">
        <f t="shared" si="53"/>
        <v>17.355</v>
      </c>
      <c r="CD115" s="54">
        <f t="shared" si="63"/>
        <v>17.355</v>
      </c>
      <c r="CE115" s="54">
        <f t="shared" si="63"/>
        <v>17.355</v>
      </c>
      <c r="CF115" s="54">
        <f t="shared" si="63"/>
        <v>17.355</v>
      </c>
      <c r="CG115" s="54">
        <f t="shared" si="43"/>
        <v>40.495000000000005</v>
      </c>
      <c r="CH115" s="54">
        <f t="shared" si="43"/>
        <v>17.355</v>
      </c>
      <c r="CI115" s="54">
        <f t="shared" si="43"/>
        <v>17.355</v>
      </c>
      <c r="CJ115" s="74">
        <f t="shared" si="39"/>
        <v>231.39999999999998</v>
      </c>
      <c r="CK115" s="59">
        <f t="shared" si="54"/>
        <v>20</v>
      </c>
      <c r="CL115" s="9">
        <f t="shared" si="55"/>
        <v>0</v>
      </c>
      <c r="CM115" s="71">
        <f t="shared" si="50"/>
        <v>231.4</v>
      </c>
      <c r="CN115" s="72"/>
      <c r="CO115" s="73"/>
    </row>
    <row r="116" spans="1:94" ht="20.25" customHeight="1">
      <c r="A116" s="1" t="s">
        <v>325</v>
      </c>
      <c r="B116" s="1" t="s">
        <v>326</v>
      </c>
      <c r="C116" s="1" t="s">
        <v>327</v>
      </c>
      <c r="D116" s="58">
        <f>+VLOOKUP(A116,'[1]BDD-Avk Tx'!B:CE,82,0)</f>
        <v>443</v>
      </c>
      <c r="E116" s="59">
        <v>231.4</v>
      </c>
      <c r="G116" s="4">
        <v>41153</v>
      </c>
      <c r="H116" s="4">
        <f t="shared" si="44"/>
        <v>45647</v>
      </c>
      <c r="I116" s="60" t="str">
        <f>+VLOOKUP(A116,'[1]BDD-Avk Tx'!B:BZ,77,0)</f>
        <v>CDI</v>
      </c>
      <c r="J116" s="4">
        <f t="shared" si="45"/>
        <v>45647</v>
      </c>
      <c r="N116" s="3"/>
      <c r="P116" s="54">
        <f t="shared" si="51"/>
        <v>13.25</v>
      </c>
      <c r="Q116" s="61">
        <v>0</v>
      </c>
      <c r="R116" s="62">
        <f t="shared" si="52"/>
        <v>20</v>
      </c>
      <c r="S116" s="54">
        <f t="shared" si="57"/>
        <v>1.5</v>
      </c>
      <c r="T116" s="54">
        <f t="shared" si="57"/>
        <v>1.5</v>
      </c>
      <c r="U116" s="54">
        <f t="shared" si="57"/>
        <v>1.5</v>
      </c>
      <c r="V116" s="54">
        <f t="shared" si="57"/>
        <v>1.5</v>
      </c>
      <c r="W116" s="54">
        <f t="shared" si="57"/>
        <v>1.5</v>
      </c>
      <c r="X116" s="54">
        <f t="shared" si="57"/>
        <v>1.5</v>
      </c>
      <c r="Y116" s="54">
        <f t="shared" si="57"/>
        <v>1.5</v>
      </c>
      <c r="Z116" s="54">
        <f t="shared" si="57"/>
        <v>1.5</v>
      </c>
      <c r="AA116" s="54">
        <f t="shared" si="57"/>
        <v>1.5</v>
      </c>
      <c r="AB116" s="54">
        <f t="shared" si="57"/>
        <v>3.5</v>
      </c>
      <c r="AC116" s="54">
        <f t="shared" si="57"/>
        <v>1.5</v>
      </c>
      <c r="AD116" s="54">
        <f t="shared" si="57"/>
        <v>1.5</v>
      </c>
      <c r="AF116" s="62">
        <f t="shared" si="60"/>
        <v>6</v>
      </c>
      <c r="AG116" s="64">
        <v>0</v>
      </c>
      <c r="AH116" s="64">
        <v>0</v>
      </c>
      <c r="AI116" s="65">
        <v>6</v>
      </c>
      <c r="AJ116" s="66"/>
      <c r="AK116" s="64"/>
      <c r="AL116" s="64"/>
      <c r="AM116" s="64"/>
      <c r="AN116" s="64"/>
      <c r="AO116" s="64"/>
      <c r="AP116" s="64"/>
      <c r="AQ116" s="64"/>
      <c r="AR116" s="64"/>
      <c r="AS116" s="67">
        <f t="shared" si="47"/>
        <v>14</v>
      </c>
      <c r="AT116" s="68"/>
      <c r="AU116" s="69">
        <v>-6.2038461538462002</v>
      </c>
      <c r="AV116" s="62">
        <f t="shared" si="40"/>
        <v>177.99999999999997</v>
      </c>
      <c r="AW116" s="54">
        <f t="shared" si="42"/>
        <v>13.350000000000001</v>
      </c>
      <c r="AX116" s="54">
        <f t="shared" si="42"/>
        <v>13.350000000000001</v>
      </c>
      <c r="AY116" s="54">
        <f t="shared" si="42"/>
        <v>13.350000000000001</v>
      </c>
      <c r="AZ116" s="54">
        <f t="shared" si="42"/>
        <v>13.350000000000001</v>
      </c>
      <c r="BA116" s="54">
        <f t="shared" si="42"/>
        <v>13.350000000000001</v>
      </c>
      <c r="BB116" s="54">
        <f t="shared" si="42"/>
        <v>13.350000000000001</v>
      </c>
      <c r="BC116" s="54">
        <f t="shared" si="59"/>
        <v>13.350000000000001</v>
      </c>
      <c r="BD116" s="54">
        <f t="shared" si="59"/>
        <v>13.350000000000001</v>
      </c>
      <c r="BE116" s="54">
        <f t="shared" si="59"/>
        <v>13.350000000000001</v>
      </c>
      <c r="BF116" s="54">
        <f t="shared" si="59"/>
        <v>31.150000000000002</v>
      </c>
      <c r="BG116" s="54">
        <f t="shared" si="59"/>
        <v>13.350000000000001</v>
      </c>
      <c r="BH116" s="54">
        <f t="shared" si="59"/>
        <v>13.350000000000001</v>
      </c>
      <c r="BI116" s="62">
        <f t="shared" si="37"/>
        <v>-53.400000000000006</v>
      </c>
      <c r="BJ116" s="59">
        <f t="shared" si="62"/>
        <v>0</v>
      </c>
      <c r="BK116" s="59">
        <f t="shared" si="62"/>
        <v>0</v>
      </c>
      <c r="BL116" s="59">
        <f t="shared" si="62"/>
        <v>-53.400000000000006</v>
      </c>
      <c r="BM116" s="59">
        <f t="shared" si="62"/>
        <v>0</v>
      </c>
      <c r="BN116" s="59">
        <f t="shared" si="62"/>
        <v>0</v>
      </c>
      <c r="BO116" s="59">
        <f t="shared" si="62"/>
        <v>0</v>
      </c>
      <c r="BP116" s="59">
        <f t="shared" si="61"/>
        <v>0</v>
      </c>
      <c r="BQ116" s="59">
        <f t="shared" si="61"/>
        <v>0</v>
      </c>
      <c r="BR116" s="59">
        <f t="shared" si="61"/>
        <v>0</v>
      </c>
      <c r="BS116" s="59">
        <f t="shared" si="61"/>
        <v>0</v>
      </c>
      <c r="BT116" s="59">
        <f t="shared" si="61"/>
        <v>0</v>
      </c>
      <c r="BU116" s="59">
        <f t="shared" si="61"/>
        <v>0</v>
      </c>
      <c r="BV116" s="67">
        <f t="shared" si="48"/>
        <v>118.39615384615377</v>
      </c>
      <c r="BX116" s="54">
        <f t="shared" si="53"/>
        <v>17.355</v>
      </c>
      <c r="BY116" s="54">
        <f t="shared" si="53"/>
        <v>17.355</v>
      </c>
      <c r="BZ116" s="54">
        <f t="shared" si="53"/>
        <v>17.355</v>
      </c>
      <c r="CA116" s="54">
        <f t="shared" si="53"/>
        <v>17.355</v>
      </c>
      <c r="CB116" s="54">
        <f t="shared" si="53"/>
        <v>17.355</v>
      </c>
      <c r="CC116" s="54">
        <f t="shared" si="53"/>
        <v>17.355</v>
      </c>
      <c r="CD116" s="54">
        <f t="shared" si="63"/>
        <v>17.355</v>
      </c>
      <c r="CE116" s="54">
        <f t="shared" si="63"/>
        <v>17.355</v>
      </c>
      <c r="CF116" s="54">
        <f t="shared" si="63"/>
        <v>17.355</v>
      </c>
      <c r="CG116" s="54">
        <f t="shared" si="43"/>
        <v>40.495000000000005</v>
      </c>
      <c r="CH116" s="54">
        <f t="shared" si="43"/>
        <v>17.355</v>
      </c>
      <c r="CI116" s="54">
        <f t="shared" si="43"/>
        <v>17.355</v>
      </c>
      <c r="CJ116" s="74">
        <f t="shared" si="39"/>
        <v>231.39999999999998</v>
      </c>
      <c r="CK116" s="59">
        <f t="shared" si="54"/>
        <v>20</v>
      </c>
      <c r="CL116" s="9">
        <f t="shared" si="55"/>
        <v>0</v>
      </c>
      <c r="CM116" s="71">
        <f t="shared" si="50"/>
        <v>231.4</v>
      </c>
      <c r="CN116" s="54"/>
      <c r="CO116" s="73"/>
      <c r="CP116" s="56"/>
    </row>
    <row r="117" spans="1:94" ht="20.25" customHeight="1">
      <c r="A117" s="75" t="s">
        <v>328</v>
      </c>
      <c r="B117" s="1" t="s">
        <v>329</v>
      </c>
      <c r="C117" s="1" t="s">
        <v>321</v>
      </c>
      <c r="D117" s="58">
        <f>+VLOOKUP(A117,'[1]BDD-Avk Tx'!B:CE,82,0)</f>
        <v>443</v>
      </c>
      <c r="E117" s="59">
        <v>267.8</v>
      </c>
      <c r="G117" s="4">
        <v>41754</v>
      </c>
      <c r="H117" s="4">
        <f t="shared" si="44"/>
        <v>45647</v>
      </c>
      <c r="I117" s="60" t="str">
        <f>+VLOOKUP(A117,'[1]BDD-Avk Tx'!B:BZ,77,0)</f>
        <v>CDI</v>
      </c>
      <c r="J117" s="4">
        <f t="shared" si="45"/>
        <v>45647</v>
      </c>
      <c r="N117" s="3"/>
      <c r="P117" s="54">
        <f t="shared" si="51"/>
        <v>11.583333333333334</v>
      </c>
      <c r="Q117" s="61">
        <v>0</v>
      </c>
      <c r="R117" s="62">
        <f t="shared" si="52"/>
        <v>20</v>
      </c>
      <c r="S117" s="54">
        <f t="shared" si="57"/>
        <v>1.5</v>
      </c>
      <c r="T117" s="54">
        <f t="shared" si="57"/>
        <v>1.5</v>
      </c>
      <c r="U117" s="54">
        <f t="shared" si="57"/>
        <v>1.5</v>
      </c>
      <c r="V117" s="54">
        <f t="shared" si="57"/>
        <v>1.5</v>
      </c>
      <c r="W117" s="54">
        <f t="shared" si="57"/>
        <v>3.5</v>
      </c>
      <c r="X117" s="54">
        <f t="shared" si="57"/>
        <v>1.5</v>
      </c>
      <c r="Y117" s="54">
        <f t="shared" si="57"/>
        <v>1.5</v>
      </c>
      <c r="Z117" s="54">
        <f t="shared" si="57"/>
        <v>1.5</v>
      </c>
      <c r="AA117" s="54">
        <f t="shared" si="57"/>
        <v>1.5</v>
      </c>
      <c r="AB117" s="54">
        <f t="shared" si="57"/>
        <v>1.5</v>
      </c>
      <c r="AC117" s="54">
        <f t="shared" si="57"/>
        <v>1.5</v>
      </c>
      <c r="AD117" s="54">
        <f t="shared" si="57"/>
        <v>1.5</v>
      </c>
      <c r="AF117" s="62">
        <f t="shared" si="60"/>
        <v>0</v>
      </c>
      <c r="AG117" s="64">
        <v>0</v>
      </c>
      <c r="AH117" s="64">
        <v>0</v>
      </c>
      <c r="AI117" s="65">
        <v>0</v>
      </c>
      <c r="AJ117" s="66"/>
      <c r="AK117" s="64"/>
      <c r="AL117" s="64"/>
      <c r="AM117" s="64"/>
      <c r="AN117" s="64"/>
      <c r="AO117" s="64"/>
      <c r="AP117" s="64"/>
      <c r="AQ117" s="64"/>
      <c r="AR117" s="64"/>
      <c r="AS117" s="67">
        <f t="shared" si="47"/>
        <v>20</v>
      </c>
      <c r="AT117" s="68"/>
      <c r="AU117" s="69">
        <v>-4.1076923076924174</v>
      </c>
      <c r="AV117" s="62">
        <f t="shared" si="40"/>
        <v>205.99999999999994</v>
      </c>
      <c r="AW117" s="54">
        <f t="shared" si="42"/>
        <v>15.450000000000001</v>
      </c>
      <c r="AX117" s="54">
        <f t="shared" si="42"/>
        <v>15.450000000000001</v>
      </c>
      <c r="AY117" s="54">
        <f t="shared" si="42"/>
        <v>15.450000000000001</v>
      </c>
      <c r="AZ117" s="54">
        <f t="shared" si="42"/>
        <v>15.450000000000001</v>
      </c>
      <c r="BA117" s="54">
        <f t="shared" si="42"/>
        <v>36.050000000000004</v>
      </c>
      <c r="BB117" s="54">
        <f t="shared" si="42"/>
        <v>15.450000000000001</v>
      </c>
      <c r="BC117" s="54">
        <f t="shared" si="59"/>
        <v>15.450000000000001</v>
      </c>
      <c r="BD117" s="54">
        <f t="shared" si="59"/>
        <v>15.450000000000001</v>
      </c>
      <c r="BE117" s="54">
        <f t="shared" si="59"/>
        <v>15.450000000000001</v>
      </c>
      <c r="BF117" s="54">
        <f t="shared" si="59"/>
        <v>15.450000000000001</v>
      </c>
      <c r="BG117" s="54">
        <f t="shared" si="59"/>
        <v>15.450000000000001</v>
      </c>
      <c r="BH117" s="54">
        <f t="shared" si="59"/>
        <v>15.450000000000001</v>
      </c>
      <c r="BI117" s="62">
        <f t="shared" si="37"/>
        <v>0</v>
      </c>
      <c r="BJ117" s="59">
        <f t="shared" si="62"/>
        <v>0</v>
      </c>
      <c r="BK117" s="59">
        <f t="shared" si="62"/>
        <v>0</v>
      </c>
      <c r="BL117" s="59">
        <f t="shared" si="62"/>
        <v>0</v>
      </c>
      <c r="BM117" s="59">
        <f t="shared" si="62"/>
        <v>0</v>
      </c>
      <c r="BN117" s="59">
        <f t="shared" si="62"/>
        <v>0</v>
      </c>
      <c r="BO117" s="59">
        <f t="shared" si="62"/>
        <v>0</v>
      </c>
      <c r="BP117" s="59">
        <f t="shared" si="61"/>
        <v>0</v>
      </c>
      <c r="BQ117" s="59">
        <f t="shared" si="61"/>
        <v>0</v>
      </c>
      <c r="BR117" s="59">
        <f t="shared" si="61"/>
        <v>0</v>
      </c>
      <c r="BS117" s="59">
        <f t="shared" si="61"/>
        <v>0</v>
      </c>
      <c r="BT117" s="59">
        <f t="shared" si="61"/>
        <v>0</v>
      </c>
      <c r="BU117" s="59">
        <f t="shared" si="61"/>
        <v>0</v>
      </c>
      <c r="BV117" s="67">
        <f t="shared" si="48"/>
        <v>201.89230769230753</v>
      </c>
      <c r="BX117" s="54">
        <f t="shared" si="53"/>
        <v>20.085000000000001</v>
      </c>
      <c r="BY117" s="54">
        <f t="shared" si="53"/>
        <v>20.085000000000001</v>
      </c>
      <c r="BZ117" s="54">
        <f t="shared" si="53"/>
        <v>20.085000000000001</v>
      </c>
      <c r="CA117" s="54">
        <f t="shared" si="53"/>
        <v>20.085000000000001</v>
      </c>
      <c r="CB117" s="54">
        <f t="shared" si="53"/>
        <v>46.865000000000002</v>
      </c>
      <c r="CC117" s="54">
        <f t="shared" si="53"/>
        <v>20.085000000000001</v>
      </c>
      <c r="CD117" s="54">
        <f t="shared" si="63"/>
        <v>20.085000000000001</v>
      </c>
      <c r="CE117" s="54">
        <f t="shared" si="63"/>
        <v>20.085000000000001</v>
      </c>
      <c r="CF117" s="54">
        <f t="shared" si="63"/>
        <v>20.085000000000001</v>
      </c>
      <c r="CG117" s="54">
        <f t="shared" si="43"/>
        <v>20.085000000000001</v>
      </c>
      <c r="CH117" s="54">
        <f t="shared" si="43"/>
        <v>20.085000000000001</v>
      </c>
      <c r="CI117" s="54">
        <f t="shared" si="43"/>
        <v>20.085000000000001</v>
      </c>
      <c r="CJ117" s="74">
        <f t="shared" si="39"/>
        <v>267.80000000000007</v>
      </c>
      <c r="CK117" s="59">
        <f t="shared" si="54"/>
        <v>20</v>
      </c>
      <c r="CL117" s="9">
        <f t="shared" si="55"/>
        <v>0</v>
      </c>
      <c r="CM117" s="71">
        <f t="shared" si="50"/>
        <v>267.8</v>
      </c>
      <c r="CN117" s="72"/>
      <c r="CO117" s="73"/>
    </row>
    <row r="118" spans="1:94" ht="20.25" customHeight="1">
      <c r="A118" s="1" t="s">
        <v>330</v>
      </c>
      <c r="B118" s="1" t="s">
        <v>331</v>
      </c>
      <c r="C118" s="1" t="s">
        <v>332</v>
      </c>
      <c r="D118" s="58">
        <f>+VLOOKUP(A118,'[1]BDD-Avk Tx'!B:CE,82,0)</f>
        <v>810</v>
      </c>
      <c r="E118" s="59">
        <v>267.8</v>
      </c>
      <c r="G118" s="4">
        <v>41153</v>
      </c>
      <c r="H118" s="4">
        <f t="shared" si="44"/>
        <v>45647</v>
      </c>
      <c r="I118" s="60" t="str">
        <f>+VLOOKUP(A118,'[1]BDD-Avk Tx'!B:BZ,77,0)</f>
        <v>CDI</v>
      </c>
      <c r="J118" s="4">
        <f t="shared" si="45"/>
        <v>45647</v>
      </c>
      <c r="N118" s="3"/>
      <c r="P118" s="54">
        <f t="shared" si="51"/>
        <v>13.25</v>
      </c>
      <c r="Q118" s="61">
        <v>0</v>
      </c>
      <c r="R118" s="62">
        <f t="shared" si="52"/>
        <v>20</v>
      </c>
      <c r="S118" s="54">
        <f t="shared" si="57"/>
        <v>1.5</v>
      </c>
      <c r="T118" s="54">
        <f t="shared" si="57"/>
        <v>1.5</v>
      </c>
      <c r="U118" s="54">
        <f t="shared" si="57"/>
        <v>1.5</v>
      </c>
      <c r="V118" s="54">
        <f t="shared" si="57"/>
        <v>1.5</v>
      </c>
      <c r="W118" s="54">
        <f t="shared" si="57"/>
        <v>1.5</v>
      </c>
      <c r="X118" s="54">
        <f t="shared" si="57"/>
        <v>1.5</v>
      </c>
      <c r="Y118" s="54">
        <f t="shared" si="57"/>
        <v>1.5</v>
      </c>
      <c r="Z118" s="54">
        <f t="shared" si="57"/>
        <v>1.5</v>
      </c>
      <c r="AA118" s="54">
        <f t="shared" si="57"/>
        <v>1.5</v>
      </c>
      <c r="AB118" s="54">
        <f t="shared" si="57"/>
        <v>3.5</v>
      </c>
      <c r="AC118" s="54">
        <f t="shared" si="57"/>
        <v>1.5</v>
      </c>
      <c r="AD118" s="54">
        <f t="shared" si="57"/>
        <v>1.5</v>
      </c>
      <c r="AF118" s="62">
        <f t="shared" si="60"/>
        <v>0</v>
      </c>
      <c r="AG118" s="64">
        <v>0</v>
      </c>
      <c r="AH118" s="64">
        <v>0</v>
      </c>
      <c r="AI118" s="65">
        <v>0</v>
      </c>
      <c r="AJ118" s="66"/>
      <c r="AK118" s="64"/>
      <c r="AL118" s="64"/>
      <c r="AM118" s="64"/>
      <c r="AN118" s="64"/>
      <c r="AO118" s="64"/>
      <c r="AP118" s="64"/>
      <c r="AQ118" s="64"/>
      <c r="AR118" s="64"/>
      <c r="AS118" s="67">
        <f t="shared" si="47"/>
        <v>20</v>
      </c>
      <c r="AT118" s="68"/>
      <c r="AU118" s="69">
        <v>-6.1384615384615415</v>
      </c>
      <c r="AV118" s="62">
        <f t="shared" si="40"/>
        <v>206</v>
      </c>
      <c r="AW118" s="54">
        <f t="shared" si="42"/>
        <v>15.450000000000001</v>
      </c>
      <c r="AX118" s="54">
        <f t="shared" si="42"/>
        <v>15.450000000000001</v>
      </c>
      <c r="AY118" s="54">
        <f t="shared" si="42"/>
        <v>15.450000000000001</v>
      </c>
      <c r="AZ118" s="54">
        <f t="shared" si="42"/>
        <v>15.450000000000001</v>
      </c>
      <c r="BA118" s="54">
        <f t="shared" si="42"/>
        <v>15.450000000000001</v>
      </c>
      <c r="BB118" s="54">
        <f t="shared" si="42"/>
        <v>15.450000000000001</v>
      </c>
      <c r="BC118" s="54">
        <f t="shared" si="59"/>
        <v>15.450000000000001</v>
      </c>
      <c r="BD118" s="54">
        <f t="shared" si="59"/>
        <v>15.450000000000001</v>
      </c>
      <c r="BE118" s="54">
        <f t="shared" si="59"/>
        <v>15.450000000000001</v>
      </c>
      <c r="BF118" s="54">
        <f t="shared" si="59"/>
        <v>36.050000000000004</v>
      </c>
      <c r="BG118" s="54">
        <f t="shared" si="59"/>
        <v>15.450000000000001</v>
      </c>
      <c r="BH118" s="54">
        <f t="shared" si="59"/>
        <v>15.450000000000001</v>
      </c>
      <c r="BI118" s="62">
        <f t="shared" si="37"/>
        <v>0</v>
      </c>
      <c r="BJ118" s="59">
        <f t="shared" si="62"/>
        <v>0</v>
      </c>
      <c r="BK118" s="59">
        <f t="shared" si="62"/>
        <v>0</v>
      </c>
      <c r="BL118" s="59">
        <f t="shared" si="62"/>
        <v>0</v>
      </c>
      <c r="BM118" s="59">
        <f t="shared" si="62"/>
        <v>0</v>
      </c>
      <c r="BN118" s="59">
        <f t="shared" si="62"/>
        <v>0</v>
      </c>
      <c r="BO118" s="59">
        <f t="shared" si="62"/>
        <v>0</v>
      </c>
      <c r="BP118" s="59">
        <f t="shared" si="61"/>
        <v>0</v>
      </c>
      <c r="BQ118" s="59">
        <f t="shared" si="61"/>
        <v>0</v>
      </c>
      <c r="BR118" s="59">
        <f t="shared" si="61"/>
        <v>0</v>
      </c>
      <c r="BS118" s="59">
        <f t="shared" si="61"/>
        <v>0</v>
      </c>
      <c r="BT118" s="59">
        <f t="shared" si="61"/>
        <v>0</v>
      </c>
      <c r="BU118" s="59">
        <f t="shared" si="61"/>
        <v>0</v>
      </c>
      <c r="BV118" s="67">
        <f t="shared" si="48"/>
        <v>199.86153846153846</v>
      </c>
      <c r="BX118" s="54">
        <f t="shared" si="53"/>
        <v>20.085000000000001</v>
      </c>
      <c r="BY118" s="54">
        <f t="shared" si="53"/>
        <v>20.085000000000001</v>
      </c>
      <c r="BZ118" s="54">
        <f t="shared" si="53"/>
        <v>20.085000000000001</v>
      </c>
      <c r="CA118" s="54">
        <f t="shared" si="53"/>
        <v>20.085000000000001</v>
      </c>
      <c r="CB118" s="54">
        <f t="shared" si="53"/>
        <v>20.085000000000001</v>
      </c>
      <c r="CC118" s="54">
        <f t="shared" si="53"/>
        <v>20.085000000000001</v>
      </c>
      <c r="CD118" s="54">
        <f t="shared" si="63"/>
        <v>20.085000000000001</v>
      </c>
      <c r="CE118" s="54">
        <f t="shared" si="63"/>
        <v>20.085000000000001</v>
      </c>
      <c r="CF118" s="54">
        <f t="shared" si="63"/>
        <v>20.085000000000001</v>
      </c>
      <c r="CG118" s="54">
        <f t="shared" si="43"/>
        <v>46.865000000000002</v>
      </c>
      <c r="CH118" s="54">
        <f t="shared" si="43"/>
        <v>20.085000000000001</v>
      </c>
      <c r="CI118" s="54">
        <f t="shared" si="43"/>
        <v>20.085000000000001</v>
      </c>
      <c r="CJ118" s="74">
        <f t="shared" si="39"/>
        <v>267.80000000000007</v>
      </c>
      <c r="CK118" s="59">
        <f t="shared" si="54"/>
        <v>20</v>
      </c>
      <c r="CL118" s="9">
        <f t="shared" si="55"/>
        <v>0</v>
      </c>
      <c r="CM118" s="71">
        <f t="shared" si="50"/>
        <v>267.8</v>
      </c>
      <c r="CN118" s="54"/>
      <c r="CO118" s="73"/>
      <c r="CP118" s="56"/>
    </row>
    <row r="119" spans="1:94" ht="20.25" customHeight="1">
      <c r="A119" s="75" t="s">
        <v>333</v>
      </c>
      <c r="B119" s="1" t="s">
        <v>334</v>
      </c>
      <c r="C119" s="1" t="s">
        <v>335</v>
      </c>
      <c r="D119" s="58">
        <f>+VLOOKUP(A119,'[1]BDD-Avk Tx'!B:CE,82,0)</f>
        <v>810</v>
      </c>
      <c r="E119" s="59">
        <v>200.2</v>
      </c>
      <c r="G119" s="4">
        <v>41153</v>
      </c>
      <c r="H119" s="4">
        <f t="shared" si="44"/>
        <v>45647</v>
      </c>
      <c r="I119" s="60" t="str">
        <f>+VLOOKUP(A119,'[1]BDD-Avk Tx'!B:BZ,77,0)</f>
        <v>CDI</v>
      </c>
      <c r="J119" s="4">
        <f t="shared" si="45"/>
        <v>45647</v>
      </c>
      <c r="N119" s="3"/>
      <c r="P119" s="54">
        <f t="shared" si="51"/>
        <v>13.25</v>
      </c>
      <c r="Q119" s="61">
        <v>0</v>
      </c>
      <c r="R119" s="62">
        <f t="shared" si="52"/>
        <v>20</v>
      </c>
      <c r="S119" s="54">
        <f t="shared" si="57"/>
        <v>1.5</v>
      </c>
      <c r="T119" s="54">
        <f t="shared" si="57"/>
        <v>1.5</v>
      </c>
      <c r="U119" s="54">
        <f t="shared" si="57"/>
        <v>1.5</v>
      </c>
      <c r="V119" s="54">
        <f t="shared" si="57"/>
        <v>1.5</v>
      </c>
      <c r="W119" s="54">
        <f t="shared" si="57"/>
        <v>1.5</v>
      </c>
      <c r="X119" s="54">
        <f t="shared" si="57"/>
        <v>1.5</v>
      </c>
      <c r="Y119" s="54">
        <f t="shared" si="57"/>
        <v>1.5</v>
      </c>
      <c r="Z119" s="54">
        <f t="shared" si="57"/>
        <v>1.5</v>
      </c>
      <c r="AA119" s="54">
        <f t="shared" si="57"/>
        <v>1.5</v>
      </c>
      <c r="AB119" s="54">
        <f t="shared" si="57"/>
        <v>3.5</v>
      </c>
      <c r="AC119" s="54">
        <f t="shared" si="57"/>
        <v>1.5</v>
      </c>
      <c r="AD119" s="54">
        <f t="shared" si="57"/>
        <v>1.5</v>
      </c>
      <c r="AF119" s="62">
        <f t="shared" si="60"/>
        <v>0</v>
      </c>
      <c r="AG119" s="64">
        <v>0</v>
      </c>
      <c r="AH119" s="64">
        <v>0</v>
      </c>
      <c r="AI119" s="65">
        <v>0</v>
      </c>
      <c r="AJ119" s="66"/>
      <c r="AK119" s="64"/>
      <c r="AL119" s="64"/>
      <c r="AM119" s="64"/>
      <c r="AN119" s="64"/>
      <c r="AO119" s="64"/>
      <c r="AP119" s="64"/>
      <c r="AQ119" s="64"/>
      <c r="AR119" s="64"/>
      <c r="AS119" s="67">
        <f t="shared" si="47"/>
        <v>20</v>
      </c>
      <c r="AT119" s="68"/>
      <c r="AU119" s="69">
        <v>-3.0153846153845905</v>
      </c>
      <c r="AV119" s="62">
        <f t="shared" si="40"/>
        <v>154</v>
      </c>
      <c r="AW119" s="54">
        <f t="shared" si="42"/>
        <v>11.549999999999999</v>
      </c>
      <c r="AX119" s="54">
        <f t="shared" si="42"/>
        <v>11.549999999999999</v>
      </c>
      <c r="AY119" s="54">
        <f t="shared" si="42"/>
        <v>11.549999999999999</v>
      </c>
      <c r="AZ119" s="54">
        <f t="shared" si="42"/>
        <v>11.549999999999999</v>
      </c>
      <c r="BA119" s="54">
        <f t="shared" si="42"/>
        <v>11.549999999999999</v>
      </c>
      <c r="BB119" s="54">
        <f t="shared" si="42"/>
        <v>11.549999999999999</v>
      </c>
      <c r="BC119" s="54">
        <f t="shared" si="59"/>
        <v>11.549999999999999</v>
      </c>
      <c r="BD119" s="54">
        <f t="shared" si="59"/>
        <v>11.549999999999999</v>
      </c>
      <c r="BE119" s="54">
        <f t="shared" si="59"/>
        <v>11.549999999999999</v>
      </c>
      <c r="BF119" s="54">
        <f t="shared" si="59"/>
        <v>26.949999999999996</v>
      </c>
      <c r="BG119" s="54">
        <f t="shared" si="59"/>
        <v>11.549999999999999</v>
      </c>
      <c r="BH119" s="54">
        <f t="shared" si="59"/>
        <v>11.549999999999999</v>
      </c>
      <c r="BI119" s="62">
        <f t="shared" si="37"/>
        <v>0</v>
      </c>
      <c r="BJ119" s="59">
        <f t="shared" si="62"/>
        <v>0</v>
      </c>
      <c r="BK119" s="59">
        <f t="shared" si="62"/>
        <v>0</v>
      </c>
      <c r="BL119" s="59">
        <f t="shared" si="62"/>
        <v>0</v>
      </c>
      <c r="BM119" s="59">
        <f t="shared" si="62"/>
        <v>0</v>
      </c>
      <c r="BN119" s="59">
        <f t="shared" si="62"/>
        <v>0</v>
      </c>
      <c r="BO119" s="59">
        <f t="shared" si="62"/>
        <v>0</v>
      </c>
      <c r="BP119" s="59">
        <f t="shared" si="61"/>
        <v>0</v>
      </c>
      <c r="BQ119" s="59">
        <f t="shared" si="61"/>
        <v>0</v>
      </c>
      <c r="BR119" s="59">
        <f t="shared" si="61"/>
        <v>0</v>
      </c>
      <c r="BS119" s="59">
        <f t="shared" si="61"/>
        <v>0</v>
      </c>
      <c r="BT119" s="59">
        <f t="shared" si="61"/>
        <v>0</v>
      </c>
      <c r="BU119" s="59">
        <f t="shared" si="61"/>
        <v>0</v>
      </c>
      <c r="BV119" s="67">
        <f t="shared" si="48"/>
        <v>150.98461538461541</v>
      </c>
      <c r="BX119" s="54">
        <f t="shared" si="53"/>
        <v>15.015000000000001</v>
      </c>
      <c r="BY119" s="54">
        <f t="shared" si="53"/>
        <v>15.015000000000001</v>
      </c>
      <c r="BZ119" s="54">
        <f t="shared" si="53"/>
        <v>15.015000000000001</v>
      </c>
      <c r="CA119" s="54">
        <f t="shared" si="53"/>
        <v>15.015000000000001</v>
      </c>
      <c r="CB119" s="54">
        <f t="shared" si="53"/>
        <v>15.015000000000001</v>
      </c>
      <c r="CC119" s="54">
        <f t="shared" si="53"/>
        <v>15.015000000000001</v>
      </c>
      <c r="CD119" s="54">
        <f t="shared" si="63"/>
        <v>15.015000000000001</v>
      </c>
      <c r="CE119" s="54">
        <f t="shared" si="63"/>
        <v>15.015000000000001</v>
      </c>
      <c r="CF119" s="54">
        <f t="shared" si="63"/>
        <v>15.015000000000001</v>
      </c>
      <c r="CG119" s="54">
        <f t="shared" si="43"/>
        <v>35.034999999999997</v>
      </c>
      <c r="CH119" s="54">
        <f t="shared" si="43"/>
        <v>15.015000000000001</v>
      </c>
      <c r="CI119" s="54">
        <f t="shared" si="43"/>
        <v>15.015000000000001</v>
      </c>
      <c r="CJ119" s="74">
        <f t="shared" si="39"/>
        <v>200.2</v>
      </c>
      <c r="CK119" s="59">
        <f t="shared" si="54"/>
        <v>20</v>
      </c>
      <c r="CL119" s="9">
        <f t="shared" si="55"/>
        <v>0</v>
      </c>
      <c r="CM119" s="71">
        <f t="shared" si="50"/>
        <v>200.2</v>
      </c>
      <c r="CN119" s="72"/>
      <c r="CO119" s="73"/>
    </row>
    <row r="120" spans="1:94" ht="20.25" customHeight="1">
      <c r="A120" s="1" t="s">
        <v>336</v>
      </c>
      <c r="B120" s="1" t="s">
        <v>337</v>
      </c>
      <c r="C120" s="1" t="s">
        <v>335</v>
      </c>
      <c r="D120" s="58">
        <f>+VLOOKUP(A120,'[1]BDD-Avk Tx'!B:CE,82,0)</f>
        <v>810</v>
      </c>
      <c r="E120" s="59">
        <v>200.2</v>
      </c>
      <c r="G120" s="4">
        <v>41153</v>
      </c>
      <c r="H120" s="4">
        <f t="shared" si="44"/>
        <v>45647</v>
      </c>
      <c r="I120" s="60" t="str">
        <f>+VLOOKUP(A120,'[1]BDD-Avk Tx'!B:BZ,77,0)</f>
        <v>CDI</v>
      </c>
      <c r="J120" s="4">
        <f t="shared" si="45"/>
        <v>45647</v>
      </c>
      <c r="N120" s="3"/>
      <c r="P120" s="54">
        <f t="shared" si="51"/>
        <v>13.25</v>
      </c>
      <c r="Q120" s="61">
        <v>0</v>
      </c>
      <c r="R120" s="62">
        <f t="shared" si="52"/>
        <v>20</v>
      </c>
      <c r="S120" s="54">
        <f t="shared" si="57"/>
        <v>1.5</v>
      </c>
      <c r="T120" s="54">
        <f t="shared" si="57"/>
        <v>1.5</v>
      </c>
      <c r="U120" s="54">
        <f t="shared" si="57"/>
        <v>1.5</v>
      </c>
      <c r="V120" s="54">
        <f t="shared" si="57"/>
        <v>1.5</v>
      </c>
      <c r="W120" s="54">
        <f t="shared" si="57"/>
        <v>1.5</v>
      </c>
      <c r="X120" s="54">
        <f t="shared" si="57"/>
        <v>1.5</v>
      </c>
      <c r="Y120" s="54">
        <f t="shared" si="57"/>
        <v>1.5</v>
      </c>
      <c r="Z120" s="54">
        <f t="shared" si="57"/>
        <v>1.5</v>
      </c>
      <c r="AA120" s="54">
        <f t="shared" si="57"/>
        <v>1.5</v>
      </c>
      <c r="AB120" s="54">
        <f t="shared" si="57"/>
        <v>3.5</v>
      </c>
      <c r="AC120" s="54">
        <f t="shared" si="57"/>
        <v>1.5</v>
      </c>
      <c r="AD120" s="54">
        <f t="shared" si="57"/>
        <v>1.5</v>
      </c>
      <c r="AF120" s="62">
        <f t="shared" si="60"/>
        <v>0</v>
      </c>
      <c r="AG120" s="64">
        <v>0</v>
      </c>
      <c r="AH120" s="64">
        <v>0</v>
      </c>
      <c r="AI120" s="65">
        <v>0</v>
      </c>
      <c r="AJ120" s="66"/>
      <c r="AK120" s="64"/>
      <c r="AL120" s="64"/>
      <c r="AM120" s="64"/>
      <c r="AN120" s="64"/>
      <c r="AO120" s="64"/>
      <c r="AP120" s="64"/>
      <c r="AQ120" s="64"/>
      <c r="AR120" s="64"/>
      <c r="AS120" s="67">
        <f t="shared" si="47"/>
        <v>20</v>
      </c>
      <c r="AT120" s="68"/>
      <c r="AU120" s="69">
        <v>-3.0153846153845905</v>
      </c>
      <c r="AV120" s="62">
        <f t="shared" si="40"/>
        <v>154</v>
      </c>
      <c r="AW120" s="54">
        <f t="shared" si="42"/>
        <v>11.549999999999999</v>
      </c>
      <c r="AX120" s="54">
        <f t="shared" si="42"/>
        <v>11.549999999999999</v>
      </c>
      <c r="AY120" s="54">
        <f t="shared" si="42"/>
        <v>11.549999999999999</v>
      </c>
      <c r="AZ120" s="54">
        <f t="shared" si="42"/>
        <v>11.549999999999999</v>
      </c>
      <c r="BA120" s="54">
        <f t="shared" si="42"/>
        <v>11.549999999999999</v>
      </c>
      <c r="BB120" s="54">
        <f t="shared" si="42"/>
        <v>11.549999999999999</v>
      </c>
      <c r="BC120" s="54">
        <f t="shared" si="59"/>
        <v>11.549999999999999</v>
      </c>
      <c r="BD120" s="54">
        <f t="shared" si="59"/>
        <v>11.549999999999999</v>
      </c>
      <c r="BE120" s="54">
        <f t="shared" si="59"/>
        <v>11.549999999999999</v>
      </c>
      <c r="BF120" s="54">
        <f t="shared" si="59"/>
        <v>26.949999999999996</v>
      </c>
      <c r="BG120" s="54">
        <f t="shared" si="59"/>
        <v>11.549999999999999</v>
      </c>
      <c r="BH120" s="54">
        <f t="shared" si="59"/>
        <v>11.549999999999999</v>
      </c>
      <c r="BI120" s="62">
        <f t="shared" si="37"/>
        <v>0</v>
      </c>
      <c r="BJ120" s="59">
        <f t="shared" si="62"/>
        <v>0</v>
      </c>
      <c r="BK120" s="59">
        <f t="shared" si="62"/>
        <v>0</v>
      </c>
      <c r="BL120" s="59">
        <f t="shared" si="62"/>
        <v>0</v>
      </c>
      <c r="BM120" s="59">
        <f t="shared" si="62"/>
        <v>0</v>
      </c>
      <c r="BN120" s="59">
        <f t="shared" si="62"/>
        <v>0</v>
      </c>
      <c r="BO120" s="59">
        <f t="shared" si="62"/>
        <v>0</v>
      </c>
      <c r="BP120" s="59">
        <f t="shared" si="61"/>
        <v>0</v>
      </c>
      <c r="BQ120" s="59">
        <f t="shared" si="61"/>
        <v>0</v>
      </c>
      <c r="BR120" s="59">
        <f t="shared" si="61"/>
        <v>0</v>
      </c>
      <c r="BS120" s="59">
        <f t="shared" si="61"/>
        <v>0</v>
      </c>
      <c r="BT120" s="59">
        <f t="shared" si="61"/>
        <v>0</v>
      </c>
      <c r="BU120" s="59">
        <f t="shared" si="61"/>
        <v>0</v>
      </c>
      <c r="BV120" s="67">
        <f t="shared" si="48"/>
        <v>150.98461538461541</v>
      </c>
      <c r="BX120" s="54">
        <f t="shared" si="53"/>
        <v>15.015000000000001</v>
      </c>
      <c r="BY120" s="54">
        <f t="shared" si="53"/>
        <v>15.015000000000001</v>
      </c>
      <c r="BZ120" s="54">
        <f t="shared" si="53"/>
        <v>15.015000000000001</v>
      </c>
      <c r="CA120" s="54">
        <f t="shared" si="53"/>
        <v>15.015000000000001</v>
      </c>
      <c r="CB120" s="54">
        <f t="shared" si="53"/>
        <v>15.015000000000001</v>
      </c>
      <c r="CC120" s="54">
        <f t="shared" si="53"/>
        <v>15.015000000000001</v>
      </c>
      <c r="CD120" s="54">
        <f t="shared" si="63"/>
        <v>15.015000000000001</v>
      </c>
      <c r="CE120" s="54">
        <f t="shared" si="63"/>
        <v>15.015000000000001</v>
      </c>
      <c r="CF120" s="54">
        <f t="shared" si="63"/>
        <v>15.015000000000001</v>
      </c>
      <c r="CG120" s="54">
        <f t="shared" si="43"/>
        <v>35.034999999999997</v>
      </c>
      <c r="CH120" s="54">
        <f t="shared" si="43"/>
        <v>15.015000000000001</v>
      </c>
      <c r="CI120" s="54">
        <f t="shared" si="43"/>
        <v>15.015000000000001</v>
      </c>
      <c r="CJ120" s="74">
        <f t="shared" si="39"/>
        <v>200.2</v>
      </c>
      <c r="CK120" s="59">
        <f t="shared" si="54"/>
        <v>20</v>
      </c>
      <c r="CL120" s="9">
        <f t="shared" si="55"/>
        <v>0</v>
      </c>
      <c r="CM120" s="71">
        <f t="shared" si="50"/>
        <v>200.2</v>
      </c>
      <c r="CN120" s="54"/>
      <c r="CO120" s="73"/>
      <c r="CP120" s="56"/>
    </row>
    <row r="121" spans="1:94" ht="20.25" customHeight="1">
      <c r="A121" s="75" t="s">
        <v>338</v>
      </c>
      <c r="B121" s="1" t="s">
        <v>339</v>
      </c>
      <c r="C121" s="1" t="s">
        <v>335</v>
      </c>
      <c r="D121" s="58">
        <f>+VLOOKUP(A121,'[1]BDD-Avk Tx'!B:CE,82,0)</f>
        <v>810</v>
      </c>
      <c r="E121" s="59">
        <v>200.2</v>
      </c>
      <c r="G121" s="4">
        <v>41153</v>
      </c>
      <c r="H121" s="4">
        <f t="shared" si="44"/>
        <v>45647</v>
      </c>
      <c r="I121" s="60" t="str">
        <f>+VLOOKUP(A121,'[1]BDD-Avk Tx'!B:BZ,77,0)</f>
        <v>CDI</v>
      </c>
      <c r="J121" s="4">
        <f t="shared" si="45"/>
        <v>45647</v>
      </c>
      <c r="N121" s="3"/>
      <c r="P121" s="54">
        <f t="shared" si="51"/>
        <v>13.25</v>
      </c>
      <c r="Q121" s="61">
        <v>0</v>
      </c>
      <c r="R121" s="62">
        <f t="shared" si="52"/>
        <v>20</v>
      </c>
      <c r="S121" s="54">
        <f t="shared" si="57"/>
        <v>1.5</v>
      </c>
      <c r="T121" s="54">
        <f t="shared" si="57"/>
        <v>1.5</v>
      </c>
      <c r="U121" s="54">
        <f t="shared" si="57"/>
        <v>1.5</v>
      </c>
      <c r="V121" s="54">
        <f t="shared" si="57"/>
        <v>1.5</v>
      </c>
      <c r="W121" s="54">
        <f t="shared" si="57"/>
        <v>1.5</v>
      </c>
      <c r="X121" s="54">
        <f t="shared" si="57"/>
        <v>1.5</v>
      </c>
      <c r="Y121" s="54">
        <f t="shared" si="57"/>
        <v>1.5</v>
      </c>
      <c r="Z121" s="54">
        <f t="shared" si="57"/>
        <v>1.5</v>
      </c>
      <c r="AA121" s="54">
        <f t="shared" si="57"/>
        <v>1.5</v>
      </c>
      <c r="AB121" s="54">
        <f t="shared" si="57"/>
        <v>3.5</v>
      </c>
      <c r="AC121" s="54">
        <f t="shared" si="57"/>
        <v>1.5</v>
      </c>
      <c r="AD121" s="54">
        <f t="shared" si="57"/>
        <v>1.5</v>
      </c>
      <c r="AF121" s="62">
        <f t="shared" si="60"/>
        <v>0</v>
      </c>
      <c r="AG121" s="64">
        <v>0</v>
      </c>
      <c r="AH121" s="64">
        <v>0</v>
      </c>
      <c r="AI121" s="65">
        <v>0</v>
      </c>
      <c r="AJ121" s="66"/>
      <c r="AK121" s="64"/>
      <c r="AL121" s="64"/>
      <c r="AM121" s="64"/>
      <c r="AN121" s="64"/>
      <c r="AO121" s="64"/>
      <c r="AP121" s="64"/>
      <c r="AQ121" s="64"/>
      <c r="AR121" s="64"/>
      <c r="AS121" s="67">
        <f t="shared" si="47"/>
        <v>20</v>
      </c>
      <c r="AT121" s="68"/>
      <c r="AU121" s="69">
        <v>-3.0153846153845905</v>
      </c>
      <c r="AV121" s="62">
        <f t="shared" si="40"/>
        <v>154</v>
      </c>
      <c r="AW121" s="54">
        <f t="shared" si="42"/>
        <v>11.549999999999999</v>
      </c>
      <c r="AX121" s="54">
        <f t="shared" si="42"/>
        <v>11.549999999999999</v>
      </c>
      <c r="AY121" s="54">
        <f t="shared" si="42"/>
        <v>11.549999999999999</v>
      </c>
      <c r="AZ121" s="54">
        <f t="shared" si="42"/>
        <v>11.549999999999999</v>
      </c>
      <c r="BA121" s="54">
        <f t="shared" si="42"/>
        <v>11.549999999999999</v>
      </c>
      <c r="BB121" s="54">
        <f t="shared" si="42"/>
        <v>11.549999999999999</v>
      </c>
      <c r="BC121" s="54">
        <f t="shared" si="59"/>
        <v>11.549999999999999</v>
      </c>
      <c r="BD121" s="54">
        <f t="shared" si="59"/>
        <v>11.549999999999999</v>
      </c>
      <c r="BE121" s="54">
        <f t="shared" si="59"/>
        <v>11.549999999999999</v>
      </c>
      <c r="BF121" s="54">
        <f t="shared" si="59"/>
        <v>26.949999999999996</v>
      </c>
      <c r="BG121" s="54">
        <f t="shared" si="59"/>
        <v>11.549999999999999</v>
      </c>
      <c r="BH121" s="54">
        <f t="shared" si="59"/>
        <v>11.549999999999999</v>
      </c>
      <c r="BI121" s="62">
        <f t="shared" si="37"/>
        <v>0</v>
      </c>
      <c r="BJ121" s="59">
        <f t="shared" si="62"/>
        <v>0</v>
      </c>
      <c r="BK121" s="59">
        <f t="shared" si="62"/>
        <v>0</v>
      </c>
      <c r="BL121" s="59">
        <f t="shared" si="62"/>
        <v>0</v>
      </c>
      <c r="BM121" s="59">
        <f t="shared" si="62"/>
        <v>0</v>
      </c>
      <c r="BN121" s="59">
        <f t="shared" si="62"/>
        <v>0</v>
      </c>
      <c r="BO121" s="59">
        <f t="shared" si="62"/>
        <v>0</v>
      </c>
      <c r="BP121" s="59">
        <f t="shared" si="61"/>
        <v>0</v>
      </c>
      <c r="BQ121" s="59">
        <f t="shared" si="61"/>
        <v>0</v>
      </c>
      <c r="BR121" s="59">
        <f t="shared" si="61"/>
        <v>0</v>
      </c>
      <c r="BS121" s="59">
        <f t="shared" si="61"/>
        <v>0</v>
      </c>
      <c r="BT121" s="59">
        <f t="shared" si="61"/>
        <v>0</v>
      </c>
      <c r="BU121" s="59">
        <f t="shared" si="61"/>
        <v>0</v>
      </c>
      <c r="BV121" s="67">
        <f t="shared" si="48"/>
        <v>150.98461538461541</v>
      </c>
      <c r="BX121" s="54">
        <f t="shared" si="53"/>
        <v>15.015000000000001</v>
      </c>
      <c r="BY121" s="54">
        <f t="shared" si="53"/>
        <v>15.015000000000001</v>
      </c>
      <c r="BZ121" s="54">
        <f t="shared" si="53"/>
        <v>15.015000000000001</v>
      </c>
      <c r="CA121" s="54">
        <f t="shared" si="53"/>
        <v>15.015000000000001</v>
      </c>
      <c r="CB121" s="54">
        <f t="shared" si="53"/>
        <v>15.015000000000001</v>
      </c>
      <c r="CC121" s="54">
        <f t="shared" si="53"/>
        <v>15.015000000000001</v>
      </c>
      <c r="CD121" s="54">
        <f t="shared" si="63"/>
        <v>15.015000000000001</v>
      </c>
      <c r="CE121" s="54">
        <f t="shared" si="63"/>
        <v>15.015000000000001</v>
      </c>
      <c r="CF121" s="54">
        <f t="shared" si="63"/>
        <v>15.015000000000001</v>
      </c>
      <c r="CG121" s="54">
        <f t="shared" si="43"/>
        <v>35.034999999999997</v>
      </c>
      <c r="CH121" s="54">
        <f t="shared" si="43"/>
        <v>15.015000000000001</v>
      </c>
      <c r="CI121" s="54">
        <f t="shared" si="43"/>
        <v>15.015000000000001</v>
      </c>
      <c r="CJ121" s="74">
        <f t="shared" si="39"/>
        <v>200.2</v>
      </c>
      <c r="CK121" s="59">
        <f t="shared" si="54"/>
        <v>20</v>
      </c>
      <c r="CL121" s="9">
        <f t="shared" si="55"/>
        <v>0</v>
      </c>
      <c r="CM121" s="71">
        <f t="shared" si="50"/>
        <v>200.2</v>
      </c>
      <c r="CN121" s="72"/>
      <c r="CO121" s="73"/>
    </row>
    <row r="122" spans="1:94" ht="20.25" customHeight="1">
      <c r="A122" s="1" t="s">
        <v>340</v>
      </c>
      <c r="B122" s="1" t="s">
        <v>341</v>
      </c>
      <c r="C122" s="1" t="s">
        <v>335</v>
      </c>
      <c r="D122" s="58">
        <f>+VLOOKUP(A122,'[1]BDD-Avk Tx'!B:CE,82,0)</f>
        <v>810</v>
      </c>
      <c r="E122" s="59">
        <v>200.2</v>
      </c>
      <c r="G122" s="4">
        <v>41153</v>
      </c>
      <c r="H122" s="4">
        <f t="shared" si="44"/>
        <v>45647</v>
      </c>
      <c r="I122" s="60" t="str">
        <f>+VLOOKUP(A122,'[1]BDD-Avk Tx'!B:BZ,77,0)</f>
        <v>CDI</v>
      </c>
      <c r="J122" s="4">
        <f t="shared" si="45"/>
        <v>45647</v>
      </c>
      <c r="N122" s="3"/>
      <c r="P122" s="54">
        <f t="shared" si="51"/>
        <v>13.25</v>
      </c>
      <c r="Q122" s="61">
        <v>1</v>
      </c>
      <c r="R122" s="62">
        <f t="shared" si="52"/>
        <v>20</v>
      </c>
      <c r="S122" s="54">
        <f t="shared" si="57"/>
        <v>1.5</v>
      </c>
      <c r="T122" s="54">
        <f t="shared" si="57"/>
        <v>1.5</v>
      </c>
      <c r="U122" s="54">
        <f t="shared" si="57"/>
        <v>1.5</v>
      </c>
      <c r="V122" s="54">
        <f t="shared" si="57"/>
        <v>1.5</v>
      </c>
      <c r="W122" s="54">
        <f t="shared" si="57"/>
        <v>1.5</v>
      </c>
      <c r="X122" s="54">
        <f t="shared" si="57"/>
        <v>1.5</v>
      </c>
      <c r="Y122" s="54">
        <f t="shared" si="57"/>
        <v>1.5</v>
      </c>
      <c r="Z122" s="54">
        <f t="shared" si="57"/>
        <v>1.5</v>
      </c>
      <c r="AA122" s="54">
        <f t="shared" si="57"/>
        <v>1.5</v>
      </c>
      <c r="AB122" s="54">
        <f t="shared" si="57"/>
        <v>3.5</v>
      </c>
      <c r="AC122" s="54">
        <f t="shared" si="57"/>
        <v>1.5</v>
      </c>
      <c r="AD122" s="54">
        <f t="shared" si="57"/>
        <v>1.5</v>
      </c>
      <c r="AF122" s="62">
        <f t="shared" si="60"/>
        <v>0</v>
      </c>
      <c r="AG122" s="64">
        <v>0</v>
      </c>
      <c r="AH122" s="64">
        <v>0</v>
      </c>
      <c r="AI122" s="65">
        <v>0</v>
      </c>
      <c r="AJ122" s="66"/>
      <c r="AK122" s="64"/>
      <c r="AL122" s="64"/>
      <c r="AM122" s="64"/>
      <c r="AN122" s="64"/>
      <c r="AO122" s="64"/>
      <c r="AP122" s="64"/>
      <c r="AQ122" s="64"/>
      <c r="AR122" s="64"/>
      <c r="AS122" s="67">
        <f t="shared" si="47"/>
        <v>21</v>
      </c>
      <c r="AT122" s="68"/>
      <c r="AU122" s="69">
        <v>8.5615384615385324</v>
      </c>
      <c r="AV122" s="62">
        <f t="shared" si="40"/>
        <v>154</v>
      </c>
      <c r="AW122" s="54">
        <f t="shared" si="42"/>
        <v>11.549999999999999</v>
      </c>
      <c r="AX122" s="54">
        <f t="shared" si="42"/>
        <v>11.549999999999999</v>
      </c>
      <c r="AY122" s="54">
        <f t="shared" si="42"/>
        <v>11.549999999999999</v>
      </c>
      <c r="AZ122" s="54">
        <f t="shared" ref="AZ122:BE185" si="64">+IF($K122="",$E122/26*V122,IF(MONTH($K122)=MONTH(AZ$5),$L122/26*V122,IF(AND($K122&lt;AZ$5,(MONTH($K122)&lt;&gt;MONTH(AZ$5))),$L122/26*V122,$E122/26*V122)))</f>
        <v>11.549999999999999</v>
      </c>
      <c r="BA122" s="54">
        <f t="shared" si="64"/>
        <v>11.549999999999999</v>
      </c>
      <c r="BB122" s="54">
        <f t="shared" si="64"/>
        <v>11.549999999999999</v>
      </c>
      <c r="BC122" s="54">
        <f t="shared" si="59"/>
        <v>11.549999999999999</v>
      </c>
      <c r="BD122" s="54">
        <f t="shared" si="59"/>
        <v>11.549999999999999</v>
      </c>
      <c r="BE122" s="54">
        <f t="shared" si="59"/>
        <v>11.549999999999999</v>
      </c>
      <c r="BF122" s="54">
        <f t="shared" si="59"/>
        <v>26.949999999999996</v>
      </c>
      <c r="BG122" s="54">
        <f t="shared" si="59"/>
        <v>11.549999999999999</v>
      </c>
      <c r="BH122" s="54">
        <f t="shared" si="59"/>
        <v>11.549999999999999</v>
      </c>
      <c r="BI122" s="62">
        <f t="shared" si="37"/>
        <v>0</v>
      </c>
      <c r="BJ122" s="59">
        <f t="shared" si="62"/>
        <v>0</v>
      </c>
      <c r="BK122" s="59">
        <f t="shared" si="62"/>
        <v>0</v>
      </c>
      <c r="BL122" s="59">
        <f t="shared" si="62"/>
        <v>0</v>
      </c>
      <c r="BM122" s="59">
        <f t="shared" si="62"/>
        <v>0</v>
      </c>
      <c r="BN122" s="59">
        <f t="shared" si="62"/>
        <v>0</v>
      </c>
      <c r="BO122" s="59">
        <f t="shared" si="62"/>
        <v>0</v>
      </c>
      <c r="BP122" s="59">
        <f t="shared" si="62"/>
        <v>0</v>
      </c>
      <c r="BQ122" s="59">
        <f t="shared" si="62"/>
        <v>0</v>
      </c>
      <c r="BR122" s="59">
        <f t="shared" si="62"/>
        <v>0</v>
      </c>
      <c r="BS122" s="59">
        <f t="shared" si="61"/>
        <v>0</v>
      </c>
      <c r="BT122" s="59">
        <f t="shared" si="61"/>
        <v>0</v>
      </c>
      <c r="BU122" s="59">
        <f t="shared" si="61"/>
        <v>0</v>
      </c>
      <c r="BV122" s="67">
        <f t="shared" si="48"/>
        <v>162.56153846153853</v>
      </c>
      <c r="BX122" s="54">
        <f t="shared" si="53"/>
        <v>15.015000000000001</v>
      </c>
      <c r="BY122" s="54">
        <f t="shared" si="53"/>
        <v>15.015000000000001</v>
      </c>
      <c r="BZ122" s="54">
        <f t="shared" si="53"/>
        <v>15.015000000000001</v>
      </c>
      <c r="CA122" s="54">
        <f t="shared" si="53"/>
        <v>15.015000000000001</v>
      </c>
      <c r="CB122" s="54">
        <f t="shared" si="53"/>
        <v>15.015000000000001</v>
      </c>
      <c r="CC122" s="54">
        <f t="shared" si="53"/>
        <v>15.015000000000001</v>
      </c>
      <c r="CD122" s="54">
        <f t="shared" si="63"/>
        <v>15.015000000000001</v>
      </c>
      <c r="CE122" s="54">
        <f t="shared" si="63"/>
        <v>15.015000000000001</v>
      </c>
      <c r="CF122" s="54">
        <f t="shared" si="63"/>
        <v>15.015000000000001</v>
      </c>
      <c r="CG122" s="54">
        <f t="shared" si="43"/>
        <v>35.034999999999997</v>
      </c>
      <c r="CH122" s="54">
        <f t="shared" si="43"/>
        <v>15.015000000000001</v>
      </c>
      <c r="CI122" s="54">
        <f t="shared" si="43"/>
        <v>15.015000000000001</v>
      </c>
      <c r="CJ122" s="74">
        <f t="shared" si="39"/>
        <v>200.2</v>
      </c>
      <c r="CK122" s="59">
        <f t="shared" si="54"/>
        <v>20</v>
      </c>
      <c r="CL122" s="9">
        <f t="shared" si="55"/>
        <v>0</v>
      </c>
      <c r="CM122" s="71">
        <f t="shared" si="50"/>
        <v>200.2</v>
      </c>
      <c r="CN122" s="54"/>
      <c r="CO122" s="73"/>
      <c r="CP122" s="56"/>
    </row>
    <row r="123" spans="1:94" ht="20.25" customHeight="1">
      <c r="A123" s="75" t="s">
        <v>342</v>
      </c>
      <c r="B123" s="1" t="s">
        <v>343</v>
      </c>
      <c r="C123" s="1" t="s">
        <v>344</v>
      </c>
      <c r="D123" s="58">
        <f>+VLOOKUP(A123,'[1]BDD-Avk Tx'!B:CE,82,0)</f>
        <v>810</v>
      </c>
      <c r="E123" s="59">
        <v>308.10000000000002</v>
      </c>
      <c r="G123" s="4">
        <v>41153</v>
      </c>
      <c r="H123" s="4">
        <f t="shared" si="44"/>
        <v>45647</v>
      </c>
      <c r="I123" s="60" t="str">
        <f>+VLOOKUP(A123,'[1]BDD-Avk Tx'!B:BZ,77,0)</f>
        <v>CDI</v>
      </c>
      <c r="J123" s="4">
        <f t="shared" si="45"/>
        <v>45647</v>
      </c>
      <c r="N123" s="3"/>
      <c r="P123" s="54">
        <f t="shared" si="51"/>
        <v>13.25</v>
      </c>
      <c r="Q123" s="61">
        <v>0</v>
      </c>
      <c r="R123" s="62">
        <f t="shared" si="52"/>
        <v>20</v>
      </c>
      <c r="S123" s="54">
        <f t="shared" si="57"/>
        <v>1.5</v>
      </c>
      <c r="T123" s="54">
        <f t="shared" si="57"/>
        <v>1.5</v>
      </c>
      <c r="U123" s="54">
        <f t="shared" si="57"/>
        <v>1.5</v>
      </c>
      <c r="V123" s="54">
        <f t="shared" si="57"/>
        <v>1.5</v>
      </c>
      <c r="W123" s="54">
        <f t="shared" si="57"/>
        <v>1.5</v>
      </c>
      <c r="X123" s="54">
        <f t="shared" si="57"/>
        <v>1.5</v>
      </c>
      <c r="Y123" s="54">
        <f t="shared" si="57"/>
        <v>1.5</v>
      </c>
      <c r="Z123" s="54">
        <f t="shared" si="57"/>
        <v>1.5</v>
      </c>
      <c r="AA123" s="54">
        <f t="shared" si="57"/>
        <v>1.5</v>
      </c>
      <c r="AB123" s="54">
        <f t="shared" si="57"/>
        <v>3.5</v>
      </c>
      <c r="AC123" s="54">
        <f t="shared" si="57"/>
        <v>1.5</v>
      </c>
      <c r="AD123" s="54">
        <f t="shared" si="57"/>
        <v>1.5</v>
      </c>
      <c r="AF123" s="62">
        <f t="shared" si="60"/>
        <v>0</v>
      </c>
      <c r="AG123" s="64">
        <v>0</v>
      </c>
      <c r="AH123" s="64">
        <v>0</v>
      </c>
      <c r="AI123" s="65">
        <v>0</v>
      </c>
      <c r="AJ123" s="66"/>
      <c r="AK123" s="64"/>
      <c r="AL123" s="64"/>
      <c r="AM123" s="64"/>
      <c r="AN123" s="64"/>
      <c r="AO123" s="64"/>
      <c r="AP123" s="64"/>
      <c r="AQ123" s="64"/>
      <c r="AR123" s="64"/>
      <c r="AS123" s="67">
        <f t="shared" si="47"/>
        <v>20</v>
      </c>
      <c r="AT123" s="68"/>
      <c r="AU123" s="69">
        <v>-7.6469230769230592</v>
      </c>
      <c r="AV123" s="62">
        <f t="shared" si="40"/>
        <v>237.00000000000006</v>
      </c>
      <c r="AW123" s="54">
        <f t="shared" ref="AW123:BB186" si="65">+IF($K123="",$E123/26*S123,IF(MONTH($K123)=MONTH(AW$5),$L123/26*S123,IF(AND($K123&lt;AW$5,(MONTH($K123)&lt;&gt;MONTH(AW$5))),$L123/26*S123,$E123/26*S123)))</f>
        <v>17.775000000000002</v>
      </c>
      <c r="AX123" s="54">
        <f t="shared" si="65"/>
        <v>17.775000000000002</v>
      </c>
      <c r="AY123" s="54">
        <f t="shared" si="65"/>
        <v>17.775000000000002</v>
      </c>
      <c r="AZ123" s="54">
        <f t="shared" si="64"/>
        <v>17.775000000000002</v>
      </c>
      <c r="BA123" s="54">
        <f t="shared" si="64"/>
        <v>17.775000000000002</v>
      </c>
      <c r="BB123" s="54">
        <f t="shared" si="64"/>
        <v>17.775000000000002</v>
      </c>
      <c r="BC123" s="54">
        <f t="shared" si="59"/>
        <v>17.775000000000002</v>
      </c>
      <c r="BD123" s="54">
        <f t="shared" si="59"/>
        <v>17.775000000000002</v>
      </c>
      <c r="BE123" s="54">
        <f t="shared" si="59"/>
        <v>17.775000000000002</v>
      </c>
      <c r="BF123" s="54">
        <f t="shared" si="59"/>
        <v>41.475000000000009</v>
      </c>
      <c r="BG123" s="54">
        <f t="shared" si="59"/>
        <v>17.775000000000002</v>
      </c>
      <c r="BH123" s="54">
        <f t="shared" si="59"/>
        <v>17.775000000000002</v>
      </c>
      <c r="BI123" s="62">
        <f t="shared" si="37"/>
        <v>0</v>
      </c>
      <c r="BJ123" s="59">
        <f t="shared" si="62"/>
        <v>0</v>
      </c>
      <c r="BK123" s="59">
        <f t="shared" si="62"/>
        <v>0</v>
      </c>
      <c r="BL123" s="59">
        <f t="shared" si="62"/>
        <v>0</v>
      </c>
      <c r="BM123" s="59">
        <f t="shared" si="62"/>
        <v>0</v>
      </c>
      <c r="BN123" s="59">
        <f t="shared" si="62"/>
        <v>0</v>
      </c>
      <c r="BO123" s="59">
        <f t="shared" si="62"/>
        <v>0</v>
      </c>
      <c r="BP123" s="59">
        <f t="shared" si="62"/>
        <v>0</v>
      </c>
      <c r="BQ123" s="59">
        <f t="shared" si="62"/>
        <v>0</v>
      </c>
      <c r="BR123" s="59">
        <f t="shared" si="62"/>
        <v>0</v>
      </c>
      <c r="BS123" s="59">
        <f t="shared" si="61"/>
        <v>0</v>
      </c>
      <c r="BT123" s="59">
        <f t="shared" si="61"/>
        <v>0</v>
      </c>
      <c r="BU123" s="59">
        <f t="shared" si="61"/>
        <v>0</v>
      </c>
      <c r="BV123" s="67">
        <f t="shared" si="48"/>
        <v>229.353076923077</v>
      </c>
      <c r="BX123" s="54">
        <f t="shared" si="53"/>
        <v>23.107500000000002</v>
      </c>
      <c r="BY123" s="54">
        <f t="shared" si="53"/>
        <v>23.107500000000002</v>
      </c>
      <c r="BZ123" s="54">
        <f t="shared" si="53"/>
        <v>23.107500000000002</v>
      </c>
      <c r="CA123" s="54">
        <f t="shared" si="53"/>
        <v>23.107500000000002</v>
      </c>
      <c r="CB123" s="54">
        <f t="shared" si="53"/>
        <v>23.107500000000002</v>
      </c>
      <c r="CC123" s="54">
        <f t="shared" si="53"/>
        <v>23.107500000000002</v>
      </c>
      <c r="CD123" s="54">
        <f t="shared" si="63"/>
        <v>23.107500000000002</v>
      </c>
      <c r="CE123" s="54">
        <f t="shared" si="63"/>
        <v>23.107500000000002</v>
      </c>
      <c r="CF123" s="54">
        <f t="shared" si="63"/>
        <v>23.107500000000002</v>
      </c>
      <c r="CG123" s="54">
        <f t="shared" si="43"/>
        <v>53.917500000000004</v>
      </c>
      <c r="CH123" s="54">
        <f t="shared" si="43"/>
        <v>23.107500000000002</v>
      </c>
      <c r="CI123" s="54">
        <f t="shared" si="43"/>
        <v>23.107500000000002</v>
      </c>
      <c r="CJ123" s="74">
        <f t="shared" si="39"/>
        <v>308.10000000000008</v>
      </c>
      <c r="CK123" s="59">
        <f t="shared" si="54"/>
        <v>20</v>
      </c>
      <c r="CL123" s="9">
        <f t="shared" si="55"/>
        <v>0</v>
      </c>
      <c r="CM123" s="71">
        <f t="shared" si="50"/>
        <v>308.10000000000002</v>
      </c>
      <c r="CN123" s="72"/>
      <c r="CO123" s="73"/>
    </row>
    <row r="124" spans="1:94" ht="20.25" customHeight="1">
      <c r="A124" s="75" t="s">
        <v>345</v>
      </c>
      <c r="B124" s="1" t="s">
        <v>346</v>
      </c>
      <c r="C124" s="1" t="s">
        <v>335</v>
      </c>
      <c r="D124" s="58">
        <f>+VLOOKUP(A124,'[1]BDD-Avk Tx'!B:CE,82,0)</f>
        <v>810</v>
      </c>
      <c r="E124" s="59">
        <v>231.4</v>
      </c>
      <c r="G124" s="4">
        <v>41275</v>
      </c>
      <c r="H124" s="4">
        <f t="shared" si="44"/>
        <v>45647</v>
      </c>
      <c r="I124" s="60" t="str">
        <f>+VLOOKUP(A124,'[1]BDD-Avk Tx'!B:BZ,77,0)</f>
        <v>CDI</v>
      </c>
      <c r="J124" s="4">
        <f t="shared" si="45"/>
        <v>45647</v>
      </c>
      <c r="N124" s="3"/>
      <c r="P124" s="54">
        <f t="shared" si="51"/>
        <v>12.916666666666666</v>
      </c>
      <c r="Q124" s="61">
        <v>0</v>
      </c>
      <c r="R124" s="62">
        <f t="shared" si="52"/>
        <v>20</v>
      </c>
      <c r="S124" s="54">
        <f t="shared" si="57"/>
        <v>1.5</v>
      </c>
      <c r="T124" s="54">
        <f t="shared" si="57"/>
        <v>3.5</v>
      </c>
      <c r="U124" s="54">
        <f t="shared" si="57"/>
        <v>1.5</v>
      </c>
      <c r="V124" s="54">
        <f t="shared" si="57"/>
        <v>1.5</v>
      </c>
      <c r="W124" s="54">
        <f t="shared" si="57"/>
        <v>1.5</v>
      </c>
      <c r="X124" s="54">
        <f t="shared" ref="T124:AH146" si="66">+IF(AND(AND($O124="",$P124&gt;=10,MONTH($G124)=MONTH(X$5))),1.5+2,+IF(AND(AND($O124="",$P124&gt;=5,MONTH($G124)=MONTH(X$5))),1.5+1,+IF(AND(AND($P124=5,$O124="",MONTH($G124)=MONTH(X$5))),1.5,+IF(AND($H124&gt;X$5,MONTH($H124)=MONTH(X$5)),1.5/30*(X$4-DAY($H124)),+IF(AND(MONTH($H124)&lt;MONTH(X$5),$O124=""),1.5,+IF(AND($H124=$S$5,$O124=""),1.5,IF($O124&lt;X$5,0,IF(MONTH($O124)=MONTH(X$5),1.5/30*($O124-X$5),1.5))))))))</f>
        <v>1.5</v>
      </c>
      <c r="Y124" s="54">
        <f t="shared" si="66"/>
        <v>1.5</v>
      </c>
      <c r="Z124" s="54">
        <f t="shared" si="66"/>
        <v>1.5</v>
      </c>
      <c r="AA124" s="54">
        <f t="shared" si="66"/>
        <v>1.5</v>
      </c>
      <c r="AB124" s="54">
        <f t="shared" si="66"/>
        <v>1.5</v>
      </c>
      <c r="AC124" s="54">
        <f t="shared" si="66"/>
        <v>1.5</v>
      </c>
      <c r="AD124" s="54">
        <f t="shared" si="66"/>
        <v>1.5</v>
      </c>
      <c r="AF124" s="62">
        <f t="shared" si="60"/>
        <v>12</v>
      </c>
      <c r="AG124" s="64">
        <v>0</v>
      </c>
      <c r="AH124" s="64">
        <v>0</v>
      </c>
      <c r="AI124" s="65">
        <v>12</v>
      </c>
      <c r="AJ124" s="66"/>
      <c r="AK124" s="64"/>
      <c r="AL124" s="64"/>
      <c r="AM124" s="64"/>
      <c r="AN124" s="64"/>
      <c r="AO124" s="64"/>
      <c r="AP124" s="64"/>
      <c r="AQ124" s="64"/>
      <c r="AR124" s="64"/>
      <c r="AS124" s="67">
        <f t="shared" si="47"/>
        <v>8</v>
      </c>
      <c r="AT124" s="68"/>
      <c r="AU124" s="69">
        <v>-7.8153846153847439</v>
      </c>
      <c r="AV124" s="62">
        <f t="shared" si="40"/>
        <v>177.99999999999997</v>
      </c>
      <c r="AW124" s="54">
        <f t="shared" si="65"/>
        <v>13.350000000000001</v>
      </c>
      <c r="AX124" s="54">
        <f t="shared" si="65"/>
        <v>31.150000000000002</v>
      </c>
      <c r="AY124" s="54">
        <f t="shared" si="65"/>
        <v>13.350000000000001</v>
      </c>
      <c r="AZ124" s="54">
        <f t="shared" si="64"/>
        <v>13.350000000000001</v>
      </c>
      <c r="BA124" s="54">
        <f t="shared" si="64"/>
        <v>13.350000000000001</v>
      </c>
      <c r="BB124" s="54">
        <f t="shared" si="64"/>
        <v>13.350000000000001</v>
      </c>
      <c r="BC124" s="54">
        <f t="shared" si="59"/>
        <v>13.350000000000001</v>
      </c>
      <c r="BD124" s="54">
        <f t="shared" si="59"/>
        <v>13.350000000000001</v>
      </c>
      <c r="BE124" s="54">
        <f t="shared" si="59"/>
        <v>13.350000000000001</v>
      </c>
      <c r="BF124" s="54">
        <f t="shared" si="59"/>
        <v>13.350000000000001</v>
      </c>
      <c r="BG124" s="54">
        <f t="shared" si="59"/>
        <v>13.350000000000001</v>
      </c>
      <c r="BH124" s="54">
        <f t="shared" si="59"/>
        <v>13.350000000000001</v>
      </c>
      <c r="BI124" s="62">
        <f t="shared" si="37"/>
        <v>-106.80000000000001</v>
      </c>
      <c r="BJ124" s="59">
        <f t="shared" si="62"/>
        <v>0</v>
      </c>
      <c r="BK124" s="59">
        <f t="shared" si="62"/>
        <v>0</v>
      </c>
      <c r="BL124" s="59">
        <f t="shared" si="62"/>
        <v>-106.80000000000001</v>
      </c>
      <c r="BM124" s="59">
        <f t="shared" si="62"/>
        <v>0</v>
      </c>
      <c r="BN124" s="59">
        <f t="shared" si="62"/>
        <v>0</v>
      </c>
      <c r="BO124" s="59">
        <f t="shared" si="62"/>
        <v>0</v>
      </c>
      <c r="BP124" s="59">
        <f t="shared" si="62"/>
        <v>0</v>
      </c>
      <c r="BQ124" s="59">
        <f t="shared" si="62"/>
        <v>0</v>
      </c>
      <c r="BR124" s="59">
        <f t="shared" si="62"/>
        <v>0</v>
      </c>
      <c r="BS124" s="59">
        <f t="shared" si="61"/>
        <v>0</v>
      </c>
      <c r="BT124" s="59">
        <f t="shared" si="61"/>
        <v>0</v>
      </c>
      <c r="BU124" s="59">
        <f t="shared" si="61"/>
        <v>0</v>
      </c>
      <c r="BV124" s="67">
        <f t="shared" si="48"/>
        <v>63.384615384615216</v>
      </c>
      <c r="BX124" s="54">
        <f t="shared" si="53"/>
        <v>17.355</v>
      </c>
      <c r="BY124" s="54">
        <f t="shared" si="53"/>
        <v>40.495000000000005</v>
      </c>
      <c r="BZ124" s="54">
        <f t="shared" si="53"/>
        <v>17.355</v>
      </c>
      <c r="CA124" s="54">
        <f t="shared" si="53"/>
        <v>17.355</v>
      </c>
      <c r="CB124" s="54">
        <f t="shared" si="53"/>
        <v>17.355</v>
      </c>
      <c r="CC124" s="54">
        <f t="shared" si="53"/>
        <v>17.355</v>
      </c>
      <c r="CD124" s="54">
        <f t="shared" si="63"/>
        <v>17.355</v>
      </c>
      <c r="CE124" s="54">
        <f t="shared" si="63"/>
        <v>17.355</v>
      </c>
      <c r="CF124" s="54">
        <f t="shared" si="63"/>
        <v>17.355</v>
      </c>
      <c r="CG124" s="54">
        <f t="shared" si="43"/>
        <v>17.355</v>
      </c>
      <c r="CH124" s="54">
        <f t="shared" si="43"/>
        <v>17.355</v>
      </c>
      <c r="CI124" s="54">
        <f t="shared" si="43"/>
        <v>17.355</v>
      </c>
      <c r="CJ124" s="74">
        <f t="shared" si="39"/>
        <v>231.39999999999998</v>
      </c>
      <c r="CK124" s="59">
        <f t="shared" si="54"/>
        <v>20</v>
      </c>
      <c r="CL124" s="9">
        <f t="shared" si="55"/>
        <v>0</v>
      </c>
      <c r="CM124" s="71">
        <f t="shared" si="50"/>
        <v>231.4</v>
      </c>
      <c r="CN124" s="54"/>
      <c r="CO124" s="73"/>
      <c r="CP124" s="56"/>
    </row>
    <row r="125" spans="1:94" ht="20.25" customHeight="1">
      <c r="A125" s="1" t="s">
        <v>347</v>
      </c>
      <c r="B125" s="1" t="s">
        <v>348</v>
      </c>
      <c r="C125" s="1" t="s">
        <v>349</v>
      </c>
      <c r="D125" s="58">
        <f>+VLOOKUP(A125,'[1]BDD-Avk Tx'!B:CE,82,0)</f>
        <v>810</v>
      </c>
      <c r="E125" s="59">
        <v>200.2</v>
      </c>
      <c r="G125" s="4">
        <v>41302</v>
      </c>
      <c r="H125" s="4">
        <f t="shared" si="44"/>
        <v>45647</v>
      </c>
      <c r="I125" s="60" t="str">
        <f>+VLOOKUP(A125,'[1]BDD-Avk Tx'!B:BZ,77,0)</f>
        <v>CDI</v>
      </c>
      <c r="J125" s="4">
        <f t="shared" si="45"/>
        <v>45647</v>
      </c>
      <c r="N125" s="3"/>
      <c r="P125" s="54">
        <f t="shared" si="51"/>
        <v>12.833333333333334</v>
      </c>
      <c r="Q125" s="61">
        <v>0</v>
      </c>
      <c r="R125" s="62">
        <f t="shared" si="52"/>
        <v>20</v>
      </c>
      <c r="S125" s="54">
        <f t="shared" ref="S125:AD180" si="67">+IF(AND(AND($O125="",$P125&gt;=10,MONTH($G125)=MONTH(S$5))),1.5+2,+IF(AND(AND($O125="",$P125&gt;=5,MONTH($G125)=MONTH(S$5))),1.5+1,+IF(AND(AND($P125=5,$O125="",MONTH($G125)=MONTH(S$5))),1.5,+IF(AND($H125&gt;S$5,MONTH($H125)=MONTH(S$5)),1.5/30*(S$4-DAY($H125)),+IF(AND(MONTH($H125)&lt;MONTH(S$5),$O125=""),1.5,+IF(AND($H125=$S$5,$O125=""),1.5,IF($O125&lt;S$5,0,IF(MONTH($O125)=MONTH(S$5),1.5/30*($O125-S$5),1.5))))))))</f>
        <v>1.5</v>
      </c>
      <c r="T125" s="54">
        <f t="shared" si="66"/>
        <v>3.5</v>
      </c>
      <c r="U125" s="54">
        <f t="shared" si="66"/>
        <v>1.5</v>
      </c>
      <c r="V125" s="54">
        <f t="shared" si="66"/>
        <v>1.5</v>
      </c>
      <c r="W125" s="54">
        <f t="shared" si="66"/>
        <v>1.5</v>
      </c>
      <c r="X125" s="54">
        <f t="shared" si="66"/>
        <v>1.5</v>
      </c>
      <c r="Y125" s="54">
        <f t="shared" si="66"/>
        <v>1.5</v>
      </c>
      <c r="Z125" s="54">
        <f t="shared" si="66"/>
        <v>1.5</v>
      </c>
      <c r="AA125" s="54">
        <f t="shared" si="66"/>
        <v>1.5</v>
      </c>
      <c r="AB125" s="54">
        <f t="shared" si="66"/>
        <v>1.5</v>
      </c>
      <c r="AC125" s="54">
        <f t="shared" si="66"/>
        <v>1.5</v>
      </c>
      <c r="AD125" s="54">
        <f t="shared" si="66"/>
        <v>1.5</v>
      </c>
      <c r="AF125" s="62">
        <f t="shared" si="60"/>
        <v>0</v>
      </c>
      <c r="AG125" s="64">
        <v>0</v>
      </c>
      <c r="AH125" s="64">
        <v>0</v>
      </c>
      <c r="AI125" s="65">
        <v>0</v>
      </c>
      <c r="AJ125" s="66"/>
      <c r="AK125" s="64"/>
      <c r="AL125" s="64"/>
      <c r="AM125" s="64"/>
      <c r="AN125" s="64"/>
      <c r="AO125" s="64"/>
      <c r="AP125" s="64"/>
      <c r="AQ125" s="64"/>
      <c r="AR125" s="64"/>
      <c r="AS125" s="67">
        <f t="shared" si="47"/>
        <v>20</v>
      </c>
      <c r="AT125" s="68"/>
      <c r="AU125" s="69">
        <v>-1.5076923076922526</v>
      </c>
      <c r="AV125" s="62">
        <f t="shared" si="40"/>
        <v>154</v>
      </c>
      <c r="AW125" s="54">
        <f t="shared" si="65"/>
        <v>11.549999999999999</v>
      </c>
      <c r="AX125" s="54">
        <f t="shared" si="65"/>
        <v>26.949999999999996</v>
      </c>
      <c r="AY125" s="54">
        <f t="shared" si="65"/>
        <v>11.549999999999999</v>
      </c>
      <c r="AZ125" s="54">
        <f t="shared" si="64"/>
        <v>11.549999999999999</v>
      </c>
      <c r="BA125" s="54">
        <f t="shared" si="64"/>
        <v>11.549999999999999</v>
      </c>
      <c r="BB125" s="54">
        <f t="shared" si="64"/>
        <v>11.549999999999999</v>
      </c>
      <c r="BC125" s="54">
        <f t="shared" si="59"/>
        <v>11.549999999999999</v>
      </c>
      <c r="BD125" s="54">
        <f t="shared" si="59"/>
        <v>11.549999999999999</v>
      </c>
      <c r="BE125" s="54">
        <f t="shared" si="59"/>
        <v>11.549999999999999</v>
      </c>
      <c r="BF125" s="54">
        <f t="shared" si="59"/>
        <v>11.549999999999999</v>
      </c>
      <c r="BG125" s="54">
        <f t="shared" si="59"/>
        <v>11.549999999999999</v>
      </c>
      <c r="BH125" s="54">
        <f t="shared" si="59"/>
        <v>11.549999999999999</v>
      </c>
      <c r="BI125" s="62">
        <f t="shared" si="37"/>
        <v>0</v>
      </c>
      <c r="BJ125" s="59">
        <f t="shared" si="62"/>
        <v>0</v>
      </c>
      <c r="BK125" s="59">
        <f t="shared" si="62"/>
        <v>0</v>
      </c>
      <c r="BL125" s="59">
        <f t="shared" si="62"/>
        <v>0</v>
      </c>
      <c r="BM125" s="59">
        <f t="shared" si="62"/>
        <v>0</v>
      </c>
      <c r="BN125" s="59">
        <f t="shared" si="62"/>
        <v>0</v>
      </c>
      <c r="BO125" s="59">
        <f t="shared" si="62"/>
        <v>0</v>
      </c>
      <c r="BP125" s="59">
        <f t="shared" si="62"/>
        <v>0</v>
      </c>
      <c r="BQ125" s="59">
        <f t="shared" si="62"/>
        <v>0</v>
      </c>
      <c r="BR125" s="59">
        <f t="shared" si="62"/>
        <v>0</v>
      </c>
      <c r="BS125" s="59">
        <f t="shared" si="61"/>
        <v>0</v>
      </c>
      <c r="BT125" s="59">
        <f t="shared" si="61"/>
        <v>0</v>
      </c>
      <c r="BU125" s="59">
        <f t="shared" si="61"/>
        <v>0</v>
      </c>
      <c r="BV125" s="67">
        <f t="shared" si="48"/>
        <v>152.49230769230775</v>
      </c>
      <c r="BX125" s="54">
        <f t="shared" si="53"/>
        <v>15.015000000000001</v>
      </c>
      <c r="BY125" s="54">
        <f t="shared" si="53"/>
        <v>35.034999999999997</v>
      </c>
      <c r="BZ125" s="54">
        <f t="shared" si="53"/>
        <v>15.015000000000001</v>
      </c>
      <c r="CA125" s="54">
        <f t="shared" si="53"/>
        <v>15.015000000000001</v>
      </c>
      <c r="CB125" s="54">
        <f t="shared" si="53"/>
        <v>15.015000000000001</v>
      </c>
      <c r="CC125" s="54">
        <f t="shared" si="53"/>
        <v>15.015000000000001</v>
      </c>
      <c r="CD125" s="54">
        <f t="shared" si="63"/>
        <v>15.015000000000001</v>
      </c>
      <c r="CE125" s="54">
        <f t="shared" si="63"/>
        <v>15.015000000000001</v>
      </c>
      <c r="CF125" s="54">
        <f t="shared" si="63"/>
        <v>15.015000000000001</v>
      </c>
      <c r="CG125" s="54">
        <f t="shared" si="43"/>
        <v>15.015000000000001</v>
      </c>
      <c r="CH125" s="54">
        <f t="shared" si="43"/>
        <v>15.015000000000001</v>
      </c>
      <c r="CI125" s="54">
        <f t="shared" si="43"/>
        <v>15.015000000000001</v>
      </c>
      <c r="CJ125" s="74">
        <f t="shared" si="39"/>
        <v>200.19999999999993</v>
      </c>
      <c r="CK125" s="59">
        <f t="shared" si="54"/>
        <v>20</v>
      </c>
      <c r="CL125" s="9">
        <f t="shared" si="55"/>
        <v>0</v>
      </c>
      <c r="CM125" s="71">
        <f t="shared" si="50"/>
        <v>200.2</v>
      </c>
      <c r="CN125" s="72"/>
      <c r="CO125" s="73"/>
    </row>
    <row r="126" spans="1:94" ht="20.25" customHeight="1">
      <c r="A126" s="75" t="s">
        <v>350</v>
      </c>
      <c r="B126" s="1" t="s">
        <v>351</v>
      </c>
      <c r="C126" s="1" t="s">
        <v>352</v>
      </c>
      <c r="D126" s="58">
        <f>+VLOOKUP(A126,'[1]BDD-Avk Tx'!B:CE,82,0)</f>
        <v>810</v>
      </c>
      <c r="E126" s="59">
        <v>200.2</v>
      </c>
      <c r="G126" s="4">
        <v>41732</v>
      </c>
      <c r="H126" s="4">
        <f t="shared" si="44"/>
        <v>45647</v>
      </c>
      <c r="I126" s="60" t="str">
        <f>+VLOOKUP(A126,'[1]BDD-Avk Tx'!B:BZ,77,0)</f>
        <v>CDI</v>
      </c>
      <c r="J126" s="4">
        <f t="shared" si="45"/>
        <v>45647</v>
      </c>
      <c r="N126" s="3"/>
      <c r="P126" s="54">
        <f t="shared" si="51"/>
        <v>11.666666666666666</v>
      </c>
      <c r="Q126" s="61">
        <v>0</v>
      </c>
      <c r="R126" s="62">
        <f t="shared" si="52"/>
        <v>20</v>
      </c>
      <c r="S126" s="54">
        <f t="shared" si="67"/>
        <v>1.5</v>
      </c>
      <c r="T126" s="54">
        <f t="shared" si="66"/>
        <v>1.5</v>
      </c>
      <c r="U126" s="54">
        <f t="shared" si="66"/>
        <v>1.5</v>
      </c>
      <c r="V126" s="54">
        <f t="shared" si="66"/>
        <v>1.5</v>
      </c>
      <c r="W126" s="54">
        <f t="shared" si="66"/>
        <v>3.5</v>
      </c>
      <c r="X126" s="54">
        <f t="shared" si="66"/>
        <v>1.5</v>
      </c>
      <c r="Y126" s="54">
        <f t="shared" si="66"/>
        <v>1.5</v>
      </c>
      <c r="Z126" s="54">
        <f t="shared" si="66"/>
        <v>1.5</v>
      </c>
      <c r="AA126" s="54">
        <f t="shared" si="66"/>
        <v>1.5</v>
      </c>
      <c r="AB126" s="54">
        <f t="shared" si="66"/>
        <v>1.5</v>
      </c>
      <c r="AC126" s="54">
        <f t="shared" si="66"/>
        <v>1.5</v>
      </c>
      <c r="AD126" s="54">
        <f t="shared" si="66"/>
        <v>1.5</v>
      </c>
      <c r="AF126" s="62">
        <f t="shared" si="60"/>
        <v>0</v>
      </c>
      <c r="AG126" s="64">
        <v>0</v>
      </c>
      <c r="AH126" s="64">
        <v>0</v>
      </c>
      <c r="AI126" s="65">
        <v>0</v>
      </c>
      <c r="AJ126" s="66"/>
      <c r="AK126" s="64"/>
      <c r="AL126" s="64"/>
      <c r="AM126" s="64"/>
      <c r="AN126" s="64"/>
      <c r="AO126" s="64"/>
      <c r="AP126" s="64"/>
      <c r="AQ126" s="64"/>
      <c r="AR126" s="64"/>
      <c r="AS126" s="67">
        <f t="shared" si="47"/>
        <v>20</v>
      </c>
      <c r="AT126" s="68"/>
      <c r="AU126" s="69">
        <v>-5.169230769230694</v>
      </c>
      <c r="AV126" s="62">
        <f t="shared" si="40"/>
        <v>154</v>
      </c>
      <c r="AW126" s="54">
        <f t="shared" si="65"/>
        <v>11.549999999999999</v>
      </c>
      <c r="AX126" s="54">
        <f t="shared" si="65"/>
        <v>11.549999999999999</v>
      </c>
      <c r="AY126" s="54">
        <f t="shared" si="65"/>
        <v>11.549999999999999</v>
      </c>
      <c r="AZ126" s="54">
        <f t="shared" si="64"/>
        <v>11.549999999999999</v>
      </c>
      <c r="BA126" s="54">
        <f t="shared" si="64"/>
        <v>26.949999999999996</v>
      </c>
      <c r="BB126" s="54">
        <f t="shared" si="64"/>
        <v>11.549999999999999</v>
      </c>
      <c r="BC126" s="54">
        <f t="shared" si="59"/>
        <v>11.549999999999999</v>
      </c>
      <c r="BD126" s="54">
        <f t="shared" si="59"/>
        <v>11.549999999999999</v>
      </c>
      <c r="BE126" s="54">
        <f t="shared" si="59"/>
        <v>11.549999999999999</v>
      </c>
      <c r="BF126" s="54">
        <f t="shared" si="59"/>
        <v>11.549999999999999</v>
      </c>
      <c r="BG126" s="54">
        <f t="shared" si="59"/>
        <v>11.549999999999999</v>
      </c>
      <c r="BH126" s="54">
        <f t="shared" si="59"/>
        <v>11.549999999999999</v>
      </c>
      <c r="BI126" s="62">
        <f t="shared" ref="BI126:BI189" si="68">SUM(BJ126:BU126)</f>
        <v>0</v>
      </c>
      <c r="BJ126" s="59">
        <f t="shared" si="62"/>
        <v>0</v>
      </c>
      <c r="BK126" s="59">
        <f t="shared" si="62"/>
        <v>0</v>
      </c>
      <c r="BL126" s="59">
        <f t="shared" si="62"/>
        <v>0</v>
      </c>
      <c r="BM126" s="59">
        <f t="shared" si="62"/>
        <v>0</v>
      </c>
      <c r="BN126" s="59">
        <f t="shared" si="62"/>
        <v>0</v>
      </c>
      <c r="BO126" s="59">
        <f t="shared" si="62"/>
        <v>0</v>
      </c>
      <c r="BP126" s="59">
        <f t="shared" si="62"/>
        <v>0</v>
      </c>
      <c r="BQ126" s="59">
        <f t="shared" si="62"/>
        <v>0</v>
      </c>
      <c r="BR126" s="59">
        <f t="shared" si="62"/>
        <v>0</v>
      </c>
      <c r="BS126" s="59">
        <f t="shared" si="61"/>
        <v>0</v>
      </c>
      <c r="BT126" s="59">
        <f t="shared" si="61"/>
        <v>0</v>
      </c>
      <c r="BU126" s="59">
        <f t="shared" si="61"/>
        <v>0</v>
      </c>
      <c r="BV126" s="67">
        <f t="shared" si="48"/>
        <v>148.83076923076931</v>
      </c>
      <c r="BX126" s="54">
        <f t="shared" si="53"/>
        <v>15.015000000000001</v>
      </c>
      <c r="BY126" s="54">
        <f t="shared" si="53"/>
        <v>15.015000000000001</v>
      </c>
      <c r="BZ126" s="54">
        <f t="shared" si="53"/>
        <v>15.015000000000001</v>
      </c>
      <c r="CA126" s="54">
        <f t="shared" si="53"/>
        <v>15.015000000000001</v>
      </c>
      <c r="CB126" s="54">
        <f t="shared" si="53"/>
        <v>35.034999999999997</v>
      </c>
      <c r="CC126" s="54">
        <f t="shared" si="53"/>
        <v>15.015000000000001</v>
      </c>
      <c r="CD126" s="54">
        <f t="shared" si="63"/>
        <v>15.015000000000001</v>
      </c>
      <c r="CE126" s="54">
        <f t="shared" si="63"/>
        <v>15.015000000000001</v>
      </c>
      <c r="CF126" s="54">
        <f t="shared" si="63"/>
        <v>15.015000000000001</v>
      </c>
      <c r="CG126" s="54">
        <f t="shared" si="43"/>
        <v>15.015000000000001</v>
      </c>
      <c r="CH126" s="54">
        <f t="shared" si="43"/>
        <v>15.015000000000001</v>
      </c>
      <c r="CI126" s="54">
        <f t="shared" si="43"/>
        <v>15.015000000000001</v>
      </c>
      <c r="CJ126" s="74">
        <f t="shared" si="39"/>
        <v>200.19999999999993</v>
      </c>
      <c r="CK126" s="59">
        <f t="shared" si="54"/>
        <v>20</v>
      </c>
      <c r="CL126" s="9">
        <f t="shared" si="55"/>
        <v>0</v>
      </c>
      <c r="CM126" s="71">
        <f t="shared" si="50"/>
        <v>200.2</v>
      </c>
      <c r="CN126" s="54"/>
      <c r="CO126" s="73"/>
      <c r="CP126" s="56"/>
    </row>
    <row r="127" spans="1:94" ht="20.25" customHeight="1">
      <c r="A127" s="1" t="s">
        <v>353</v>
      </c>
      <c r="B127" s="1" t="s">
        <v>354</v>
      </c>
      <c r="C127" s="1" t="s">
        <v>355</v>
      </c>
      <c r="D127" s="58">
        <f>+VLOOKUP(A127,'[1]BDD-Avk Tx'!B:CE,82,0)</f>
        <v>160</v>
      </c>
      <c r="E127" s="59">
        <v>150.80000000000001</v>
      </c>
      <c r="G127" s="4">
        <v>41732</v>
      </c>
      <c r="H127" s="4">
        <f t="shared" si="44"/>
        <v>45647</v>
      </c>
      <c r="I127" s="60" t="str">
        <f>+VLOOKUP(A127,'[1]BDD-Avk Tx'!B:BZ,77,0)</f>
        <v>CDI</v>
      </c>
      <c r="J127" s="4">
        <f t="shared" si="45"/>
        <v>45647</v>
      </c>
      <c r="N127" s="3"/>
      <c r="P127" s="54">
        <f t="shared" si="51"/>
        <v>11.666666666666666</v>
      </c>
      <c r="Q127" s="61">
        <v>0</v>
      </c>
      <c r="R127" s="62">
        <f t="shared" si="52"/>
        <v>20</v>
      </c>
      <c r="S127" s="54">
        <f t="shared" si="67"/>
        <v>1.5</v>
      </c>
      <c r="T127" s="54">
        <f t="shared" si="66"/>
        <v>1.5</v>
      </c>
      <c r="U127" s="54">
        <f t="shared" si="66"/>
        <v>1.5</v>
      </c>
      <c r="V127" s="54">
        <f t="shared" si="66"/>
        <v>1.5</v>
      </c>
      <c r="W127" s="54">
        <f t="shared" si="66"/>
        <v>3.5</v>
      </c>
      <c r="X127" s="54">
        <f t="shared" si="66"/>
        <v>1.5</v>
      </c>
      <c r="Y127" s="54">
        <f t="shared" si="66"/>
        <v>1.5</v>
      </c>
      <c r="Z127" s="54">
        <f t="shared" si="66"/>
        <v>1.5</v>
      </c>
      <c r="AA127" s="54">
        <f t="shared" si="66"/>
        <v>1.5</v>
      </c>
      <c r="AB127" s="54">
        <f t="shared" si="66"/>
        <v>1.5</v>
      </c>
      <c r="AC127" s="54">
        <f t="shared" si="66"/>
        <v>1.5</v>
      </c>
      <c r="AD127" s="54">
        <f t="shared" si="66"/>
        <v>1.5</v>
      </c>
      <c r="AF127" s="62">
        <f t="shared" si="60"/>
        <v>0</v>
      </c>
      <c r="AG127" s="64">
        <v>0</v>
      </c>
      <c r="AH127" s="64">
        <v>0</v>
      </c>
      <c r="AI127" s="65">
        <v>0</v>
      </c>
      <c r="AJ127" s="66"/>
      <c r="AK127" s="64"/>
      <c r="AL127" s="64"/>
      <c r="AM127" s="64"/>
      <c r="AN127" s="64"/>
      <c r="AO127" s="64"/>
      <c r="AP127" s="64"/>
      <c r="AQ127" s="64"/>
      <c r="AR127" s="64"/>
      <c r="AS127" s="67">
        <f t="shared" si="47"/>
        <v>20</v>
      </c>
      <c r="AT127" s="68"/>
      <c r="AU127" s="69">
        <v>0</v>
      </c>
      <c r="AV127" s="62">
        <f t="shared" si="40"/>
        <v>116.00000000000003</v>
      </c>
      <c r="AW127" s="54">
        <f t="shared" si="65"/>
        <v>8.7000000000000011</v>
      </c>
      <c r="AX127" s="54">
        <f t="shared" si="65"/>
        <v>8.7000000000000011</v>
      </c>
      <c r="AY127" s="54">
        <f t="shared" si="65"/>
        <v>8.7000000000000011</v>
      </c>
      <c r="AZ127" s="54">
        <f t="shared" si="64"/>
        <v>8.7000000000000011</v>
      </c>
      <c r="BA127" s="54">
        <f t="shared" si="64"/>
        <v>20.300000000000004</v>
      </c>
      <c r="BB127" s="54">
        <f t="shared" si="64"/>
        <v>8.7000000000000011</v>
      </c>
      <c r="BC127" s="54">
        <f t="shared" si="59"/>
        <v>8.7000000000000011</v>
      </c>
      <c r="BD127" s="54">
        <f t="shared" si="59"/>
        <v>8.7000000000000011</v>
      </c>
      <c r="BE127" s="54">
        <f t="shared" si="59"/>
        <v>8.7000000000000011</v>
      </c>
      <c r="BF127" s="54">
        <f t="shared" si="59"/>
        <v>8.7000000000000011</v>
      </c>
      <c r="BG127" s="54">
        <f t="shared" si="59"/>
        <v>8.7000000000000011</v>
      </c>
      <c r="BH127" s="54">
        <f t="shared" si="59"/>
        <v>8.7000000000000011</v>
      </c>
      <c r="BI127" s="62">
        <f t="shared" si="68"/>
        <v>0</v>
      </c>
      <c r="BJ127" s="59">
        <f t="shared" si="62"/>
        <v>0</v>
      </c>
      <c r="BK127" s="59">
        <f t="shared" si="62"/>
        <v>0</v>
      </c>
      <c r="BL127" s="59">
        <f t="shared" si="62"/>
        <v>0</v>
      </c>
      <c r="BM127" s="59">
        <f t="shared" si="62"/>
        <v>0</v>
      </c>
      <c r="BN127" s="59">
        <f t="shared" si="62"/>
        <v>0</v>
      </c>
      <c r="BO127" s="59">
        <f t="shared" si="62"/>
        <v>0</v>
      </c>
      <c r="BP127" s="59">
        <f t="shared" si="62"/>
        <v>0</v>
      </c>
      <c r="BQ127" s="59">
        <f t="shared" si="62"/>
        <v>0</v>
      </c>
      <c r="BR127" s="59">
        <f t="shared" si="62"/>
        <v>0</v>
      </c>
      <c r="BS127" s="59">
        <f t="shared" si="61"/>
        <v>0</v>
      </c>
      <c r="BT127" s="59">
        <f t="shared" si="61"/>
        <v>0</v>
      </c>
      <c r="BU127" s="59">
        <f t="shared" si="61"/>
        <v>0</v>
      </c>
      <c r="BV127" s="67">
        <f t="shared" si="48"/>
        <v>116.00000000000003</v>
      </c>
      <c r="BX127" s="54">
        <f t="shared" si="53"/>
        <v>11.310000000000002</v>
      </c>
      <c r="BY127" s="54">
        <f t="shared" si="53"/>
        <v>11.310000000000002</v>
      </c>
      <c r="BZ127" s="54">
        <f t="shared" si="53"/>
        <v>11.310000000000002</v>
      </c>
      <c r="CA127" s="54">
        <f t="shared" si="53"/>
        <v>11.310000000000002</v>
      </c>
      <c r="CB127" s="54">
        <f t="shared" si="53"/>
        <v>26.390000000000004</v>
      </c>
      <c r="CC127" s="54">
        <f t="shared" si="53"/>
        <v>11.310000000000002</v>
      </c>
      <c r="CD127" s="54">
        <f t="shared" si="63"/>
        <v>11.310000000000002</v>
      </c>
      <c r="CE127" s="54">
        <f t="shared" si="63"/>
        <v>11.310000000000002</v>
      </c>
      <c r="CF127" s="54">
        <f t="shared" si="63"/>
        <v>11.310000000000002</v>
      </c>
      <c r="CG127" s="54">
        <f t="shared" si="43"/>
        <v>11.310000000000002</v>
      </c>
      <c r="CH127" s="54">
        <f t="shared" si="43"/>
        <v>11.310000000000002</v>
      </c>
      <c r="CI127" s="54">
        <f t="shared" si="43"/>
        <v>11.310000000000002</v>
      </c>
      <c r="CJ127" s="74">
        <f t="shared" si="39"/>
        <v>150.80000000000001</v>
      </c>
      <c r="CK127" s="59">
        <f t="shared" si="54"/>
        <v>20</v>
      </c>
      <c r="CL127" s="9">
        <f t="shared" si="55"/>
        <v>0</v>
      </c>
      <c r="CM127" s="71">
        <f t="shared" si="50"/>
        <v>150.80000000000001</v>
      </c>
      <c r="CN127" s="72"/>
      <c r="CO127" s="73"/>
    </row>
    <row r="128" spans="1:94" ht="20.25" customHeight="1">
      <c r="A128" s="75" t="s">
        <v>356</v>
      </c>
      <c r="B128" s="1" t="s">
        <v>357</v>
      </c>
      <c r="C128" s="1" t="s">
        <v>355</v>
      </c>
      <c r="D128" s="58">
        <f>+VLOOKUP(A128,'[1]BDD-Avk Tx'!B:CE,82,0)</f>
        <v>160</v>
      </c>
      <c r="E128" s="59">
        <v>150.80000000000001</v>
      </c>
      <c r="G128" s="4">
        <v>41732</v>
      </c>
      <c r="H128" s="4">
        <f t="shared" si="44"/>
        <v>45647</v>
      </c>
      <c r="I128" s="60" t="str">
        <f>+VLOOKUP(A128,'[1]BDD-Avk Tx'!B:BZ,77,0)</f>
        <v>CDI</v>
      </c>
      <c r="J128" s="4">
        <f t="shared" si="45"/>
        <v>45647</v>
      </c>
      <c r="N128" s="3"/>
      <c r="P128" s="54">
        <f t="shared" si="51"/>
        <v>11.666666666666666</v>
      </c>
      <c r="Q128" s="61">
        <v>4</v>
      </c>
      <c r="R128" s="62">
        <f t="shared" si="52"/>
        <v>20</v>
      </c>
      <c r="S128" s="54">
        <f t="shared" si="67"/>
        <v>1.5</v>
      </c>
      <c r="T128" s="54">
        <f t="shared" si="66"/>
        <v>1.5</v>
      </c>
      <c r="U128" s="54">
        <f t="shared" si="66"/>
        <v>1.5</v>
      </c>
      <c r="V128" s="54">
        <f t="shared" si="66"/>
        <v>1.5</v>
      </c>
      <c r="W128" s="54">
        <f t="shared" si="66"/>
        <v>3.5</v>
      </c>
      <c r="X128" s="54">
        <f t="shared" si="66"/>
        <v>1.5</v>
      </c>
      <c r="Y128" s="54">
        <f t="shared" si="66"/>
        <v>1.5</v>
      </c>
      <c r="Z128" s="54">
        <f t="shared" si="66"/>
        <v>1.5</v>
      </c>
      <c r="AA128" s="54">
        <f t="shared" si="66"/>
        <v>1.5</v>
      </c>
      <c r="AB128" s="54">
        <f t="shared" si="66"/>
        <v>1.5</v>
      </c>
      <c r="AC128" s="54">
        <f t="shared" si="66"/>
        <v>1.5</v>
      </c>
      <c r="AD128" s="54">
        <f t="shared" si="66"/>
        <v>1.5</v>
      </c>
      <c r="AF128" s="62">
        <f t="shared" si="60"/>
        <v>20</v>
      </c>
      <c r="AG128" s="64">
        <v>0</v>
      </c>
      <c r="AH128" s="64">
        <v>10</v>
      </c>
      <c r="AI128" s="65">
        <v>10</v>
      </c>
      <c r="AJ128" s="66"/>
      <c r="AK128" s="64"/>
      <c r="AL128" s="64"/>
      <c r="AM128" s="64"/>
      <c r="AN128" s="64"/>
      <c r="AO128" s="64"/>
      <c r="AP128" s="64"/>
      <c r="AQ128" s="64"/>
      <c r="AR128" s="64"/>
      <c r="AS128" s="67">
        <f t="shared" si="47"/>
        <v>4</v>
      </c>
      <c r="AT128" s="68"/>
      <c r="AU128" s="69">
        <v>24.515384615384605</v>
      </c>
      <c r="AV128" s="62">
        <f t="shared" si="40"/>
        <v>116.00000000000003</v>
      </c>
      <c r="AW128" s="54">
        <f t="shared" si="65"/>
        <v>8.7000000000000011</v>
      </c>
      <c r="AX128" s="54">
        <f t="shared" si="65"/>
        <v>8.7000000000000011</v>
      </c>
      <c r="AY128" s="54">
        <f t="shared" si="65"/>
        <v>8.7000000000000011</v>
      </c>
      <c r="AZ128" s="54">
        <f t="shared" si="64"/>
        <v>8.7000000000000011</v>
      </c>
      <c r="BA128" s="54">
        <f t="shared" si="64"/>
        <v>20.300000000000004</v>
      </c>
      <c r="BB128" s="54">
        <f t="shared" si="64"/>
        <v>8.7000000000000011</v>
      </c>
      <c r="BC128" s="54">
        <f t="shared" si="59"/>
        <v>8.7000000000000011</v>
      </c>
      <c r="BD128" s="54">
        <f t="shared" si="59"/>
        <v>8.7000000000000011</v>
      </c>
      <c r="BE128" s="54">
        <f t="shared" si="59"/>
        <v>8.7000000000000011</v>
      </c>
      <c r="BF128" s="54">
        <f t="shared" si="59"/>
        <v>8.7000000000000011</v>
      </c>
      <c r="BG128" s="54">
        <f t="shared" si="59"/>
        <v>8.7000000000000011</v>
      </c>
      <c r="BH128" s="54">
        <f t="shared" si="59"/>
        <v>8.7000000000000011</v>
      </c>
      <c r="BI128" s="62">
        <f t="shared" si="68"/>
        <v>-116.00000000000001</v>
      </c>
      <c r="BJ128" s="59">
        <f t="shared" si="62"/>
        <v>0</v>
      </c>
      <c r="BK128" s="59">
        <f t="shared" si="62"/>
        <v>-58.000000000000007</v>
      </c>
      <c r="BL128" s="59">
        <f t="shared" si="62"/>
        <v>-58.000000000000007</v>
      </c>
      <c r="BM128" s="59">
        <f t="shared" si="62"/>
        <v>0</v>
      </c>
      <c r="BN128" s="59">
        <f t="shared" si="62"/>
        <v>0</v>
      </c>
      <c r="BO128" s="59">
        <f t="shared" si="62"/>
        <v>0</v>
      </c>
      <c r="BP128" s="59">
        <f t="shared" si="62"/>
        <v>0</v>
      </c>
      <c r="BQ128" s="59">
        <f t="shared" si="62"/>
        <v>0</v>
      </c>
      <c r="BR128" s="59">
        <f t="shared" si="62"/>
        <v>0</v>
      </c>
      <c r="BS128" s="59">
        <f t="shared" si="61"/>
        <v>0</v>
      </c>
      <c r="BT128" s="59">
        <f t="shared" si="61"/>
        <v>0</v>
      </c>
      <c r="BU128" s="59">
        <f t="shared" si="61"/>
        <v>0</v>
      </c>
      <c r="BV128" s="67">
        <f t="shared" si="48"/>
        <v>24.515384615384605</v>
      </c>
      <c r="BX128" s="54">
        <f t="shared" si="53"/>
        <v>11.310000000000002</v>
      </c>
      <c r="BY128" s="54">
        <f t="shared" si="53"/>
        <v>11.310000000000002</v>
      </c>
      <c r="BZ128" s="54">
        <f t="shared" si="53"/>
        <v>11.310000000000002</v>
      </c>
      <c r="CA128" s="54">
        <f t="shared" si="53"/>
        <v>11.310000000000002</v>
      </c>
      <c r="CB128" s="54">
        <f t="shared" si="53"/>
        <v>26.390000000000004</v>
      </c>
      <c r="CC128" s="54">
        <f t="shared" si="53"/>
        <v>11.310000000000002</v>
      </c>
      <c r="CD128" s="54">
        <f t="shared" si="63"/>
        <v>11.310000000000002</v>
      </c>
      <c r="CE128" s="54">
        <f t="shared" si="63"/>
        <v>11.310000000000002</v>
      </c>
      <c r="CF128" s="54">
        <f t="shared" si="63"/>
        <v>11.310000000000002</v>
      </c>
      <c r="CG128" s="54">
        <f t="shared" si="43"/>
        <v>11.310000000000002</v>
      </c>
      <c r="CH128" s="54">
        <f t="shared" si="43"/>
        <v>11.310000000000002</v>
      </c>
      <c r="CI128" s="54">
        <f t="shared" si="43"/>
        <v>11.310000000000002</v>
      </c>
      <c r="CJ128" s="74">
        <f t="shared" ref="CJ128:CJ180" si="69">SUM(BX128:CI128)</f>
        <v>150.80000000000001</v>
      </c>
      <c r="CK128" s="59">
        <f t="shared" si="54"/>
        <v>20</v>
      </c>
      <c r="CL128" s="9">
        <f t="shared" si="55"/>
        <v>0</v>
      </c>
      <c r="CM128" s="71">
        <f t="shared" si="50"/>
        <v>150.80000000000001</v>
      </c>
      <c r="CN128" s="54"/>
      <c r="CO128" s="73"/>
      <c r="CP128" s="56"/>
    </row>
    <row r="129" spans="1:94" ht="20.25" customHeight="1">
      <c r="A129" s="1" t="s">
        <v>358</v>
      </c>
      <c r="B129" s="1" t="s">
        <v>359</v>
      </c>
      <c r="C129" s="1" t="s">
        <v>355</v>
      </c>
      <c r="D129" s="58">
        <f>+VLOOKUP(A129,'[1]BDD-Avk Tx'!B:CE,82,0)</f>
        <v>160</v>
      </c>
      <c r="E129" s="59">
        <v>150.80000000000001</v>
      </c>
      <c r="G129" s="4">
        <v>41732</v>
      </c>
      <c r="H129" s="4">
        <f t="shared" si="44"/>
        <v>45647</v>
      </c>
      <c r="I129" s="60" t="str">
        <f>+VLOOKUP(A129,'[1]BDD-Avk Tx'!B:BZ,77,0)</f>
        <v>CDI</v>
      </c>
      <c r="J129" s="4">
        <f t="shared" si="45"/>
        <v>45647</v>
      </c>
      <c r="N129" s="3"/>
      <c r="P129" s="54">
        <f t="shared" si="51"/>
        <v>11.666666666666666</v>
      </c>
      <c r="Q129" s="61">
        <v>0</v>
      </c>
      <c r="R129" s="62">
        <f t="shared" si="52"/>
        <v>20</v>
      </c>
      <c r="S129" s="54">
        <f t="shared" si="67"/>
        <v>1.5</v>
      </c>
      <c r="T129" s="54">
        <f t="shared" si="66"/>
        <v>1.5</v>
      </c>
      <c r="U129" s="54">
        <f t="shared" si="66"/>
        <v>1.5</v>
      </c>
      <c r="V129" s="54">
        <f t="shared" si="66"/>
        <v>1.5</v>
      </c>
      <c r="W129" s="54">
        <f t="shared" si="66"/>
        <v>3.5</v>
      </c>
      <c r="X129" s="54">
        <f t="shared" si="66"/>
        <v>1.5</v>
      </c>
      <c r="Y129" s="54">
        <f t="shared" si="66"/>
        <v>1.5</v>
      </c>
      <c r="Z129" s="54">
        <f t="shared" si="66"/>
        <v>1.5</v>
      </c>
      <c r="AA129" s="54">
        <f t="shared" si="66"/>
        <v>1.5</v>
      </c>
      <c r="AB129" s="54">
        <f t="shared" si="66"/>
        <v>1.5</v>
      </c>
      <c r="AC129" s="54">
        <f t="shared" si="66"/>
        <v>1.5</v>
      </c>
      <c r="AD129" s="54">
        <f t="shared" si="66"/>
        <v>1.5</v>
      </c>
      <c r="AF129" s="62">
        <f t="shared" si="60"/>
        <v>0</v>
      </c>
      <c r="AG129" s="64">
        <v>0</v>
      </c>
      <c r="AH129" s="64">
        <v>0</v>
      </c>
      <c r="AI129" s="65">
        <v>0</v>
      </c>
      <c r="AJ129" s="66"/>
      <c r="AK129" s="64"/>
      <c r="AL129" s="64"/>
      <c r="AM129" s="64"/>
      <c r="AN129" s="64"/>
      <c r="AO129" s="64"/>
      <c r="AP129" s="64"/>
      <c r="AQ129" s="64"/>
      <c r="AR129" s="64"/>
      <c r="AS129" s="67">
        <f t="shared" si="47"/>
        <v>20</v>
      </c>
      <c r="AT129" s="68"/>
      <c r="AU129" s="69">
        <v>-0.87692307692306315</v>
      </c>
      <c r="AV129" s="62">
        <f t="shared" ref="AV129:AV190" si="70">SUM(AW129:BH129)</f>
        <v>116.00000000000003</v>
      </c>
      <c r="AW129" s="54">
        <f t="shared" si="65"/>
        <v>8.7000000000000011</v>
      </c>
      <c r="AX129" s="54">
        <f t="shared" si="65"/>
        <v>8.7000000000000011</v>
      </c>
      <c r="AY129" s="54">
        <f t="shared" si="65"/>
        <v>8.7000000000000011</v>
      </c>
      <c r="AZ129" s="54">
        <f t="shared" si="64"/>
        <v>8.7000000000000011</v>
      </c>
      <c r="BA129" s="54">
        <f t="shared" si="64"/>
        <v>20.300000000000004</v>
      </c>
      <c r="BB129" s="54">
        <f t="shared" si="64"/>
        <v>8.7000000000000011</v>
      </c>
      <c r="BC129" s="54">
        <f t="shared" si="59"/>
        <v>8.7000000000000011</v>
      </c>
      <c r="BD129" s="54">
        <f t="shared" si="59"/>
        <v>8.7000000000000011</v>
      </c>
      <c r="BE129" s="54">
        <f t="shared" si="59"/>
        <v>8.7000000000000011</v>
      </c>
      <c r="BF129" s="54">
        <f t="shared" si="59"/>
        <v>8.7000000000000011</v>
      </c>
      <c r="BG129" s="54">
        <f t="shared" si="59"/>
        <v>8.7000000000000011</v>
      </c>
      <c r="BH129" s="54">
        <f t="shared" si="59"/>
        <v>8.7000000000000011</v>
      </c>
      <c r="BI129" s="62">
        <f t="shared" si="68"/>
        <v>0</v>
      </c>
      <c r="BJ129" s="59">
        <f t="shared" si="62"/>
        <v>0</v>
      </c>
      <c r="BK129" s="59">
        <f t="shared" si="62"/>
        <v>0</v>
      </c>
      <c r="BL129" s="59">
        <f t="shared" si="62"/>
        <v>0</v>
      </c>
      <c r="BM129" s="59">
        <f t="shared" si="62"/>
        <v>0</v>
      </c>
      <c r="BN129" s="59">
        <f t="shared" si="62"/>
        <v>0</v>
      </c>
      <c r="BO129" s="59">
        <f t="shared" si="62"/>
        <v>0</v>
      </c>
      <c r="BP129" s="59">
        <f t="shared" si="62"/>
        <v>0</v>
      </c>
      <c r="BQ129" s="59">
        <f t="shared" si="62"/>
        <v>0</v>
      </c>
      <c r="BR129" s="59">
        <f t="shared" si="62"/>
        <v>0</v>
      </c>
      <c r="BS129" s="59">
        <f t="shared" si="61"/>
        <v>0</v>
      </c>
      <c r="BT129" s="59">
        <f t="shared" si="61"/>
        <v>0</v>
      </c>
      <c r="BU129" s="59">
        <f t="shared" si="61"/>
        <v>0</v>
      </c>
      <c r="BV129" s="67">
        <f t="shared" si="48"/>
        <v>115.12307692307697</v>
      </c>
      <c r="BX129" s="54">
        <f t="shared" si="53"/>
        <v>11.310000000000002</v>
      </c>
      <c r="BY129" s="54">
        <f t="shared" si="53"/>
        <v>11.310000000000002</v>
      </c>
      <c r="BZ129" s="54">
        <f t="shared" si="53"/>
        <v>11.310000000000002</v>
      </c>
      <c r="CA129" s="54">
        <f t="shared" si="53"/>
        <v>11.310000000000002</v>
      </c>
      <c r="CB129" s="54">
        <f t="shared" si="53"/>
        <v>26.390000000000004</v>
      </c>
      <c r="CC129" s="54">
        <f t="shared" si="53"/>
        <v>11.310000000000002</v>
      </c>
      <c r="CD129" s="54">
        <f t="shared" si="63"/>
        <v>11.310000000000002</v>
      </c>
      <c r="CE129" s="54">
        <f t="shared" si="63"/>
        <v>11.310000000000002</v>
      </c>
      <c r="CF129" s="54">
        <f t="shared" si="63"/>
        <v>11.310000000000002</v>
      </c>
      <c r="CG129" s="54">
        <f t="shared" si="43"/>
        <v>11.310000000000002</v>
      </c>
      <c r="CH129" s="54">
        <f t="shared" si="43"/>
        <v>11.310000000000002</v>
      </c>
      <c r="CI129" s="54">
        <f t="shared" si="43"/>
        <v>11.310000000000002</v>
      </c>
      <c r="CJ129" s="74">
        <f t="shared" si="69"/>
        <v>150.80000000000001</v>
      </c>
      <c r="CK129" s="59">
        <f t="shared" si="54"/>
        <v>20</v>
      </c>
      <c r="CL129" s="9">
        <f t="shared" si="55"/>
        <v>0</v>
      </c>
      <c r="CM129" s="71">
        <f t="shared" si="50"/>
        <v>150.80000000000001</v>
      </c>
      <c r="CN129" s="72"/>
      <c r="CO129" s="73"/>
    </row>
    <row r="130" spans="1:94" ht="20.25" customHeight="1">
      <c r="A130" s="75" t="s">
        <v>360</v>
      </c>
      <c r="B130" s="1" t="s">
        <v>361</v>
      </c>
      <c r="C130" s="1" t="s">
        <v>362</v>
      </c>
      <c r="D130" s="58">
        <f>+VLOOKUP(A130,'[1]BDD-Avk Tx'!B:CE,82,0)</f>
        <v>810</v>
      </c>
      <c r="E130" s="59">
        <v>267.8</v>
      </c>
      <c r="G130" s="4">
        <v>41803</v>
      </c>
      <c r="H130" s="4">
        <f t="shared" si="44"/>
        <v>45647</v>
      </c>
      <c r="I130" s="60" t="str">
        <f>+VLOOKUP(A130,'[1]BDD-Avk Tx'!B:BZ,77,0)</f>
        <v>CDI</v>
      </c>
      <c r="J130" s="4">
        <f t="shared" si="45"/>
        <v>45647</v>
      </c>
      <c r="N130" s="3"/>
      <c r="P130" s="54">
        <f t="shared" si="51"/>
        <v>11.5</v>
      </c>
      <c r="Q130" s="61">
        <v>0</v>
      </c>
      <c r="R130" s="62">
        <f t="shared" si="52"/>
        <v>20</v>
      </c>
      <c r="S130" s="54">
        <f t="shared" si="67"/>
        <v>1.5</v>
      </c>
      <c r="T130" s="54">
        <f t="shared" si="66"/>
        <v>1.5</v>
      </c>
      <c r="U130" s="54">
        <f t="shared" si="66"/>
        <v>1.5</v>
      </c>
      <c r="V130" s="54">
        <f t="shared" si="66"/>
        <v>1.5</v>
      </c>
      <c r="W130" s="54">
        <f t="shared" si="66"/>
        <v>1.5</v>
      </c>
      <c r="X130" s="54">
        <f t="shared" si="66"/>
        <v>1.5</v>
      </c>
      <c r="Y130" s="54">
        <f t="shared" si="66"/>
        <v>3.5</v>
      </c>
      <c r="Z130" s="54">
        <f t="shared" si="66"/>
        <v>1.5</v>
      </c>
      <c r="AA130" s="54">
        <f t="shared" si="66"/>
        <v>1.5</v>
      </c>
      <c r="AB130" s="54">
        <f t="shared" si="66"/>
        <v>1.5</v>
      </c>
      <c r="AC130" s="54">
        <f t="shared" si="66"/>
        <v>1.5</v>
      </c>
      <c r="AD130" s="54">
        <f t="shared" si="66"/>
        <v>1.5</v>
      </c>
      <c r="AF130" s="62">
        <f t="shared" si="60"/>
        <v>0</v>
      </c>
      <c r="AG130" s="64">
        <v>0</v>
      </c>
      <c r="AH130" s="64">
        <v>0</v>
      </c>
      <c r="AI130" s="65">
        <v>0</v>
      </c>
      <c r="AJ130" s="66"/>
      <c r="AK130" s="64"/>
      <c r="AL130" s="64"/>
      <c r="AM130" s="64"/>
      <c r="AN130" s="64"/>
      <c r="AO130" s="64"/>
      <c r="AP130" s="64"/>
      <c r="AQ130" s="64"/>
      <c r="AR130" s="64"/>
      <c r="AS130" s="67">
        <f t="shared" si="47"/>
        <v>20</v>
      </c>
      <c r="AT130" s="68"/>
      <c r="AU130" s="69">
        <v>-5.1923076923077929</v>
      </c>
      <c r="AV130" s="62">
        <f t="shared" si="70"/>
        <v>205.99999999999994</v>
      </c>
      <c r="AW130" s="54">
        <f t="shared" si="65"/>
        <v>15.450000000000001</v>
      </c>
      <c r="AX130" s="54">
        <f t="shared" si="65"/>
        <v>15.450000000000001</v>
      </c>
      <c r="AY130" s="54">
        <f t="shared" si="65"/>
        <v>15.450000000000001</v>
      </c>
      <c r="AZ130" s="54">
        <f t="shared" si="64"/>
        <v>15.450000000000001</v>
      </c>
      <c r="BA130" s="54">
        <f t="shared" si="64"/>
        <v>15.450000000000001</v>
      </c>
      <c r="BB130" s="54">
        <f t="shared" si="64"/>
        <v>15.450000000000001</v>
      </c>
      <c r="BC130" s="54">
        <f t="shared" si="59"/>
        <v>36.050000000000004</v>
      </c>
      <c r="BD130" s="54">
        <f t="shared" si="59"/>
        <v>15.450000000000001</v>
      </c>
      <c r="BE130" s="54">
        <f t="shared" si="59"/>
        <v>15.450000000000001</v>
      </c>
      <c r="BF130" s="54">
        <f t="shared" si="59"/>
        <v>15.450000000000001</v>
      </c>
      <c r="BG130" s="54">
        <f t="shared" si="59"/>
        <v>15.450000000000001</v>
      </c>
      <c r="BH130" s="54">
        <f t="shared" si="59"/>
        <v>15.450000000000001</v>
      </c>
      <c r="BI130" s="62">
        <f t="shared" si="68"/>
        <v>0</v>
      </c>
      <c r="BJ130" s="59">
        <f t="shared" si="62"/>
        <v>0</v>
      </c>
      <c r="BK130" s="59">
        <f t="shared" si="62"/>
        <v>0</v>
      </c>
      <c r="BL130" s="59">
        <f t="shared" si="62"/>
        <v>0</v>
      </c>
      <c r="BM130" s="59">
        <f t="shared" si="62"/>
        <v>0</v>
      </c>
      <c r="BN130" s="59">
        <f t="shared" si="62"/>
        <v>0</v>
      </c>
      <c r="BO130" s="59">
        <f t="shared" si="62"/>
        <v>0</v>
      </c>
      <c r="BP130" s="59">
        <f t="shared" si="62"/>
        <v>0</v>
      </c>
      <c r="BQ130" s="59">
        <f t="shared" si="62"/>
        <v>0</v>
      </c>
      <c r="BR130" s="59">
        <f t="shared" si="62"/>
        <v>0</v>
      </c>
      <c r="BS130" s="59">
        <f t="shared" si="61"/>
        <v>0</v>
      </c>
      <c r="BT130" s="59">
        <f t="shared" si="61"/>
        <v>0</v>
      </c>
      <c r="BU130" s="59">
        <f t="shared" si="61"/>
        <v>0</v>
      </c>
      <c r="BV130" s="67">
        <f t="shared" si="48"/>
        <v>200.80769230769215</v>
      </c>
      <c r="BX130" s="54">
        <f t="shared" si="53"/>
        <v>20.085000000000001</v>
      </c>
      <c r="BY130" s="54">
        <f t="shared" si="53"/>
        <v>20.085000000000001</v>
      </c>
      <c r="BZ130" s="54">
        <f t="shared" si="53"/>
        <v>20.085000000000001</v>
      </c>
      <c r="CA130" s="54">
        <f t="shared" si="53"/>
        <v>20.085000000000001</v>
      </c>
      <c r="CB130" s="54">
        <f t="shared" si="53"/>
        <v>20.085000000000001</v>
      </c>
      <c r="CC130" s="54">
        <f t="shared" si="53"/>
        <v>20.085000000000001</v>
      </c>
      <c r="CD130" s="54">
        <f t="shared" si="63"/>
        <v>46.865000000000002</v>
      </c>
      <c r="CE130" s="54">
        <f t="shared" si="63"/>
        <v>20.085000000000001</v>
      </c>
      <c r="CF130" s="54">
        <f t="shared" si="63"/>
        <v>20.085000000000001</v>
      </c>
      <c r="CG130" s="54">
        <f t="shared" si="43"/>
        <v>20.085000000000001</v>
      </c>
      <c r="CH130" s="54">
        <f t="shared" si="43"/>
        <v>20.085000000000001</v>
      </c>
      <c r="CI130" s="54">
        <f t="shared" si="43"/>
        <v>20.085000000000001</v>
      </c>
      <c r="CJ130" s="74">
        <f t="shared" si="69"/>
        <v>267.80000000000007</v>
      </c>
      <c r="CK130" s="59">
        <f t="shared" si="54"/>
        <v>20</v>
      </c>
      <c r="CL130" s="9">
        <f t="shared" si="55"/>
        <v>0</v>
      </c>
      <c r="CM130" s="71">
        <f t="shared" si="50"/>
        <v>267.8</v>
      </c>
      <c r="CN130" s="54"/>
      <c r="CO130" s="73"/>
      <c r="CP130" s="56"/>
    </row>
    <row r="131" spans="1:94" ht="20.25" customHeight="1">
      <c r="A131" s="75" t="s">
        <v>363</v>
      </c>
      <c r="B131" s="1" t="s">
        <v>364</v>
      </c>
      <c r="C131" s="1" t="s">
        <v>365</v>
      </c>
      <c r="D131" s="58">
        <f>+VLOOKUP(A131,'[1]BDD-Avk Tx'!B:CE,82,0)</f>
        <v>810</v>
      </c>
      <c r="E131" s="59">
        <v>200.2</v>
      </c>
      <c r="G131" s="4">
        <v>41816</v>
      </c>
      <c r="H131" s="4">
        <f t="shared" si="44"/>
        <v>45647</v>
      </c>
      <c r="I131" s="60" t="str">
        <f>+VLOOKUP(A131,'[1]BDD-Avk Tx'!B:BZ,77,0)</f>
        <v>CDI</v>
      </c>
      <c r="J131" s="4">
        <f t="shared" si="45"/>
        <v>45647</v>
      </c>
      <c r="N131" s="3"/>
      <c r="P131" s="54">
        <f t="shared" si="51"/>
        <v>11.416666666666666</v>
      </c>
      <c r="Q131" s="61">
        <v>0</v>
      </c>
      <c r="R131" s="62">
        <f t="shared" si="52"/>
        <v>20</v>
      </c>
      <c r="S131" s="54">
        <f t="shared" si="67"/>
        <v>1.5</v>
      </c>
      <c r="T131" s="54">
        <f t="shared" si="66"/>
        <v>1.5</v>
      </c>
      <c r="U131" s="54">
        <f t="shared" si="66"/>
        <v>1.5</v>
      </c>
      <c r="V131" s="54">
        <f t="shared" si="66"/>
        <v>1.5</v>
      </c>
      <c r="W131" s="54">
        <f t="shared" si="66"/>
        <v>1.5</v>
      </c>
      <c r="X131" s="54">
        <f t="shared" si="66"/>
        <v>1.5</v>
      </c>
      <c r="Y131" s="54">
        <f t="shared" si="66"/>
        <v>3.5</v>
      </c>
      <c r="Z131" s="54">
        <f t="shared" si="66"/>
        <v>1.5</v>
      </c>
      <c r="AA131" s="54">
        <f t="shared" si="66"/>
        <v>1.5</v>
      </c>
      <c r="AB131" s="54">
        <f t="shared" si="66"/>
        <v>1.5</v>
      </c>
      <c r="AC131" s="54">
        <f t="shared" si="66"/>
        <v>1.5</v>
      </c>
      <c r="AD131" s="54">
        <f t="shared" si="66"/>
        <v>1.5</v>
      </c>
      <c r="AF131" s="62">
        <f t="shared" si="60"/>
        <v>0</v>
      </c>
      <c r="AG131" s="64">
        <v>0</v>
      </c>
      <c r="AH131" s="64">
        <v>0</v>
      </c>
      <c r="AI131" s="65">
        <v>0</v>
      </c>
      <c r="AJ131" s="66"/>
      <c r="AK131" s="64"/>
      <c r="AL131" s="64"/>
      <c r="AM131" s="64"/>
      <c r="AN131" s="64"/>
      <c r="AO131" s="64"/>
      <c r="AP131" s="64"/>
      <c r="AQ131" s="64"/>
      <c r="AR131" s="64"/>
      <c r="AS131" s="67">
        <f t="shared" si="47"/>
        <v>20</v>
      </c>
      <c r="AT131" s="68"/>
      <c r="AU131" s="69">
        <v>-3.4461538461537486</v>
      </c>
      <c r="AV131" s="62">
        <f t="shared" si="70"/>
        <v>154.00000000000003</v>
      </c>
      <c r="AW131" s="54">
        <f t="shared" si="65"/>
        <v>11.549999999999999</v>
      </c>
      <c r="AX131" s="54">
        <f t="shared" si="65"/>
        <v>11.549999999999999</v>
      </c>
      <c r="AY131" s="54">
        <f t="shared" si="65"/>
        <v>11.549999999999999</v>
      </c>
      <c r="AZ131" s="54">
        <f t="shared" si="64"/>
        <v>11.549999999999999</v>
      </c>
      <c r="BA131" s="54">
        <f t="shared" si="64"/>
        <v>11.549999999999999</v>
      </c>
      <c r="BB131" s="54">
        <f t="shared" si="64"/>
        <v>11.549999999999999</v>
      </c>
      <c r="BC131" s="54">
        <f t="shared" si="59"/>
        <v>26.949999999999996</v>
      </c>
      <c r="BD131" s="54">
        <f t="shared" si="59"/>
        <v>11.549999999999999</v>
      </c>
      <c r="BE131" s="54">
        <f t="shared" si="59"/>
        <v>11.549999999999999</v>
      </c>
      <c r="BF131" s="54">
        <f t="shared" si="59"/>
        <v>11.549999999999999</v>
      </c>
      <c r="BG131" s="54">
        <f t="shared" si="59"/>
        <v>11.549999999999999</v>
      </c>
      <c r="BH131" s="54">
        <f t="shared" si="59"/>
        <v>11.549999999999999</v>
      </c>
      <c r="BI131" s="62">
        <f t="shared" si="68"/>
        <v>0</v>
      </c>
      <c r="BJ131" s="59">
        <f t="shared" si="62"/>
        <v>0</v>
      </c>
      <c r="BK131" s="59">
        <f t="shared" si="62"/>
        <v>0</v>
      </c>
      <c r="BL131" s="59">
        <f t="shared" si="62"/>
        <v>0</v>
      </c>
      <c r="BM131" s="59">
        <f t="shared" si="62"/>
        <v>0</v>
      </c>
      <c r="BN131" s="59">
        <f t="shared" si="62"/>
        <v>0</v>
      </c>
      <c r="BO131" s="59">
        <f t="shared" si="62"/>
        <v>0</v>
      </c>
      <c r="BP131" s="59">
        <f t="shared" si="62"/>
        <v>0</v>
      </c>
      <c r="BQ131" s="59">
        <f t="shared" si="62"/>
        <v>0</v>
      </c>
      <c r="BR131" s="59">
        <f t="shared" si="62"/>
        <v>0</v>
      </c>
      <c r="BS131" s="59">
        <f t="shared" si="61"/>
        <v>0</v>
      </c>
      <c r="BT131" s="59">
        <f t="shared" si="61"/>
        <v>0</v>
      </c>
      <c r="BU131" s="59">
        <f t="shared" si="61"/>
        <v>0</v>
      </c>
      <c r="BV131" s="67">
        <f t="shared" si="48"/>
        <v>150.55384615384628</v>
      </c>
      <c r="BX131" s="54">
        <f t="shared" si="53"/>
        <v>15.015000000000001</v>
      </c>
      <c r="BY131" s="54">
        <f t="shared" si="53"/>
        <v>15.015000000000001</v>
      </c>
      <c r="BZ131" s="54">
        <f t="shared" si="53"/>
        <v>15.015000000000001</v>
      </c>
      <c r="CA131" s="54">
        <f t="shared" si="53"/>
        <v>15.015000000000001</v>
      </c>
      <c r="CB131" s="54">
        <f t="shared" si="53"/>
        <v>15.015000000000001</v>
      </c>
      <c r="CC131" s="54">
        <f t="shared" si="53"/>
        <v>15.015000000000001</v>
      </c>
      <c r="CD131" s="54">
        <f t="shared" si="63"/>
        <v>35.034999999999997</v>
      </c>
      <c r="CE131" s="54">
        <f t="shared" si="63"/>
        <v>15.015000000000001</v>
      </c>
      <c r="CF131" s="54">
        <f t="shared" si="63"/>
        <v>15.015000000000001</v>
      </c>
      <c r="CG131" s="54">
        <f t="shared" si="43"/>
        <v>15.015000000000001</v>
      </c>
      <c r="CH131" s="54">
        <f t="shared" si="43"/>
        <v>15.015000000000001</v>
      </c>
      <c r="CI131" s="54">
        <f t="shared" si="43"/>
        <v>15.015000000000001</v>
      </c>
      <c r="CJ131" s="74">
        <f t="shared" si="69"/>
        <v>200.19999999999993</v>
      </c>
      <c r="CK131" s="59">
        <f t="shared" si="54"/>
        <v>20</v>
      </c>
      <c r="CL131" s="9">
        <f t="shared" si="55"/>
        <v>0</v>
      </c>
      <c r="CM131" s="71">
        <f t="shared" si="50"/>
        <v>200.2</v>
      </c>
      <c r="CN131" s="72"/>
      <c r="CO131" s="73"/>
    </row>
    <row r="132" spans="1:94" ht="20.25" customHeight="1">
      <c r="A132" s="1" t="s">
        <v>366</v>
      </c>
      <c r="B132" s="1" t="s">
        <v>367</v>
      </c>
      <c r="C132" s="1" t="s">
        <v>368</v>
      </c>
      <c r="D132" s="58">
        <f>+VLOOKUP(A132,'[1]BDD-Avk Tx'!B:CE,82,0)</f>
        <v>810</v>
      </c>
      <c r="E132" s="59">
        <v>200.2</v>
      </c>
      <c r="G132" s="4">
        <v>41816</v>
      </c>
      <c r="H132" s="4">
        <f t="shared" si="44"/>
        <v>45647</v>
      </c>
      <c r="I132" s="60" t="str">
        <f>+VLOOKUP(A132,'[1]BDD-Avk Tx'!B:BZ,77,0)</f>
        <v>CDI</v>
      </c>
      <c r="J132" s="4">
        <f t="shared" si="45"/>
        <v>45647</v>
      </c>
      <c r="N132" s="3"/>
      <c r="P132" s="54">
        <f t="shared" si="51"/>
        <v>11.416666666666666</v>
      </c>
      <c r="Q132" s="61">
        <v>0</v>
      </c>
      <c r="R132" s="62">
        <f t="shared" si="52"/>
        <v>20</v>
      </c>
      <c r="S132" s="54">
        <f t="shared" si="67"/>
        <v>1.5</v>
      </c>
      <c r="T132" s="54">
        <f t="shared" si="66"/>
        <v>1.5</v>
      </c>
      <c r="U132" s="54">
        <f t="shared" si="66"/>
        <v>1.5</v>
      </c>
      <c r="V132" s="54">
        <f t="shared" si="66"/>
        <v>1.5</v>
      </c>
      <c r="W132" s="54">
        <f t="shared" si="66"/>
        <v>1.5</v>
      </c>
      <c r="X132" s="54">
        <f t="shared" si="66"/>
        <v>1.5</v>
      </c>
      <c r="Y132" s="54">
        <f t="shared" si="66"/>
        <v>3.5</v>
      </c>
      <c r="Z132" s="54">
        <f t="shared" si="66"/>
        <v>1.5</v>
      </c>
      <c r="AA132" s="54">
        <f t="shared" si="66"/>
        <v>1.5</v>
      </c>
      <c r="AB132" s="54">
        <f t="shared" si="66"/>
        <v>1.5</v>
      </c>
      <c r="AC132" s="54">
        <f t="shared" si="66"/>
        <v>1.5</v>
      </c>
      <c r="AD132" s="54">
        <f t="shared" si="66"/>
        <v>1.5</v>
      </c>
      <c r="AF132" s="62">
        <f t="shared" si="60"/>
        <v>0</v>
      </c>
      <c r="AG132" s="64">
        <v>0</v>
      </c>
      <c r="AH132" s="64">
        <v>0</v>
      </c>
      <c r="AI132" s="65">
        <v>0</v>
      </c>
      <c r="AJ132" s="66"/>
      <c r="AK132" s="64"/>
      <c r="AL132" s="64"/>
      <c r="AM132" s="64"/>
      <c r="AN132" s="64"/>
      <c r="AO132" s="64"/>
      <c r="AP132" s="64"/>
      <c r="AQ132" s="64"/>
      <c r="AR132" s="64"/>
      <c r="AS132" s="67">
        <f t="shared" si="47"/>
        <v>20</v>
      </c>
      <c r="AT132" s="68"/>
      <c r="AU132" s="69">
        <v>-1.1307692307691752</v>
      </c>
      <c r="AV132" s="62">
        <f t="shared" si="70"/>
        <v>154.00000000000003</v>
      </c>
      <c r="AW132" s="54">
        <f t="shared" si="65"/>
        <v>11.549999999999999</v>
      </c>
      <c r="AX132" s="54">
        <f t="shared" si="65"/>
        <v>11.549999999999999</v>
      </c>
      <c r="AY132" s="54">
        <f t="shared" si="65"/>
        <v>11.549999999999999</v>
      </c>
      <c r="AZ132" s="54">
        <f t="shared" si="64"/>
        <v>11.549999999999999</v>
      </c>
      <c r="BA132" s="54">
        <f t="shared" si="64"/>
        <v>11.549999999999999</v>
      </c>
      <c r="BB132" s="54">
        <f t="shared" si="64"/>
        <v>11.549999999999999</v>
      </c>
      <c r="BC132" s="54">
        <f t="shared" si="59"/>
        <v>26.949999999999996</v>
      </c>
      <c r="BD132" s="54">
        <f t="shared" si="59"/>
        <v>11.549999999999999</v>
      </c>
      <c r="BE132" s="54">
        <f t="shared" si="59"/>
        <v>11.549999999999999</v>
      </c>
      <c r="BF132" s="54">
        <f t="shared" si="59"/>
        <v>11.549999999999999</v>
      </c>
      <c r="BG132" s="54">
        <f t="shared" si="59"/>
        <v>11.549999999999999</v>
      </c>
      <c r="BH132" s="54">
        <f t="shared" si="59"/>
        <v>11.549999999999999</v>
      </c>
      <c r="BI132" s="62">
        <f t="shared" si="68"/>
        <v>0</v>
      </c>
      <c r="BJ132" s="59">
        <f t="shared" si="62"/>
        <v>0</v>
      </c>
      <c r="BK132" s="59">
        <f t="shared" si="62"/>
        <v>0</v>
      </c>
      <c r="BL132" s="59">
        <f t="shared" si="62"/>
        <v>0</v>
      </c>
      <c r="BM132" s="59">
        <f t="shared" si="62"/>
        <v>0</v>
      </c>
      <c r="BN132" s="59">
        <f t="shared" si="62"/>
        <v>0</v>
      </c>
      <c r="BO132" s="59">
        <f t="shared" si="62"/>
        <v>0</v>
      </c>
      <c r="BP132" s="59">
        <f t="shared" si="62"/>
        <v>0</v>
      </c>
      <c r="BQ132" s="59">
        <f t="shared" si="62"/>
        <v>0</v>
      </c>
      <c r="BR132" s="59">
        <f t="shared" si="62"/>
        <v>0</v>
      </c>
      <c r="BS132" s="59">
        <f t="shared" si="61"/>
        <v>0</v>
      </c>
      <c r="BT132" s="59">
        <f t="shared" si="61"/>
        <v>0</v>
      </c>
      <c r="BU132" s="59">
        <f t="shared" si="61"/>
        <v>0</v>
      </c>
      <c r="BV132" s="67">
        <f t="shared" si="48"/>
        <v>152.86923076923085</v>
      </c>
      <c r="BX132" s="54">
        <f t="shared" si="53"/>
        <v>15.015000000000001</v>
      </c>
      <c r="BY132" s="54">
        <f t="shared" si="53"/>
        <v>15.015000000000001</v>
      </c>
      <c r="BZ132" s="54">
        <f t="shared" si="53"/>
        <v>15.015000000000001</v>
      </c>
      <c r="CA132" s="54">
        <f t="shared" si="53"/>
        <v>15.015000000000001</v>
      </c>
      <c r="CB132" s="54">
        <f t="shared" si="53"/>
        <v>15.015000000000001</v>
      </c>
      <c r="CC132" s="54">
        <f t="shared" si="53"/>
        <v>15.015000000000001</v>
      </c>
      <c r="CD132" s="54">
        <f t="shared" si="63"/>
        <v>35.034999999999997</v>
      </c>
      <c r="CE132" s="54">
        <f t="shared" si="63"/>
        <v>15.015000000000001</v>
      </c>
      <c r="CF132" s="54">
        <f t="shared" si="63"/>
        <v>15.015000000000001</v>
      </c>
      <c r="CG132" s="54">
        <f t="shared" si="63"/>
        <v>15.015000000000001</v>
      </c>
      <c r="CH132" s="54">
        <f t="shared" si="63"/>
        <v>15.015000000000001</v>
      </c>
      <c r="CI132" s="54">
        <f t="shared" si="63"/>
        <v>15.015000000000001</v>
      </c>
      <c r="CJ132" s="74">
        <f t="shared" si="69"/>
        <v>200.19999999999993</v>
      </c>
      <c r="CK132" s="59">
        <f t="shared" si="54"/>
        <v>20</v>
      </c>
      <c r="CL132" s="9">
        <f t="shared" si="55"/>
        <v>0</v>
      </c>
      <c r="CM132" s="71">
        <f t="shared" si="50"/>
        <v>200.2</v>
      </c>
      <c r="CN132" s="54"/>
      <c r="CO132" s="73"/>
      <c r="CP132" s="56"/>
    </row>
    <row r="133" spans="1:94" ht="20.25" customHeight="1">
      <c r="A133" s="75" t="s">
        <v>369</v>
      </c>
      <c r="B133" s="1" t="s">
        <v>370</v>
      </c>
      <c r="C133" s="1" t="s">
        <v>371</v>
      </c>
      <c r="D133" s="58">
        <f>+VLOOKUP(A133,'[1]BDD-Avk Tx'!B:CE,82,0)</f>
        <v>160</v>
      </c>
      <c r="E133" s="59">
        <v>308.10000000000002</v>
      </c>
      <c r="G133" s="4">
        <v>41778</v>
      </c>
      <c r="H133" s="4">
        <f t="shared" si="44"/>
        <v>45647</v>
      </c>
      <c r="I133" s="60" t="str">
        <f>+VLOOKUP(A133,'[1]BDD-Avk Tx'!B:BZ,77,0)</f>
        <v>CDI</v>
      </c>
      <c r="J133" s="4">
        <f t="shared" si="45"/>
        <v>45647</v>
      </c>
      <c r="N133" s="3"/>
      <c r="P133" s="54">
        <f t="shared" si="51"/>
        <v>11.583333333333334</v>
      </c>
      <c r="Q133" s="61">
        <v>0</v>
      </c>
      <c r="R133" s="62">
        <f t="shared" si="52"/>
        <v>20</v>
      </c>
      <c r="S133" s="54">
        <f t="shared" si="67"/>
        <v>1.5</v>
      </c>
      <c r="T133" s="54">
        <f t="shared" si="66"/>
        <v>1.5</v>
      </c>
      <c r="U133" s="54">
        <f t="shared" si="66"/>
        <v>1.5</v>
      </c>
      <c r="V133" s="54">
        <f t="shared" si="66"/>
        <v>1.5</v>
      </c>
      <c r="W133" s="54">
        <f t="shared" si="66"/>
        <v>1.5</v>
      </c>
      <c r="X133" s="54">
        <f t="shared" si="66"/>
        <v>3.5</v>
      </c>
      <c r="Y133" s="54">
        <f t="shared" si="66"/>
        <v>1.5</v>
      </c>
      <c r="Z133" s="54">
        <f t="shared" si="66"/>
        <v>1.5</v>
      </c>
      <c r="AA133" s="54">
        <f t="shared" si="66"/>
        <v>1.5</v>
      </c>
      <c r="AB133" s="54">
        <f t="shared" si="66"/>
        <v>1.5</v>
      </c>
      <c r="AC133" s="54">
        <f t="shared" si="66"/>
        <v>1.5</v>
      </c>
      <c r="AD133" s="54">
        <f t="shared" si="66"/>
        <v>1.5</v>
      </c>
      <c r="AF133" s="62">
        <f t="shared" si="60"/>
        <v>0</v>
      </c>
      <c r="AG133" s="64">
        <v>0</v>
      </c>
      <c r="AH133" s="64">
        <v>0</v>
      </c>
      <c r="AI133" s="65">
        <v>0</v>
      </c>
      <c r="AJ133" s="66"/>
      <c r="AK133" s="64"/>
      <c r="AL133" s="64"/>
      <c r="AM133" s="64"/>
      <c r="AN133" s="64"/>
      <c r="AO133" s="64"/>
      <c r="AP133" s="64"/>
      <c r="AQ133" s="64"/>
      <c r="AR133" s="64"/>
      <c r="AS133" s="67">
        <f t="shared" si="47"/>
        <v>20</v>
      </c>
      <c r="AT133" s="68"/>
      <c r="AU133" s="69">
        <v>-6.8307692307692776</v>
      </c>
      <c r="AV133" s="62">
        <f t="shared" si="70"/>
        <v>237.00000000000006</v>
      </c>
      <c r="AW133" s="54">
        <f t="shared" si="65"/>
        <v>17.775000000000002</v>
      </c>
      <c r="AX133" s="54">
        <f t="shared" si="65"/>
        <v>17.775000000000002</v>
      </c>
      <c r="AY133" s="54">
        <f t="shared" si="65"/>
        <v>17.775000000000002</v>
      </c>
      <c r="AZ133" s="54">
        <f t="shared" si="64"/>
        <v>17.775000000000002</v>
      </c>
      <c r="BA133" s="54">
        <f t="shared" si="64"/>
        <v>17.775000000000002</v>
      </c>
      <c r="BB133" s="54">
        <f t="shared" si="64"/>
        <v>41.475000000000009</v>
      </c>
      <c r="BC133" s="54">
        <f t="shared" si="59"/>
        <v>17.775000000000002</v>
      </c>
      <c r="BD133" s="54">
        <f t="shared" si="59"/>
        <v>17.775000000000002</v>
      </c>
      <c r="BE133" s="54">
        <f t="shared" si="59"/>
        <v>17.775000000000002</v>
      </c>
      <c r="BF133" s="54">
        <f t="shared" si="59"/>
        <v>17.775000000000002</v>
      </c>
      <c r="BG133" s="54">
        <f t="shared" si="59"/>
        <v>17.775000000000002</v>
      </c>
      <c r="BH133" s="54">
        <f t="shared" si="59"/>
        <v>17.775000000000002</v>
      </c>
      <c r="BI133" s="62">
        <f t="shared" si="68"/>
        <v>0</v>
      </c>
      <c r="BJ133" s="59">
        <f t="shared" si="62"/>
        <v>0</v>
      </c>
      <c r="BK133" s="59">
        <f t="shared" si="62"/>
        <v>0</v>
      </c>
      <c r="BL133" s="59">
        <f t="shared" si="62"/>
        <v>0</v>
      </c>
      <c r="BM133" s="59">
        <f t="shared" si="62"/>
        <v>0</v>
      </c>
      <c r="BN133" s="59">
        <f t="shared" si="62"/>
        <v>0</v>
      </c>
      <c r="BO133" s="59">
        <f t="shared" si="62"/>
        <v>0</v>
      </c>
      <c r="BP133" s="59">
        <f t="shared" si="62"/>
        <v>0</v>
      </c>
      <c r="BQ133" s="59">
        <f t="shared" si="62"/>
        <v>0</v>
      </c>
      <c r="BR133" s="59">
        <f t="shared" si="62"/>
        <v>0</v>
      </c>
      <c r="BS133" s="59">
        <f t="shared" si="61"/>
        <v>0</v>
      </c>
      <c r="BT133" s="59">
        <f t="shared" si="61"/>
        <v>0</v>
      </c>
      <c r="BU133" s="59">
        <f t="shared" si="61"/>
        <v>0</v>
      </c>
      <c r="BV133" s="67">
        <f t="shared" si="48"/>
        <v>230.16923076923078</v>
      </c>
      <c r="BX133" s="54">
        <f t="shared" si="53"/>
        <v>23.107500000000002</v>
      </c>
      <c r="BY133" s="54">
        <f t="shared" si="53"/>
        <v>23.107500000000002</v>
      </c>
      <c r="BZ133" s="54">
        <f t="shared" si="53"/>
        <v>23.107500000000002</v>
      </c>
      <c r="CA133" s="54">
        <f t="shared" si="53"/>
        <v>23.107500000000002</v>
      </c>
      <c r="CB133" s="54">
        <f t="shared" si="53"/>
        <v>23.107500000000002</v>
      </c>
      <c r="CC133" s="54">
        <f t="shared" si="53"/>
        <v>53.917500000000004</v>
      </c>
      <c r="CD133" s="54">
        <f t="shared" si="63"/>
        <v>23.107500000000002</v>
      </c>
      <c r="CE133" s="54">
        <f t="shared" si="63"/>
        <v>23.107500000000002</v>
      </c>
      <c r="CF133" s="54">
        <f t="shared" si="63"/>
        <v>23.107500000000002</v>
      </c>
      <c r="CG133" s="54">
        <f t="shared" si="63"/>
        <v>23.107500000000002</v>
      </c>
      <c r="CH133" s="54">
        <f t="shared" si="63"/>
        <v>23.107500000000002</v>
      </c>
      <c r="CI133" s="54">
        <f t="shared" si="63"/>
        <v>23.107500000000002</v>
      </c>
      <c r="CJ133" s="74">
        <f t="shared" si="69"/>
        <v>308.10000000000008</v>
      </c>
      <c r="CK133" s="59">
        <f t="shared" si="54"/>
        <v>20</v>
      </c>
      <c r="CL133" s="9">
        <f t="shared" si="55"/>
        <v>0</v>
      </c>
      <c r="CM133" s="71">
        <f t="shared" si="50"/>
        <v>308.10000000000002</v>
      </c>
      <c r="CN133" s="72"/>
      <c r="CO133" s="73"/>
    </row>
    <row r="134" spans="1:94" ht="20.25" customHeight="1">
      <c r="A134" s="75" t="s">
        <v>372</v>
      </c>
      <c r="B134" s="1" t="s">
        <v>373</v>
      </c>
      <c r="C134" s="1" t="s">
        <v>374</v>
      </c>
      <c r="D134" s="58">
        <f>+VLOOKUP(A134,'[1]BDD-Avk Tx'!B:CE,82,0)</f>
        <v>481</v>
      </c>
      <c r="E134" s="59">
        <v>267.8</v>
      </c>
      <c r="G134" s="4">
        <v>41732</v>
      </c>
      <c r="H134" s="4">
        <f t="shared" si="44"/>
        <v>45647</v>
      </c>
      <c r="I134" s="60" t="str">
        <f>+VLOOKUP(A134,'[1]BDD-Avk Tx'!B:BZ,77,0)</f>
        <v>CDI</v>
      </c>
      <c r="J134" s="4">
        <f t="shared" si="45"/>
        <v>45647</v>
      </c>
      <c r="N134" s="3"/>
      <c r="P134" s="54">
        <f t="shared" si="51"/>
        <v>11.666666666666666</v>
      </c>
      <c r="Q134" s="61">
        <v>35</v>
      </c>
      <c r="R134" s="62">
        <f t="shared" si="52"/>
        <v>20</v>
      </c>
      <c r="S134" s="54">
        <f t="shared" si="67"/>
        <v>1.5</v>
      </c>
      <c r="T134" s="54">
        <f t="shared" si="66"/>
        <v>1.5</v>
      </c>
      <c r="U134" s="54">
        <f t="shared" si="66"/>
        <v>1.5</v>
      </c>
      <c r="V134" s="54">
        <f t="shared" si="66"/>
        <v>1.5</v>
      </c>
      <c r="W134" s="54">
        <f t="shared" si="66"/>
        <v>3.5</v>
      </c>
      <c r="X134" s="54">
        <f t="shared" si="66"/>
        <v>1.5</v>
      </c>
      <c r="Y134" s="54">
        <f t="shared" si="66"/>
        <v>1.5</v>
      </c>
      <c r="Z134" s="54">
        <f t="shared" si="66"/>
        <v>1.5</v>
      </c>
      <c r="AA134" s="54">
        <f t="shared" si="66"/>
        <v>1.5</v>
      </c>
      <c r="AB134" s="54">
        <f t="shared" si="66"/>
        <v>1.5</v>
      </c>
      <c r="AC134" s="54">
        <f t="shared" si="66"/>
        <v>1.5</v>
      </c>
      <c r="AD134" s="54">
        <f t="shared" si="66"/>
        <v>1.5</v>
      </c>
      <c r="AF134" s="62">
        <f t="shared" si="60"/>
        <v>0</v>
      </c>
      <c r="AG134" s="64">
        <v>0</v>
      </c>
      <c r="AH134" s="64">
        <v>0</v>
      </c>
      <c r="AI134" s="65">
        <v>0</v>
      </c>
      <c r="AJ134" s="66"/>
      <c r="AK134" s="64"/>
      <c r="AL134" s="64"/>
      <c r="AM134" s="64"/>
      <c r="AN134" s="64"/>
      <c r="AO134" s="64"/>
      <c r="AP134" s="64"/>
      <c r="AQ134" s="64"/>
      <c r="AR134" s="64"/>
      <c r="AS134" s="67">
        <f t="shared" si="47"/>
        <v>55</v>
      </c>
      <c r="AT134" s="68"/>
      <c r="AU134" s="69">
        <v>354.95384615384592</v>
      </c>
      <c r="AV134" s="62">
        <f t="shared" si="70"/>
        <v>205.99999999999994</v>
      </c>
      <c r="AW134" s="54">
        <f t="shared" si="65"/>
        <v>15.450000000000001</v>
      </c>
      <c r="AX134" s="54">
        <f t="shared" si="65"/>
        <v>15.450000000000001</v>
      </c>
      <c r="AY134" s="54">
        <f t="shared" si="65"/>
        <v>15.450000000000001</v>
      </c>
      <c r="AZ134" s="54">
        <f t="shared" si="64"/>
        <v>15.450000000000001</v>
      </c>
      <c r="BA134" s="54">
        <f t="shared" si="64"/>
        <v>36.050000000000004</v>
      </c>
      <c r="BB134" s="54">
        <f t="shared" si="64"/>
        <v>15.450000000000001</v>
      </c>
      <c r="BC134" s="54">
        <f t="shared" si="59"/>
        <v>15.450000000000001</v>
      </c>
      <c r="BD134" s="54">
        <f t="shared" si="59"/>
        <v>15.450000000000001</v>
      </c>
      <c r="BE134" s="54">
        <f t="shared" si="59"/>
        <v>15.450000000000001</v>
      </c>
      <c r="BF134" s="54">
        <f t="shared" si="59"/>
        <v>15.450000000000001</v>
      </c>
      <c r="BG134" s="54">
        <f t="shared" si="59"/>
        <v>15.450000000000001</v>
      </c>
      <c r="BH134" s="54">
        <f t="shared" si="59"/>
        <v>15.450000000000001</v>
      </c>
      <c r="BI134" s="62">
        <f t="shared" si="68"/>
        <v>0</v>
      </c>
      <c r="BJ134" s="59">
        <f t="shared" si="62"/>
        <v>0</v>
      </c>
      <c r="BK134" s="59">
        <f t="shared" si="62"/>
        <v>0</v>
      </c>
      <c r="BL134" s="59">
        <f t="shared" si="62"/>
        <v>0</v>
      </c>
      <c r="BM134" s="59">
        <f t="shared" si="62"/>
        <v>0</v>
      </c>
      <c r="BN134" s="59">
        <f t="shared" si="62"/>
        <v>0</v>
      </c>
      <c r="BO134" s="59">
        <f t="shared" si="62"/>
        <v>0</v>
      </c>
      <c r="BP134" s="59">
        <f t="shared" si="62"/>
        <v>0</v>
      </c>
      <c r="BQ134" s="59">
        <f t="shared" si="62"/>
        <v>0</v>
      </c>
      <c r="BR134" s="59">
        <f t="shared" si="62"/>
        <v>0</v>
      </c>
      <c r="BS134" s="59">
        <f t="shared" si="61"/>
        <v>0</v>
      </c>
      <c r="BT134" s="59">
        <f t="shared" si="61"/>
        <v>0</v>
      </c>
      <c r="BU134" s="59">
        <f t="shared" si="61"/>
        <v>0</v>
      </c>
      <c r="BV134" s="67">
        <f t="shared" si="48"/>
        <v>560.95384615384592</v>
      </c>
      <c r="BX134" s="54">
        <f t="shared" si="53"/>
        <v>20.085000000000001</v>
      </c>
      <c r="BY134" s="54">
        <f t="shared" si="53"/>
        <v>20.085000000000001</v>
      </c>
      <c r="BZ134" s="54">
        <f t="shared" si="53"/>
        <v>20.085000000000001</v>
      </c>
      <c r="CA134" s="54">
        <f t="shared" si="53"/>
        <v>20.085000000000001</v>
      </c>
      <c r="CB134" s="54">
        <f t="shared" si="53"/>
        <v>46.865000000000002</v>
      </c>
      <c r="CC134" s="54">
        <f t="shared" si="53"/>
        <v>20.085000000000001</v>
      </c>
      <c r="CD134" s="54">
        <f t="shared" si="63"/>
        <v>20.085000000000001</v>
      </c>
      <c r="CE134" s="54">
        <f t="shared" si="63"/>
        <v>20.085000000000001</v>
      </c>
      <c r="CF134" s="54">
        <f t="shared" si="63"/>
        <v>20.085000000000001</v>
      </c>
      <c r="CG134" s="54">
        <f t="shared" si="63"/>
        <v>20.085000000000001</v>
      </c>
      <c r="CH134" s="54">
        <f t="shared" si="63"/>
        <v>20.085000000000001</v>
      </c>
      <c r="CI134" s="54">
        <f t="shared" si="63"/>
        <v>20.085000000000001</v>
      </c>
      <c r="CJ134" s="74">
        <f t="shared" si="69"/>
        <v>267.80000000000007</v>
      </c>
      <c r="CK134" s="59">
        <f t="shared" si="54"/>
        <v>20</v>
      </c>
      <c r="CL134" s="9">
        <f t="shared" si="55"/>
        <v>0</v>
      </c>
      <c r="CM134" s="71">
        <f t="shared" si="50"/>
        <v>267.8</v>
      </c>
      <c r="CN134" s="72"/>
      <c r="CO134" s="73"/>
    </row>
    <row r="135" spans="1:94" ht="20.25" customHeight="1">
      <c r="A135" s="1" t="s">
        <v>375</v>
      </c>
      <c r="B135" s="1" t="s">
        <v>376</v>
      </c>
      <c r="C135" s="1" t="s">
        <v>377</v>
      </c>
      <c r="D135" s="58">
        <f>+VLOOKUP(A135,'[1]BDD-Avk Tx'!B:CE,82,0)</f>
        <v>620</v>
      </c>
      <c r="E135" s="59">
        <v>2000</v>
      </c>
      <c r="G135" s="4">
        <v>41939</v>
      </c>
      <c r="H135" s="4">
        <f t="shared" si="44"/>
        <v>45647</v>
      </c>
      <c r="I135" s="60" t="str">
        <f>+VLOOKUP(A135,'[1]BDD-Avk Tx'!B:BZ,77,0)</f>
        <v>CDI</v>
      </c>
      <c r="J135" s="4">
        <f t="shared" si="45"/>
        <v>45647</v>
      </c>
      <c r="N135" s="3"/>
      <c r="P135" s="54">
        <f t="shared" si="51"/>
        <v>11.083333333333334</v>
      </c>
      <c r="Q135" s="61">
        <v>24</v>
      </c>
      <c r="R135" s="62">
        <f t="shared" si="52"/>
        <v>20</v>
      </c>
      <c r="S135" s="54">
        <f t="shared" si="67"/>
        <v>1.5</v>
      </c>
      <c r="T135" s="54">
        <f t="shared" si="66"/>
        <v>1.5</v>
      </c>
      <c r="U135" s="54">
        <f t="shared" si="66"/>
        <v>1.5</v>
      </c>
      <c r="V135" s="54">
        <f t="shared" si="66"/>
        <v>1.5</v>
      </c>
      <c r="W135" s="54">
        <f t="shared" si="66"/>
        <v>1.5</v>
      </c>
      <c r="X135" s="54">
        <f t="shared" si="66"/>
        <v>1.5</v>
      </c>
      <c r="Y135" s="54">
        <f t="shared" si="66"/>
        <v>1.5</v>
      </c>
      <c r="Z135" s="54">
        <f t="shared" si="66"/>
        <v>1.5</v>
      </c>
      <c r="AA135" s="54">
        <f t="shared" si="66"/>
        <v>1.5</v>
      </c>
      <c r="AB135" s="54">
        <f t="shared" si="66"/>
        <v>1.5</v>
      </c>
      <c r="AC135" s="54">
        <f t="shared" si="66"/>
        <v>3.5</v>
      </c>
      <c r="AD135" s="54">
        <f t="shared" si="66"/>
        <v>1.5</v>
      </c>
      <c r="AF135" s="62">
        <f t="shared" si="60"/>
        <v>14</v>
      </c>
      <c r="AG135" s="64">
        <v>0</v>
      </c>
      <c r="AH135" s="64">
        <v>0</v>
      </c>
      <c r="AI135" s="65">
        <v>14</v>
      </c>
      <c r="AJ135" s="66"/>
      <c r="AK135" s="64"/>
      <c r="AL135" s="64"/>
      <c r="AM135" s="64"/>
      <c r="AN135" s="64"/>
      <c r="AO135" s="64"/>
      <c r="AP135" s="64"/>
      <c r="AQ135" s="64"/>
      <c r="AR135" s="64"/>
      <c r="AS135" s="67">
        <f t="shared" si="47"/>
        <v>30</v>
      </c>
      <c r="AT135" s="68"/>
      <c r="AU135" s="69">
        <v>1846.1538461538416</v>
      </c>
      <c r="AV135" s="62">
        <f t="shared" si="70"/>
        <v>1538.4615384615386</v>
      </c>
      <c r="AW135" s="54">
        <f t="shared" si="65"/>
        <v>115.38461538461539</v>
      </c>
      <c r="AX135" s="54">
        <f t="shared" si="65"/>
        <v>115.38461538461539</v>
      </c>
      <c r="AY135" s="54">
        <f t="shared" si="65"/>
        <v>115.38461538461539</v>
      </c>
      <c r="AZ135" s="54">
        <f t="shared" si="64"/>
        <v>115.38461538461539</v>
      </c>
      <c r="BA135" s="54">
        <f t="shared" si="64"/>
        <v>115.38461538461539</v>
      </c>
      <c r="BB135" s="54">
        <f t="shared" si="64"/>
        <v>115.38461538461539</v>
      </c>
      <c r="BC135" s="54">
        <f t="shared" si="59"/>
        <v>115.38461538461539</v>
      </c>
      <c r="BD135" s="54">
        <f t="shared" si="59"/>
        <v>115.38461538461539</v>
      </c>
      <c r="BE135" s="54">
        <f t="shared" si="59"/>
        <v>115.38461538461539</v>
      </c>
      <c r="BF135" s="54">
        <f t="shared" ref="BF135:BH197" si="71">+IF($K135="",$E135/26*AB135,IF(MONTH($K135)=MONTH(BF$5),$L135/26*AB135,IF(AND($K135&lt;BF$5,(MONTH($K135)&lt;&gt;MONTH(BF$5))),$L135/26*AB135,$E135/26*AB135)))</f>
        <v>115.38461538461539</v>
      </c>
      <c r="BG135" s="54">
        <f t="shared" si="71"/>
        <v>269.23076923076923</v>
      </c>
      <c r="BH135" s="54">
        <f t="shared" si="71"/>
        <v>115.38461538461539</v>
      </c>
      <c r="BI135" s="62">
        <f t="shared" si="68"/>
        <v>-1076.9230769230769</v>
      </c>
      <c r="BJ135" s="59">
        <f t="shared" si="62"/>
        <v>0</v>
      </c>
      <c r="BK135" s="59">
        <f t="shared" si="62"/>
        <v>0</v>
      </c>
      <c r="BL135" s="59">
        <f t="shared" si="62"/>
        <v>-1076.9230769230769</v>
      </c>
      <c r="BM135" s="59">
        <f t="shared" si="62"/>
        <v>0</v>
      </c>
      <c r="BN135" s="59">
        <f t="shared" si="62"/>
        <v>0</v>
      </c>
      <c r="BO135" s="59">
        <f t="shared" si="62"/>
        <v>0</v>
      </c>
      <c r="BP135" s="59">
        <f t="shared" si="62"/>
        <v>0</v>
      </c>
      <c r="BQ135" s="59">
        <f t="shared" si="62"/>
        <v>0</v>
      </c>
      <c r="BR135" s="59">
        <f t="shared" si="62"/>
        <v>0</v>
      </c>
      <c r="BS135" s="59">
        <f t="shared" si="61"/>
        <v>0</v>
      </c>
      <c r="BT135" s="59">
        <f t="shared" si="61"/>
        <v>0</v>
      </c>
      <c r="BU135" s="59">
        <f t="shared" si="61"/>
        <v>0</v>
      </c>
      <c r="BV135" s="67">
        <f t="shared" si="48"/>
        <v>2307.6923076923031</v>
      </c>
      <c r="BX135" s="54">
        <f t="shared" si="53"/>
        <v>150</v>
      </c>
      <c r="BY135" s="54">
        <f t="shared" si="53"/>
        <v>150</v>
      </c>
      <c r="BZ135" s="54">
        <f t="shared" si="53"/>
        <v>150</v>
      </c>
      <c r="CA135" s="54">
        <f t="shared" si="53"/>
        <v>150</v>
      </c>
      <c r="CB135" s="54">
        <f t="shared" si="53"/>
        <v>150</v>
      </c>
      <c r="CC135" s="54">
        <f t="shared" si="53"/>
        <v>150</v>
      </c>
      <c r="CD135" s="54">
        <f t="shared" si="63"/>
        <v>150</v>
      </c>
      <c r="CE135" s="54">
        <f t="shared" si="63"/>
        <v>150</v>
      </c>
      <c r="CF135" s="54">
        <f t="shared" si="63"/>
        <v>150</v>
      </c>
      <c r="CG135" s="54">
        <f t="shared" si="63"/>
        <v>150</v>
      </c>
      <c r="CH135" s="54">
        <f t="shared" si="63"/>
        <v>350</v>
      </c>
      <c r="CI135" s="54">
        <f t="shared" si="63"/>
        <v>150</v>
      </c>
      <c r="CJ135" s="74">
        <f t="shared" si="69"/>
        <v>2000</v>
      </c>
      <c r="CK135" s="59">
        <f t="shared" si="54"/>
        <v>20</v>
      </c>
      <c r="CL135" s="9">
        <f t="shared" si="55"/>
        <v>0</v>
      </c>
      <c r="CM135" s="71">
        <f t="shared" si="50"/>
        <v>2000</v>
      </c>
      <c r="CN135" s="54"/>
      <c r="CO135" s="73"/>
      <c r="CP135" s="56"/>
    </row>
    <row r="136" spans="1:94" ht="20.25" customHeight="1">
      <c r="A136" s="75" t="s">
        <v>378</v>
      </c>
      <c r="B136" s="1" t="s">
        <v>379</v>
      </c>
      <c r="C136" s="1" t="s">
        <v>380</v>
      </c>
      <c r="D136" s="58">
        <f>+VLOOKUP(A136,'[1]BDD-Avk Tx'!B:CE,82,0)</f>
        <v>140</v>
      </c>
      <c r="E136" s="59">
        <v>548.6</v>
      </c>
      <c r="G136" s="4">
        <v>41852</v>
      </c>
      <c r="H136" s="4">
        <f t="shared" ref="H136:H199" si="72">+IF(YEAR(G136)&lt;YEAR($H$5),$H$4,G136)</f>
        <v>45647</v>
      </c>
      <c r="I136" s="60" t="str">
        <f>+VLOOKUP(A136,'[1]BDD-Avk Tx'!B:BZ,77,0)</f>
        <v>CDI</v>
      </c>
      <c r="J136" s="4">
        <f t="shared" ref="J136:J199" si="73">+IF(I136="CDI",H136,H136+0)</f>
        <v>45647</v>
      </c>
      <c r="N136" s="3"/>
      <c r="P136" s="54">
        <f t="shared" si="51"/>
        <v>11.333333333333334</v>
      </c>
      <c r="Q136" s="61">
        <v>28</v>
      </c>
      <c r="R136" s="62">
        <f t="shared" si="52"/>
        <v>20</v>
      </c>
      <c r="S136" s="54">
        <f t="shared" si="67"/>
        <v>1.5</v>
      </c>
      <c r="T136" s="54">
        <f t="shared" si="66"/>
        <v>1.5</v>
      </c>
      <c r="U136" s="54">
        <f t="shared" si="66"/>
        <v>1.5</v>
      </c>
      <c r="V136" s="54">
        <f t="shared" si="66"/>
        <v>1.5</v>
      </c>
      <c r="W136" s="54">
        <f t="shared" si="66"/>
        <v>1.5</v>
      </c>
      <c r="X136" s="54">
        <f t="shared" si="66"/>
        <v>1.5</v>
      </c>
      <c r="Y136" s="54">
        <f t="shared" si="66"/>
        <v>1.5</v>
      </c>
      <c r="Z136" s="54">
        <f t="shared" si="66"/>
        <v>1.5</v>
      </c>
      <c r="AA136" s="54">
        <f t="shared" si="66"/>
        <v>3.5</v>
      </c>
      <c r="AB136" s="54">
        <f t="shared" si="66"/>
        <v>1.5</v>
      </c>
      <c r="AC136" s="54">
        <f t="shared" si="66"/>
        <v>1.5</v>
      </c>
      <c r="AD136" s="54">
        <f t="shared" si="66"/>
        <v>1.5</v>
      </c>
      <c r="AF136" s="62">
        <f t="shared" si="60"/>
        <v>19</v>
      </c>
      <c r="AG136" s="64">
        <v>0</v>
      </c>
      <c r="AH136" s="64">
        <v>9</v>
      </c>
      <c r="AI136" s="65">
        <v>10</v>
      </c>
      <c r="AJ136" s="66"/>
      <c r="AK136" s="64"/>
      <c r="AL136" s="64"/>
      <c r="AM136" s="64"/>
      <c r="AN136" s="64"/>
      <c r="AO136" s="64"/>
      <c r="AP136" s="64"/>
      <c r="AQ136" s="64"/>
      <c r="AR136" s="64"/>
      <c r="AS136" s="67">
        <f t="shared" ref="AS136:AS199" si="74">+Q136+R136-AF136</f>
        <v>29</v>
      </c>
      <c r="AT136" s="68"/>
      <c r="AU136" s="69">
        <v>518.47692307692296</v>
      </c>
      <c r="AV136" s="62">
        <f t="shared" si="70"/>
        <v>421.99999999999994</v>
      </c>
      <c r="AW136" s="54">
        <f t="shared" si="65"/>
        <v>31.650000000000002</v>
      </c>
      <c r="AX136" s="54">
        <f t="shared" si="65"/>
        <v>31.650000000000002</v>
      </c>
      <c r="AY136" s="54">
        <f t="shared" si="65"/>
        <v>31.650000000000002</v>
      </c>
      <c r="AZ136" s="54">
        <f t="shared" si="64"/>
        <v>31.650000000000002</v>
      </c>
      <c r="BA136" s="54">
        <f t="shared" si="64"/>
        <v>31.650000000000002</v>
      </c>
      <c r="BB136" s="54">
        <f t="shared" si="64"/>
        <v>31.650000000000002</v>
      </c>
      <c r="BC136" s="54">
        <f t="shared" si="64"/>
        <v>31.650000000000002</v>
      </c>
      <c r="BD136" s="54">
        <f t="shared" si="64"/>
        <v>31.650000000000002</v>
      </c>
      <c r="BE136" s="54">
        <f t="shared" si="64"/>
        <v>73.850000000000009</v>
      </c>
      <c r="BF136" s="54">
        <f t="shared" si="71"/>
        <v>31.650000000000002</v>
      </c>
      <c r="BG136" s="54">
        <f t="shared" si="71"/>
        <v>31.650000000000002</v>
      </c>
      <c r="BH136" s="54">
        <f t="shared" si="71"/>
        <v>31.650000000000002</v>
      </c>
      <c r="BI136" s="62">
        <f t="shared" si="68"/>
        <v>-400.9</v>
      </c>
      <c r="BJ136" s="59">
        <f t="shared" si="62"/>
        <v>0</v>
      </c>
      <c r="BK136" s="59">
        <f t="shared" si="62"/>
        <v>-189.9</v>
      </c>
      <c r="BL136" s="59">
        <f t="shared" si="62"/>
        <v>-211</v>
      </c>
      <c r="BM136" s="59">
        <f t="shared" si="62"/>
        <v>0</v>
      </c>
      <c r="BN136" s="59">
        <f t="shared" si="62"/>
        <v>0</v>
      </c>
      <c r="BO136" s="59">
        <f t="shared" si="62"/>
        <v>0</v>
      </c>
      <c r="BP136" s="59">
        <f t="shared" si="62"/>
        <v>0</v>
      </c>
      <c r="BQ136" s="59">
        <f t="shared" si="62"/>
        <v>0</v>
      </c>
      <c r="BR136" s="59">
        <f t="shared" si="62"/>
        <v>0</v>
      </c>
      <c r="BS136" s="59">
        <f t="shared" si="61"/>
        <v>0</v>
      </c>
      <c r="BT136" s="59">
        <f t="shared" si="61"/>
        <v>0</v>
      </c>
      <c r="BU136" s="59">
        <f t="shared" si="61"/>
        <v>0</v>
      </c>
      <c r="BV136" s="67">
        <f t="shared" ref="BV136:BV199" si="75">+AU136+AV136+BI136</f>
        <v>539.57692307692298</v>
      </c>
      <c r="BX136" s="54">
        <f t="shared" ref="BX136:CF194" si="76">+IF(AND($J136&gt;BX$5,MONTH($J136&lt;&gt;BX$5)),0,+IF(AND($J136&gt;BX$5,MONTH($J136=BX$5)),$E136/$R136*DAY($J136),IF(AND($O136&lt;&gt;"",$O136&lt;BX$5),0,IF($K136="",$E136/$R136*S136,IF(MONTH($K136)=MONTH(BX$5),$L136/$R136*S136,IF(AND($K136&lt;BX$5,(MONTH($K136)&lt;&gt;MONTH(BX$5))),$L136/$R136*S136,$E136/$R136*S136))))))</f>
        <v>41.144999999999996</v>
      </c>
      <c r="BY136" s="54">
        <f t="shared" si="76"/>
        <v>41.144999999999996</v>
      </c>
      <c r="BZ136" s="54">
        <f t="shared" si="76"/>
        <v>41.144999999999996</v>
      </c>
      <c r="CA136" s="54">
        <f t="shared" si="76"/>
        <v>41.144999999999996</v>
      </c>
      <c r="CB136" s="54">
        <f t="shared" si="76"/>
        <v>41.144999999999996</v>
      </c>
      <c r="CC136" s="54">
        <f t="shared" si="76"/>
        <v>41.144999999999996</v>
      </c>
      <c r="CD136" s="54">
        <f t="shared" si="63"/>
        <v>41.144999999999996</v>
      </c>
      <c r="CE136" s="54">
        <f t="shared" si="63"/>
        <v>41.144999999999996</v>
      </c>
      <c r="CF136" s="54">
        <f t="shared" si="63"/>
        <v>96.004999999999995</v>
      </c>
      <c r="CG136" s="54">
        <f t="shared" si="63"/>
        <v>41.144999999999996</v>
      </c>
      <c r="CH136" s="54">
        <f t="shared" si="63"/>
        <v>41.144999999999996</v>
      </c>
      <c r="CI136" s="54">
        <f t="shared" si="63"/>
        <v>41.144999999999996</v>
      </c>
      <c r="CJ136" s="74">
        <f t="shared" si="69"/>
        <v>548.59999999999991</v>
      </c>
      <c r="CK136" s="59">
        <f t="shared" si="54"/>
        <v>20</v>
      </c>
      <c r="CL136" s="9">
        <f t="shared" si="55"/>
        <v>0</v>
      </c>
      <c r="CM136" s="71">
        <f t="shared" ref="CM136:CM199" si="77">IF(L136=0,E136,(L136-E136+E136))</f>
        <v>548.6</v>
      </c>
      <c r="CN136" s="72"/>
      <c r="CO136" s="73"/>
    </row>
    <row r="137" spans="1:94" ht="20.25" customHeight="1">
      <c r="A137" s="1" t="s">
        <v>381</v>
      </c>
      <c r="B137" s="1" t="s">
        <v>382</v>
      </c>
      <c r="C137" s="1" t="s">
        <v>309</v>
      </c>
      <c r="D137" s="58">
        <f>+VLOOKUP(A137,'[1]BDD-Avk Tx'!B:CE,82,0)</f>
        <v>260</v>
      </c>
      <c r="E137" s="59">
        <v>200.2</v>
      </c>
      <c r="G137" s="4">
        <v>41153</v>
      </c>
      <c r="H137" s="4">
        <f t="shared" si="72"/>
        <v>45647</v>
      </c>
      <c r="I137" s="60" t="str">
        <f>+VLOOKUP(A137,'[1]BDD-Avk Tx'!B:BZ,77,0)</f>
        <v>CDI</v>
      </c>
      <c r="J137" s="4">
        <f t="shared" si="73"/>
        <v>45647</v>
      </c>
      <c r="N137" s="3"/>
      <c r="P137" s="54">
        <f t="shared" ref="P137:P200" si="78">DATEDIF(G137,$AD$6,"m")/12</f>
        <v>13.25</v>
      </c>
      <c r="Q137" s="61">
        <v>3</v>
      </c>
      <c r="R137" s="62">
        <f t="shared" ref="R137:R200" si="79">SUM(S137:AD137)</f>
        <v>20</v>
      </c>
      <c r="S137" s="54">
        <f t="shared" si="67"/>
        <v>1.5</v>
      </c>
      <c r="T137" s="54">
        <f t="shared" si="66"/>
        <v>1.5</v>
      </c>
      <c r="U137" s="54">
        <f t="shared" si="66"/>
        <v>1.5</v>
      </c>
      <c r="V137" s="54">
        <f t="shared" si="66"/>
        <v>1.5</v>
      </c>
      <c r="W137" s="54">
        <f t="shared" si="66"/>
        <v>1.5</v>
      </c>
      <c r="X137" s="54">
        <f t="shared" si="66"/>
        <v>1.5</v>
      </c>
      <c r="Y137" s="54">
        <f t="shared" si="66"/>
        <v>1.5</v>
      </c>
      <c r="Z137" s="54">
        <f t="shared" si="66"/>
        <v>1.5</v>
      </c>
      <c r="AA137" s="54">
        <f t="shared" si="66"/>
        <v>1.5</v>
      </c>
      <c r="AB137" s="54">
        <f t="shared" si="66"/>
        <v>3.5</v>
      </c>
      <c r="AC137" s="54">
        <f t="shared" si="66"/>
        <v>1.5</v>
      </c>
      <c r="AD137" s="54">
        <f t="shared" si="66"/>
        <v>1.5</v>
      </c>
      <c r="AF137" s="62">
        <f t="shared" si="60"/>
        <v>23</v>
      </c>
      <c r="AG137" s="64">
        <v>0</v>
      </c>
      <c r="AH137" s="64">
        <v>14</v>
      </c>
      <c r="AI137" s="65">
        <v>9</v>
      </c>
      <c r="AJ137" s="66"/>
      <c r="AK137" s="64"/>
      <c r="AL137" s="64"/>
      <c r="AM137" s="64"/>
      <c r="AN137" s="64"/>
      <c r="AO137" s="64"/>
      <c r="AP137" s="64"/>
      <c r="AQ137" s="64"/>
      <c r="AR137" s="64"/>
      <c r="AS137" s="67">
        <f t="shared" si="74"/>
        <v>0</v>
      </c>
      <c r="AT137" s="68"/>
      <c r="AU137" s="69">
        <v>21.498076923076923</v>
      </c>
      <c r="AV137" s="62">
        <f t="shared" si="70"/>
        <v>154</v>
      </c>
      <c r="AW137" s="54">
        <f t="shared" si="65"/>
        <v>11.549999999999999</v>
      </c>
      <c r="AX137" s="54">
        <f t="shared" si="65"/>
        <v>11.549999999999999</v>
      </c>
      <c r="AY137" s="54">
        <f t="shared" si="65"/>
        <v>11.549999999999999</v>
      </c>
      <c r="AZ137" s="54">
        <f t="shared" si="64"/>
        <v>11.549999999999999</v>
      </c>
      <c r="BA137" s="54">
        <f t="shared" si="64"/>
        <v>11.549999999999999</v>
      </c>
      <c r="BB137" s="54">
        <f t="shared" si="64"/>
        <v>11.549999999999999</v>
      </c>
      <c r="BC137" s="54">
        <f t="shared" si="64"/>
        <v>11.549999999999999</v>
      </c>
      <c r="BD137" s="54">
        <f t="shared" si="64"/>
        <v>11.549999999999999</v>
      </c>
      <c r="BE137" s="54">
        <f t="shared" si="64"/>
        <v>11.549999999999999</v>
      </c>
      <c r="BF137" s="54">
        <f t="shared" si="71"/>
        <v>26.949999999999996</v>
      </c>
      <c r="BG137" s="54">
        <f t="shared" si="71"/>
        <v>11.549999999999999</v>
      </c>
      <c r="BH137" s="54">
        <f t="shared" si="71"/>
        <v>11.549999999999999</v>
      </c>
      <c r="BI137" s="62">
        <f t="shared" si="68"/>
        <v>-177.09999999999997</v>
      </c>
      <c r="BJ137" s="59">
        <f t="shared" si="62"/>
        <v>0</v>
      </c>
      <c r="BK137" s="59">
        <f t="shared" si="62"/>
        <v>-107.79999999999998</v>
      </c>
      <c r="BL137" s="59">
        <f t="shared" si="62"/>
        <v>-69.3</v>
      </c>
      <c r="BM137" s="59">
        <f t="shared" si="62"/>
        <v>0</v>
      </c>
      <c r="BN137" s="59">
        <f t="shared" si="62"/>
        <v>0</v>
      </c>
      <c r="BO137" s="59">
        <f t="shared" si="62"/>
        <v>0</v>
      </c>
      <c r="BP137" s="59">
        <f t="shared" si="62"/>
        <v>0</v>
      </c>
      <c r="BQ137" s="59">
        <f t="shared" si="62"/>
        <v>0</v>
      </c>
      <c r="BR137" s="59">
        <f t="shared" si="62"/>
        <v>0</v>
      </c>
      <c r="BS137" s="59">
        <f t="shared" si="61"/>
        <v>0</v>
      </c>
      <c r="BT137" s="59">
        <f t="shared" si="61"/>
        <v>0</v>
      </c>
      <c r="BU137" s="59">
        <f t="shared" si="61"/>
        <v>0</v>
      </c>
      <c r="BV137" s="67">
        <f t="shared" si="75"/>
        <v>-1.6019230769230433</v>
      </c>
      <c r="BX137" s="54">
        <f t="shared" si="76"/>
        <v>15.015000000000001</v>
      </c>
      <c r="BY137" s="54">
        <f t="shared" si="76"/>
        <v>15.015000000000001</v>
      </c>
      <c r="BZ137" s="54">
        <f t="shared" si="76"/>
        <v>15.015000000000001</v>
      </c>
      <c r="CA137" s="54">
        <f t="shared" si="76"/>
        <v>15.015000000000001</v>
      </c>
      <c r="CB137" s="54">
        <f t="shared" si="76"/>
        <v>15.015000000000001</v>
      </c>
      <c r="CC137" s="54">
        <f t="shared" si="76"/>
        <v>15.015000000000001</v>
      </c>
      <c r="CD137" s="54">
        <f t="shared" si="63"/>
        <v>15.015000000000001</v>
      </c>
      <c r="CE137" s="54">
        <f t="shared" si="63"/>
        <v>15.015000000000001</v>
      </c>
      <c r="CF137" s="54">
        <f t="shared" si="63"/>
        <v>15.015000000000001</v>
      </c>
      <c r="CG137" s="54">
        <f t="shared" si="63"/>
        <v>35.034999999999997</v>
      </c>
      <c r="CH137" s="54">
        <f t="shared" si="63"/>
        <v>15.015000000000001</v>
      </c>
      <c r="CI137" s="54">
        <f t="shared" si="63"/>
        <v>15.015000000000001</v>
      </c>
      <c r="CJ137" s="74">
        <f t="shared" si="69"/>
        <v>200.2</v>
      </c>
      <c r="CK137" s="59">
        <f t="shared" ref="CK137:CK200" si="80">+IF(P137&lt;5,18,IF(AND(P137&gt;=5,P137&lt;10),19,IF(AND(P137&gt;=10,P137&lt;15),20,IF(AND(P137&gt;=15,P137&lt;20),21,0))))</f>
        <v>20</v>
      </c>
      <c r="CL137" s="9">
        <f t="shared" si="55"/>
        <v>0</v>
      </c>
      <c r="CM137" s="71">
        <f t="shared" si="77"/>
        <v>200.2</v>
      </c>
      <c r="CN137" s="54"/>
      <c r="CO137" s="73"/>
      <c r="CP137" s="56"/>
    </row>
    <row r="138" spans="1:94" ht="20.25" customHeight="1">
      <c r="A138" s="75" t="s">
        <v>383</v>
      </c>
      <c r="B138" s="1" t="s">
        <v>384</v>
      </c>
      <c r="C138" s="1" t="s">
        <v>309</v>
      </c>
      <c r="D138" s="58">
        <f>+VLOOKUP(A138,'[1]BDD-Avk Tx'!B:CE,82,0)</f>
        <v>260</v>
      </c>
      <c r="E138" s="59">
        <v>200.2</v>
      </c>
      <c r="G138" s="4">
        <v>41153</v>
      </c>
      <c r="H138" s="4">
        <f t="shared" si="72"/>
        <v>45647</v>
      </c>
      <c r="I138" s="60" t="str">
        <f>+VLOOKUP(A138,'[1]BDD-Avk Tx'!B:BZ,77,0)</f>
        <v>CDI</v>
      </c>
      <c r="J138" s="4">
        <f t="shared" si="73"/>
        <v>45647</v>
      </c>
      <c r="N138" s="3"/>
      <c r="P138" s="54">
        <f t="shared" si="78"/>
        <v>13.25</v>
      </c>
      <c r="Q138" s="61">
        <v>0</v>
      </c>
      <c r="R138" s="62">
        <f t="shared" si="79"/>
        <v>20</v>
      </c>
      <c r="S138" s="54">
        <f t="shared" si="67"/>
        <v>1.5</v>
      </c>
      <c r="T138" s="54">
        <f t="shared" si="66"/>
        <v>1.5</v>
      </c>
      <c r="U138" s="54">
        <f t="shared" si="66"/>
        <v>1.5</v>
      </c>
      <c r="V138" s="54">
        <f t="shared" si="66"/>
        <v>1.5</v>
      </c>
      <c r="W138" s="54">
        <f t="shared" si="66"/>
        <v>1.5</v>
      </c>
      <c r="X138" s="54">
        <f t="shared" si="66"/>
        <v>1.5</v>
      </c>
      <c r="Y138" s="54">
        <f t="shared" si="66"/>
        <v>1.5</v>
      </c>
      <c r="Z138" s="54">
        <f t="shared" si="66"/>
        <v>1.5</v>
      </c>
      <c r="AA138" s="54">
        <f t="shared" si="66"/>
        <v>1.5</v>
      </c>
      <c r="AB138" s="54">
        <f t="shared" si="66"/>
        <v>3.5</v>
      </c>
      <c r="AC138" s="54">
        <f t="shared" si="66"/>
        <v>1.5</v>
      </c>
      <c r="AD138" s="54">
        <f t="shared" si="66"/>
        <v>1.5</v>
      </c>
      <c r="AF138" s="62">
        <f t="shared" si="60"/>
        <v>0</v>
      </c>
      <c r="AG138" s="64">
        <v>0</v>
      </c>
      <c r="AH138" s="64">
        <v>0</v>
      </c>
      <c r="AI138" s="65">
        <v>0</v>
      </c>
      <c r="AJ138" s="66"/>
      <c r="AK138" s="64"/>
      <c r="AL138" s="64"/>
      <c r="AM138" s="64"/>
      <c r="AN138" s="64"/>
      <c r="AO138" s="64"/>
      <c r="AP138" s="64"/>
      <c r="AQ138" s="64"/>
      <c r="AR138" s="64"/>
      <c r="AS138" s="67">
        <f t="shared" si="74"/>
        <v>20</v>
      </c>
      <c r="AT138" s="68"/>
      <c r="AU138" s="69">
        <v>2.7461538461539305</v>
      </c>
      <c r="AV138" s="62">
        <f t="shared" si="70"/>
        <v>154</v>
      </c>
      <c r="AW138" s="54">
        <f t="shared" si="65"/>
        <v>11.549999999999999</v>
      </c>
      <c r="AX138" s="54">
        <f t="shared" si="65"/>
        <v>11.549999999999999</v>
      </c>
      <c r="AY138" s="54">
        <f t="shared" si="65"/>
        <v>11.549999999999999</v>
      </c>
      <c r="AZ138" s="54">
        <f t="shared" si="64"/>
        <v>11.549999999999999</v>
      </c>
      <c r="BA138" s="54">
        <f t="shared" si="64"/>
        <v>11.549999999999999</v>
      </c>
      <c r="BB138" s="54">
        <f t="shared" si="64"/>
        <v>11.549999999999999</v>
      </c>
      <c r="BC138" s="54">
        <f t="shared" si="64"/>
        <v>11.549999999999999</v>
      </c>
      <c r="BD138" s="54">
        <f t="shared" si="64"/>
        <v>11.549999999999999</v>
      </c>
      <c r="BE138" s="54">
        <f t="shared" si="64"/>
        <v>11.549999999999999</v>
      </c>
      <c r="BF138" s="54">
        <f t="shared" si="71"/>
        <v>26.949999999999996</v>
      </c>
      <c r="BG138" s="54">
        <f t="shared" si="71"/>
        <v>11.549999999999999</v>
      </c>
      <c r="BH138" s="54">
        <f t="shared" si="71"/>
        <v>11.549999999999999</v>
      </c>
      <c r="BI138" s="62">
        <f t="shared" si="68"/>
        <v>0</v>
      </c>
      <c r="BJ138" s="59">
        <f t="shared" si="62"/>
        <v>0</v>
      </c>
      <c r="BK138" s="59">
        <f t="shared" si="62"/>
        <v>0</v>
      </c>
      <c r="BL138" s="59">
        <f t="shared" si="62"/>
        <v>0</v>
      </c>
      <c r="BM138" s="59">
        <f t="shared" si="62"/>
        <v>0</v>
      </c>
      <c r="BN138" s="59">
        <f t="shared" si="62"/>
        <v>0</v>
      </c>
      <c r="BO138" s="59">
        <f t="shared" si="62"/>
        <v>0</v>
      </c>
      <c r="BP138" s="59">
        <f t="shared" si="62"/>
        <v>0</v>
      </c>
      <c r="BQ138" s="59">
        <f t="shared" si="62"/>
        <v>0</v>
      </c>
      <c r="BR138" s="59">
        <f t="shared" si="62"/>
        <v>0</v>
      </c>
      <c r="BS138" s="59">
        <f t="shared" si="61"/>
        <v>0</v>
      </c>
      <c r="BT138" s="59">
        <f t="shared" si="61"/>
        <v>0</v>
      </c>
      <c r="BU138" s="59">
        <f t="shared" si="61"/>
        <v>0</v>
      </c>
      <c r="BV138" s="67">
        <f t="shared" si="75"/>
        <v>156.74615384615393</v>
      </c>
      <c r="BX138" s="54">
        <f t="shared" si="76"/>
        <v>15.015000000000001</v>
      </c>
      <c r="BY138" s="54">
        <f t="shared" si="76"/>
        <v>15.015000000000001</v>
      </c>
      <c r="BZ138" s="54">
        <f t="shared" si="76"/>
        <v>15.015000000000001</v>
      </c>
      <c r="CA138" s="54">
        <f t="shared" si="76"/>
        <v>15.015000000000001</v>
      </c>
      <c r="CB138" s="54">
        <f t="shared" si="76"/>
        <v>15.015000000000001</v>
      </c>
      <c r="CC138" s="54">
        <f t="shared" si="76"/>
        <v>15.015000000000001</v>
      </c>
      <c r="CD138" s="54">
        <f t="shared" si="63"/>
        <v>15.015000000000001</v>
      </c>
      <c r="CE138" s="54">
        <f t="shared" si="63"/>
        <v>15.015000000000001</v>
      </c>
      <c r="CF138" s="54">
        <f t="shared" si="63"/>
        <v>15.015000000000001</v>
      </c>
      <c r="CG138" s="54">
        <f t="shared" si="63"/>
        <v>35.034999999999997</v>
      </c>
      <c r="CH138" s="54">
        <f t="shared" si="63"/>
        <v>15.015000000000001</v>
      </c>
      <c r="CI138" s="54">
        <f t="shared" si="63"/>
        <v>15.015000000000001</v>
      </c>
      <c r="CJ138" s="74">
        <f t="shared" si="69"/>
        <v>200.2</v>
      </c>
      <c r="CK138" s="59">
        <f t="shared" si="80"/>
        <v>20</v>
      </c>
      <c r="CL138" s="9">
        <f t="shared" ref="CL138:CL201" si="81">+CM138-CJ138</f>
        <v>0</v>
      </c>
      <c r="CM138" s="71">
        <f t="shared" si="77"/>
        <v>200.2</v>
      </c>
      <c r="CN138" s="72"/>
      <c r="CO138" s="73"/>
    </row>
    <row r="139" spans="1:94" ht="20.25" customHeight="1">
      <c r="A139" s="1" t="s">
        <v>385</v>
      </c>
      <c r="B139" s="1" t="s">
        <v>386</v>
      </c>
      <c r="C139" s="1" t="s">
        <v>312</v>
      </c>
      <c r="D139" s="58">
        <f>+VLOOKUP(A139,'[1]BDD-Avk Tx'!B:CE,82,0)</f>
        <v>212</v>
      </c>
      <c r="E139" s="59">
        <v>200.2</v>
      </c>
      <c r="G139" s="4">
        <v>41295</v>
      </c>
      <c r="H139" s="4">
        <f t="shared" si="72"/>
        <v>45647</v>
      </c>
      <c r="I139" s="60" t="str">
        <f>+VLOOKUP(A139,'[1]BDD-Avk Tx'!B:BZ,77,0)</f>
        <v>CDI</v>
      </c>
      <c r="J139" s="4">
        <f t="shared" si="73"/>
        <v>45647</v>
      </c>
      <c r="N139" s="3"/>
      <c r="P139" s="54">
        <f t="shared" si="78"/>
        <v>12.833333333333334</v>
      </c>
      <c r="Q139" s="61">
        <v>21</v>
      </c>
      <c r="R139" s="62">
        <f t="shared" si="79"/>
        <v>20</v>
      </c>
      <c r="S139" s="54">
        <f t="shared" si="67"/>
        <v>1.5</v>
      </c>
      <c r="T139" s="54">
        <f t="shared" si="66"/>
        <v>3.5</v>
      </c>
      <c r="U139" s="54">
        <f t="shared" si="66"/>
        <v>1.5</v>
      </c>
      <c r="V139" s="54">
        <f t="shared" si="66"/>
        <v>1.5</v>
      </c>
      <c r="W139" s="54">
        <f t="shared" si="66"/>
        <v>1.5</v>
      </c>
      <c r="X139" s="54">
        <f t="shared" si="66"/>
        <v>1.5</v>
      </c>
      <c r="Y139" s="54">
        <f t="shared" si="66"/>
        <v>1.5</v>
      </c>
      <c r="Z139" s="54">
        <f t="shared" si="66"/>
        <v>1.5</v>
      </c>
      <c r="AA139" s="54">
        <f t="shared" si="66"/>
        <v>1.5</v>
      </c>
      <c r="AB139" s="54">
        <f t="shared" si="66"/>
        <v>1.5</v>
      </c>
      <c r="AC139" s="54">
        <f t="shared" si="66"/>
        <v>1.5</v>
      </c>
      <c r="AD139" s="54">
        <f t="shared" si="66"/>
        <v>1.5</v>
      </c>
      <c r="AF139" s="62">
        <f t="shared" si="60"/>
        <v>26</v>
      </c>
      <c r="AG139" s="64">
        <v>0</v>
      </c>
      <c r="AH139" s="64">
        <v>14</v>
      </c>
      <c r="AI139" s="65">
        <v>12</v>
      </c>
      <c r="AJ139" s="66"/>
      <c r="AK139" s="64"/>
      <c r="AL139" s="64"/>
      <c r="AM139" s="64"/>
      <c r="AN139" s="64"/>
      <c r="AO139" s="64"/>
      <c r="AP139" s="64"/>
      <c r="AQ139" s="64"/>
      <c r="AR139" s="64"/>
      <c r="AS139" s="67">
        <f t="shared" si="74"/>
        <v>15</v>
      </c>
      <c r="AT139" s="68"/>
      <c r="AU139" s="69">
        <v>162.6153846153847</v>
      </c>
      <c r="AV139" s="62">
        <f t="shared" si="70"/>
        <v>154</v>
      </c>
      <c r="AW139" s="54">
        <f t="shared" si="65"/>
        <v>11.549999999999999</v>
      </c>
      <c r="AX139" s="54">
        <f t="shared" si="65"/>
        <v>26.949999999999996</v>
      </c>
      <c r="AY139" s="54">
        <f t="shared" si="65"/>
        <v>11.549999999999999</v>
      </c>
      <c r="AZ139" s="54">
        <f t="shared" si="64"/>
        <v>11.549999999999999</v>
      </c>
      <c r="BA139" s="54">
        <f t="shared" si="64"/>
        <v>11.549999999999999</v>
      </c>
      <c r="BB139" s="54">
        <f t="shared" si="64"/>
        <v>11.549999999999999</v>
      </c>
      <c r="BC139" s="54">
        <f t="shared" si="64"/>
        <v>11.549999999999999</v>
      </c>
      <c r="BD139" s="54">
        <f t="shared" si="64"/>
        <v>11.549999999999999</v>
      </c>
      <c r="BE139" s="54">
        <f t="shared" si="64"/>
        <v>11.549999999999999</v>
      </c>
      <c r="BF139" s="54">
        <f t="shared" si="71"/>
        <v>11.549999999999999</v>
      </c>
      <c r="BG139" s="54">
        <f t="shared" si="71"/>
        <v>11.549999999999999</v>
      </c>
      <c r="BH139" s="54">
        <f t="shared" si="71"/>
        <v>11.549999999999999</v>
      </c>
      <c r="BI139" s="62">
        <f t="shared" si="68"/>
        <v>-200.2</v>
      </c>
      <c r="BJ139" s="59">
        <f t="shared" si="62"/>
        <v>0</v>
      </c>
      <c r="BK139" s="59">
        <f t="shared" si="62"/>
        <v>-107.79999999999998</v>
      </c>
      <c r="BL139" s="59">
        <f t="shared" si="62"/>
        <v>-92.399999999999991</v>
      </c>
      <c r="BM139" s="59">
        <f t="shared" si="62"/>
        <v>0</v>
      </c>
      <c r="BN139" s="59">
        <f t="shared" si="62"/>
        <v>0</v>
      </c>
      <c r="BO139" s="59">
        <f t="shared" si="62"/>
        <v>0</v>
      </c>
      <c r="BP139" s="59">
        <f t="shared" si="62"/>
        <v>0</v>
      </c>
      <c r="BQ139" s="59">
        <f t="shared" si="62"/>
        <v>0</v>
      </c>
      <c r="BR139" s="59">
        <f t="shared" si="62"/>
        <v>0</v>
      </c>
      <c r="BS139" s="59">
        <f t="shared" si="61"/>
        <v>0</v>
      </c>
      <c r="BT139" s="59">
        <f t="shared" si="61"/>
        <v>0</v>
      </c>
      <c r="BU139" s="59">
        <f t="shared" si="61"/>
        <v>0</v>
      </c>
      <c r="BV139" s="67">
        <f t="shared" si="75"/>
        <v>116.41538461538471</v>
      </c>
      <c r="BX139" s="54">
        <f t="shared" si="76"/>
        <v>15.015000000000001</v>
      </c>
      <c r="BY139" s="54">
        <f t="shared" si="76"/>
        <v>35.034999999999997</v>
      </c>
      <c r="BZ139" s="54">
        <f t="shared" si="76"/>
        <v>15.015000000000001</v>
      </c>
      <c r="CA139" s="54">
        <f t="shared" si="76"/>
        <v>15.015000000000001</v>
      </c>
      <c r="CB139" s="54">
        <f t="shared" si="76"/>
        <v>15.015000000000001</v>
      </c>
      <c r="CC139" s="54">
        <f t="shared" si="76"/>
        <v>15.015000000000001</v>
      </c>
      <c r="CD139" s="54">
        <f t="shared" si="63"/>
        <v>15.015000000000001</v>
      </c>
      <c r="CE139" s="54">
        <f t="shared" si="63"/>
        <v>15.015000000000001</v>
      </c>
      <c r="CF139" s="54">
        <f t="shared" si="63"/>
        <v>15.015000000000001</v>
      </c>
      <c r="CG139" s="54">
        <f t="shared" si="63"/>
        <v>15.015000000000001</v>
      </c>
      <c r="CH139" s="54">
        <f t="shared" si="63"/>
        <v>15.015000000000001</v>
      </c>
      <c r="CI139" s="54">
        <f t="shared" si="63"/>
        <v>15.015000000000001</v>
      </c>
      <c r="CJ139" s="74">
        <f t="shared" si="69"/>
        <v>200.19999999999993</v>
      </c>
      <c r="CK139" s="59">
        <f t="shared" si="80"/>
        <v>20</v>
      </c>
      <c r="CL139" s="9">
        <f t="shared" si="81"/>
        <v>0</v>
      </c>
      <c r="CM139" s="71">
        <f t="shared" si="77"/>
        <v>200.2</v>
      </c>
      <c r="CN139" s="54"/>
      <c r="CO139" s="73"/>
      <c r="CP139" s="56"/>
    </row>
    <row r="140" spans="1:94" ht="20.25" customHeight="1">
      <c r="A140" s="75" t="s">
        <v>387</v>
      </c>
      <c r="B140" s="1" t="s">
        <v>388</v>
      </c>
      <c r="C140" s="1" t="s">
        <v>309</v>
      </c>
      <c r="D140" s="58">
        <f>+VLOOKUP(A140,'[1]BDD-Avk Tx'!B:CE,82,0)</f>
        <v>260</v>
      </c>
      <c r="E140" s="59">
        <v>200.2</v>
      </c>
      <c r="G140" s="4">
        <v>41641</v>
      </c>
      <c r="H140" s="4">
        <f t="shared" si="72"/>
        <v>45647</v>
      </c>
      <c r="I140" s="60" t="str">
        <f>+VLOOKUP(A140,'[1]BDD-Avk Tx'!B:BZ,77,0)</f>
        <v>CDI</v>
      </c>
      <c r="J140" s="4">
        <f t="shared" si="73"/>
        <v>45647</v>
      </c>
      <c r="N140" s="3"/>
      <c r="P140" s="54">
        <f t="shared" si="78"/>
        <v>11.916666666666666</v>
      </c>
      <c r="Q140" s="61">
        <v>0</v>
      </c>
      <c r="R140" s="62">
        <f t="shared" si="79"/>
        <v>20</v>
      </c>
      <c r="S140" s="54">
        <f t="shared" si="67"/>
        <v>1.5</v>
      </c>
      <c r="T140" s="54">
        <f t="shared" si="66"/>
        <v>3.5</v>
      </c>
      <c r="U140" s="54">
        <f t="shared" si="66"/>
        <v>1.5</v>
      </c>
      <c r="V140" s="54">
        <f t="shared" si="66"/>
        <v>1.5</v>
      </c>
      <c r="W140" s="54">
        <f t="shared" si="66"/>
        <v>1.5</v>
      </c>
      <c r="X140" s="54">
        <f t="shared" si="66"/>
        <v>1.5</v>
      </c>
      <c r="Y140" s="54">
        <f t="shared" si="66"/>
        <v>1.5</v>
      </c>
      <c r="Z140" s="54">
        <f t="shared" si="66"/>
        <v>1.5</v>
      </c>
      <c r="AA140" s="54">
        <f t="shared" si="66"/>
        <v>1.5</v>
      </c>
      <c r="AB140" s="54">
        <f t="shared" si="66"/>
        <v>1.5</v>
      </c>
      <c r="AC140" s="54">
        <f t="shared" si="66"/>
        <v>1.5</v>
      </c>
      <c r="AD140" s="54">
        <f t="shared" si="66"/>
        <v>1.5</v>
      </c>
      <c r="AF140" s="62">
        <f t="shared" si="60"/>
        <v>20</v>
      </c>
      <c r="AG140" s="64">
        <v>10</v>
      </c>
      <c r="AH140" s="64">
        <v>10</v>
      </c>
      <c r="AI140" s="65">
        <v>0</v>
      </c>
      <c r="AJ140" s="66"/>
      <c r="AK140" s="64"/>
      <c r="AL140" s="64"/>
      <c r="AM140" s="64"/>
      <c r="AN140" s="64"/>
      <c r="AO140" s="64"/>
      <c r="AP140" s="64"/>
      <c r="AQ140" s="64"/>
      <c r="AR140" s="64"/>
      <c r="AS140" s="67">
        <f t="shared" si="74"/>
        <v>0</v>
      </c>
      <c r="AT140" s="68"/>
      <c r="AU140" s="69">
        <v>4.4596153846154323</v>
      </c>
      <c r="AV140" s="62">
        <f t="shared" si="70"/>
        <v>154</v>
      </c>
      <c r="AW140" s="54">
        <f t="shared" si="65"/>
        <v>11.549999999999999</v>
      </c>
      <c r="AX140" s="54">
        <f t="shared" si="65"/>
        <v>26.949999999999996</v>
      </c>
      <c r="AY140" s="54">
        <f t="shared" si="65"/>
        <v>11.549999999999999</v>
      </c>
      <c r="AZ140" s="54">
        <f t="shared" si="64"/>
        <v>11.549999999999999</v>
      </c>
      <c r="BA140" s="54">
        <f t="shared" si="64"/>
        <v>11.549999999999999</v>
      </c>
      <c r="BB140" s="54">
        <f t="shared" si="64"/>
        <v>11.549999999999999</v>
      </c>
      <c r="BC140" s="54">
        <f t="shared" si="64"/>
        <v>11.549999999999999</v>
      </c>
      <c r="BD140" s="54">
        <f t="shared" si="64"/>
        <v>11.549999999999999</v>
      </c>
      <c r="BE140" s="54">
        <f t="shared" si="64"/>
        <v>11.549999999999999</v>
      </c>
      <c r="BF140" s="54">
        <f t="shared" si="71"/>
        <v>11.549999999999999</v>
      </c>
      <c r="BG140" s="54">
        <f t="shared" si="71"/>
        <v>11.549999999999999</v>
      </c>
      <c r="BH140" s="54">
        <f t="shared" si="71"/>
        <v>11.549999999999999</v>
      </c>
      <c r="BI140" s="62">
        <f t="shared" si="68"/>
        <v>-154</v>
      </c>
      <c r="BJ140" s="59">
        <f t="shared" si="62"/>
        <v>-77</v>
      </c>
      <c r="BK140" s="59">
        <f t="shared" si="62"/>
        <v>-77</v>
      </c>
      <c r="BL140" s="59">
        <f t="shared" si="62"/>
        <v>0</v>
      </c>
      <c r="BM140" s="59">
        <f t="shared" ref="BM140:BU183" si="82">(+IF($K140="",$E140/26*AJ140,IF(MONTH($K140)=MONTH(BM$5),$L140/26*AJ140,IF(AND($K140&lt;BM$5,(MONTH($K140)&lt;&gt;MONTH(BM$5))),$L140/26*AJ140,$E140/26*AJ140))))*-1</f>
        <v>0</v>
      </c>
      <c r="BN140" s="59">
        <f t="shared" si="82"/>
        <v>0</v>
      </c>
      <c r="BO140" s="59">
        <f t="shared" si="82"/>
        <v>0</v>
      </c>
      <c r="BP140" s="59">
        <f t="shared" si="82"/>
        <v>0</v>
      </c>
      <c r="BQ140" s="59">
        <f t="shared" si="82"/>
        <v>0</v>
      </c>
      <c r="BR140" s="59">
        <f t="shared" si="82"/>
        <v>0</v>
      </c>
      <c r="BS140" s="59">
        <f t="shared" si="61"/>
        <v>0</v>
      </c>
      <c r="BT140" s="59">
        <f t="shared" si="61"/>
        <v>0</v>
      </c>
      <c r="BU140" s="59">
        <f t="shared" si="61"/>
        <v>0</v>
      </c>
      <c r="BV140" s="67">
        <f t="shared" si="75"/>
        <v>4.4596153846154323</v>
      </c>
      <c r="BX140" s="54">
        <f t="shared" si="76"/>
        <v>15.015000000000001</v>
      </c>
      <c r="BY140" s="54">
        <f t="shared" si="76"/>
        <v>35.034999999999997</v>
      </c>
      <c r="BZ140" s="54">
        <f t="shared" si="76"/>
        <v>15.015000000000001</v>
      </c>
      <c r="CA140" s="54">
        <f t="shared" si="76"/>
        <v>15.015000000000001</v>
      </c>
      <c r="CB140" s="54">
        <f t="shared" si="76"/>
        <v>15.015000000000001</v>
      </c>
      <c r="CC140" s="54">
        <f t="shared" si="76"/>
        <v>15.015000000000001</v>
      </c>
      <c r="CD140" s="54">
        <f t="shared" si="63"/>
        <v>15.015000000000001</v>
      </c>
      <c r="CE140" s="54">
        <f t="shared" si="63"/>
        <v>15.015000000000001</v>
      </c>
      <c r="CF140" s="54">
        <f t="shared" si="63"/>
        <v>15.015000000000001</v>
      </c>
      <c r="CG140" s="54">
        <f t="shared" si="63"/>
        <v>15.015000000000001</v>
      </c>
      <c r="CH140" s="54">
        <f t="shared" si="63"/>
        <v>15.015000000000001</v>
      </c>
      <c r="CI140" s="54">
        <f t="shared" si="63"/>
        <v>15.015000000000001</v>
      </c>
      <c r="CJ140" s="74">
        <f t="shared" si="69"/>
        <v>200.19999999999993</v>
      </c>
      <c r="CK140" s="59">
        <f t="shared" si="80"/>
        <v>20</v>
      </c>
      <c r="CL140" s="9">
        <f t="shared" si="81"/>
        <v>0</v>
      </c>
      <c r="CM140" s="71">
        <f t="shared" si="77"/>
        <v>200.2</v>
      </c>
      <c r="CN140" s="72"/>
      <c r="CO140" s="73"/>
    </row>
    <row r="141" spans="1:94" ht="20.25" customHeight="1">
      <c r="A141" s="1" t="s">
        <v>389</v>
      </c>
      <c r="B141" s="1" t="s">
        <v>390</v>
      </c>
      <c r="C141" s="1" t="s">
        <v>391</v>
      </c>
      <c r="D141" s="58">
        <f>+VLOOKUP(A141,'[1]BDD-Avk Tx'!B:CE,82,0)</f>
        <v>710</v>
      </c>
      <c r="E141" s="59">
        <v>846.3</v>
      </c>
      <c r="G141" s="4">
        <v>41153</v>
      </c>
      <c r="H141" s="4">
        <f t="shared" si="72"/>
        <v>45647</v>
      </c>
      <c r="I141" s="60" t="str">
        <f>+VLOOKUP(A141,'[1]BDD-Avk Tx'!B:BZ,77,0)</f>
        <v>CDI</v>
      </c>
      <c r="J141" s="4">
        <f t="shared" si="73"/>
        <v>45647</v>
      </c>
      <c r="N141" s="3"/>
      <c r="P141" s="54">
        <f t="shared" si="78"/>
        <v>13.25</v>
      </c>
      <c r="Q141" s="61">
        <v>-1</v>
      </c>
      <c r="R141" s="62">
        <f t="shared" si="79"/>
        <v>20</v>
      </c>
      <c r="S141" s="54">
        <f t="shared" si="67"/>
        <v>1.5</v>
      </c>
      <c r="T141" s="54">
        <f t="shared" si="66"/>
        <v>1.5</v>
      </c>
      <c r="U141" s="54">
        <f t="shared" si="66"/>
        <v>1.5</v>
      </c>
      <c r="V141" s="54">
        <f t="shared" si="66"/>
        <v>1.5</v>
      </c>
      <c r="W141" s="54">
        <f t="shared" si="66"/>
        <v>1.5</v>
      </c>
      <c r="X141" s="54">
        <f t="shared" si="66"/>
        <v>1.5</v>
      </c>
      <c r="Y141" s="54">
        <f t="shared" si="66"/>
        <v>1.5</v>
      </c>
      <c r="Z141" s="54">
        <f t="shared" si="66"/>
        <v>1.5</v>
      </c>
      <c r="AA141" s="54">
        <f t="shared" si="66"/>
        <v>1.5</v>
      </c>
      <c r="AB141" s="54">
        <f t="shared" si="66"/>
        <v>3.5</v>
      </c>
      <c r="AC141" s="54">
        <f t="shared" si="66"/>
        <v>1.5</v>
      </c>
      <c r="AD141" s="54">
        <f t="shared" si="66"/>
        <v>1.5</v>
      </c>
      <c r="AF141" s="62">
        <f t="shared" si="60"/>
        <v>0</v>
      </c>
      <c r="AG141" s="64">
        <v>0</v>
      </c>
      <c r="AH141" s="64">
        <v>0</v>
      </c>
      <c r="AI141" s="65">
        <v>0</v>
      </c>
      <c r="AJ141" s="66"/>
      <c r="AK141" s="64"/>
      <c r="AL141" s="64"/>
      <c r="AM141" s="64"/>
      <c r="AN141" s="64"/>
      <c r="AO141" s="64"/>
      <c r="AP141" s="64"/>
      <c r="AQ141" s="64"/>
      <c r="AR141" s="64"/>
      <c r="AS141" s="67">
        <f t="shared" si="74"/>
        <v>19</v>
      </c>
      <c r="AT141" s="68"/>
      <c r="AU141" s="69">
        <v>-34.265384615384164</v>
      </c>
      <c r="AV141" s="62">
        <f t="shared" si="70"/>
        <v>651</v>
      </c>
      <c r="AW141" s="54">
        <f t="shared" si="65"/>
        <v>48.824999999999996</v>
      </c>
      <c r="AX141" s="54">
        <f t="shared" si="65"/>
        <v>48.824999999999996</v>
      </c>
      <c r="AY141" s="54">
        <f t="shared" si="65"/>
        <v>48.824999999999996</v>
      </c>
      <c r="AZ141" s="54">
        <f t="shared" si="64"/>
        <v>48.824999999999996</v>
      </c>
      <c r="BA141" s="54">
        <f t="shared" si="64"/>
        <v>48.824999999999996</v>
      </c>
      <c r="BB141" s="54">
        <f t="shared" si="64"/>
        <v>48.824999999999996</v>
      </c>
      <c r="BC141" s="54">
        <f t="shared" si="64"/>
        <v>48.824999999999996</v>
      </c>
      <c r="BD141" s="54">
        <f t="shared" si="64"/>
        <v>48.824999999999996</v>
      </c>
      <c r="BE141" s="54">
        <f t="shared" si="64"/>
        <v>48.824999999999996</v>
      </c>
      <c r="BF141" s="54">
        <f t="shared" si="71"/>
        <v>113.92499999999998</v>
      </c>
      <c r="BG141" s="54">
        <f t="shared" si="71"/>
        <v>48.824999999999996</v>
      </c>
      <c r="BH141" s="54">
        <f t="shared" si="71"/>
        <v>48.824999999999996</v>
      </c>
      <c r="BI141" s="62">
        <f t="shared" si="68"/>
        <v>0</v>
      </c>
      <c r="BJ141" s="59">
        <f t="shared" ref="BJ141:BO192" si="83">(+IF($K141="",$E141/26*AG141,IF(MONTH($K141)=MONTH(BJ$5),$L141/26*AG141,IF(AND($K141&lt;BJ$5,(MONTH($K141)&lt;&gt;MONTH(BJ$5))),$L141/26*AG141,$E141/26*AG141))))*-1</f>
        <v>0</v>
      </c>
      <c r="BK141" s="59">
        <f t="shared" si="83"/>
        <v>0</v>
      </c>
      <c r="BL141" s="59">
        <f t="shared" si="83"/>
        <v>0</v>
      </c>
      <c r="BM141" s="59">
        <f t="shared" si="82"/>
        <v>0</v>
      </c>
      <c r="BN141" s="59">
        <f t="shared" si="82"/>
        <v>0</v>
      </c>
      <c r="BO141" s="59">
        <f t="shared" si="82"/>
        <v>0</v>
      </c>
      <c r="BP141" s="59">
        <f t="shared" si="82"/>
        <v>0</v>
      </c>
      <c r="BQ141" s="59">
        <f t="shared" si="82"/>
        <v>0</v>
      </c>
      <c r="BR141" s="59">
        <f t="shared" si="82"/>
        <v>0</v>
      </c>
      <c r="BS141" s="59">
        <f t="shared" si="61"/>
        <v>0</v>
      </c>
      <c r="BT141" s="59">
        <f t="shared" si="61"/>
        <v>0</v>
      </c>
      <c r="BU141" s="59">
        <f t="shared" si="61"/>
        <v>0</v>
      </c>
      <c r="BV141" s="67">
        <f t="shared" si="75"/>
        <v>616.73461538461584</v>
      </c>
      <c r="BX141" s="54">
        <f t="shared" si="76"/>
        <v>63.472499999999997</v>
      </c>
      <c r="BY141" s="54">
        <f t="shared" si="76"/>
        <v>63.472499999999997</v>
      </c>
      <c r="BZ141" s="54">
        <f t="shared" si="76"/>
        <v>63.472499999999997</v>
      </c>
      <c r="CA141" s="54">
        <f t="shared" si="76"/>
        <v>63.472499999999997</v>
      </c>
      <c r="CB141" s="54">
        <f t="shared" si="76"/>
        <v>63.472499999999997</v>
      </c>
      <c r="CC141" s="54">
        <f t="shared" si="76"/>
        <v>63.472499999999997</v>
      </c>
      <c r="CD141" s="54">
        <f t="shared" si="63"/>
        <v>63.472499999999997</v>
      </c>
      <c r="CE141" s="54">
        <f t="shared" si="63"/>
        <v>63.472499999999997</v>
      </c>
      <c r="CF141" s="54">
        <f t="shared" si="63"/>
        <v>63.472499999999997</v>
      </c>
      <c r="CG141" s="54">
        <f t="shared" si="63"/>
        <v>148.10249999999999</v>
      </c>
      <c r="CH141" s="54">
        <f t="shared" si="63"/>
        <v>63.472499999999997</v>
      </c>
      <c r="CI141" s="54">
        <f t="shared" si="63"/>
        <v>63.472499999999997</v>
      </c>
      <c r="CJ141" s="74">
        <f t="shared" si="69"/>
        <v>846.29999999999973</v>
      </c>
      <c r="CK141" s="59">
        <f t="shared" si="80"/>
        <v>20</v>
      </c>
      <c r="CL141" s="9">
        <f t="shared" si="81"/>
        <v>0</v>
      </c>
      <c r="CM141" s="71">
        <f t="shared" si="77"/>
        <v>846.3</v>
      </c>
      <c r="CN141" s="54"/>
      <c r="CO141" s="73"/>
      <c r="CP141" s="56"/>
    </row>
    <row r="142" spans="1:94" ht="20.25" customHeight="1">
      <c r="A142" s="1" t="s">
        <v>392</v>
      </c>
      <c r="B142" s="1" t="s">
        <v>393</v>
      </c>
      <c r="C142" s="1" t="s">
        <v>394</v>
      </c>
      <c r="D142" s="58">
        <f>+VLOOKUP(A142,'[1]BDD-Avk Tx'!B:CE,82,0)</f>
        <v>710</v>
      </c>
      <c r="E142" s="59">
        <v>548.6</v>
      </c>
      <c r="G142" s="4">
        <v>41153</v>
      </c>
      <c r="H142" s="4">
        <f t="shared" si="72"/>
        <v>45647</v>
      </c>
      <c r="I142" s="60" t="str">
        <f>+VLOOKUP(A142,'[1]BDD-Avk Tx'!B:BZ,77,0)</f>
        <v>CDI</v>
      </c>
      <c r="J142" s="4">
        <f t="shared" si="73"/>
        <v>45647</v>
      </c>
      <c r="N142" s="3"/>
      <c r="P142" s="54">
        <f t="shared" si="78"/>
        <v>13.25</v>
      </c>
      <c r="Q142" s="61">
        <v>46</v>
      </c>
      <c r="R142" s="62">
        <f t="shared" si="79"/>
        <v>20</v>
      </c>
      <c r="S142" s="54">
        <f t="shared" si="67"/>
        <v>1.5</v>
      </c>
      <c r="T142" s="54">
        <f t="shared" si="66"/>
        <v>1.5</v>
      </c>
      <c r="U142" s="54">
        <f t="shared" si="66"/>
        <v>1.5</v>
      </c>
      <c r="V142" s="54">
        <f t="shared" si="66"/>
        <v>1.5</v>
      </c>
      <c r="W142" s="54">
        <f t="shared" si="66"/>
        <v>1.5</v>
      </c>
      <c r="X142" s="54">
        <f t="shared" si="66"/>
        <v>1.5</v>
      </c>
      <c r="Y142" s="54">
        <f t="shared" si="66"/>
        <v>1.5</v>
      </c>
      <c r="Z142" s="54">
        <f t="shared" si="66"/>
        <v>1.5</v>
      </c>
      <c r="AA142" s="54">
        <f t="shared" si="66"/>
        <v>1.5</v>
      </c>
      <c r="AB142" s="54">
        <f t="shared" si="66"/>
        <v>3.5</v>
      </c>
      <c r="AC142" s="54">
        <f t="shared" si="66"/>
        <v>1.5</v>
      </c>
      <c r="AD142" s="54">
        <f t="shared" si="66"/>
        <v>1.5</v>
      </c>
      <c r="AF142" s="62">
        <f t="shared" si="60"/>
        <v>19</v>
      </c>
      <c r="AG142" s="64">
        <v>0</v>
      </c>
      <c r="AH142" s="64">
        <v>7</v>
      </c>
      <c r="AI142" s="65">
        <v>12</v>
      </c>
      <c r="AJ142" s="66"/>
      <c r="AK142" s="64"/>
      <c r="AL142" s="64"/>
      <c r="AM142" s="64"/>
      <c r="AN142" s="64"/>
      <c r="AO142" s="64"/>
      <c r="AP142" s="64"/>
      <c r="AQ142" s="64"/>
      <c r="AR142" s="64"/>
      <c r="AS142" s="67">
        <f t="shared" si="74"/>
        <v>47</v>
      </c>
      <c r="AT142" s="68"/>
      <c r="AU142" s="69">
        <v>919.4</v>
      </c>
      <c r="AV142" s="62">
        <f t="shared" si="70"/>
        <v>422</v>
      </c>
      <c r="AW142" s="54">
        <f t="shared" si="65"/>
        <v>31.650000000000002</v>
      </c>
      <c r="AX142" s="54">
        <f t="shared" si="65"/>
        <v>31.650000000000002</v>
      </c>
      <c r="AY142" s="54">
        <f t="shared" si="65"/>
        <v>31.650000000000002</v>
      </c>
      <c r="AZ142" s="54">
        <f t="shared" si="64"/>
        <v>31.650000000000002</v>
      </c>
      <c r="BA142" s="54">
        <f t="shared" si="64"/>
        <v>31.650000000000002</v>
      </c>
      <c r="BB142" s="54">
        <f t="shared" si="64"/>
        <v>31.650000000000002</v>
      </c>
      <c r="BC142" s="54">
        <f t="shared" si="64"/>
        <v>31.650000000000002</v>
      </c>
      <c r="BD142" s="54">
        <f t="shared" si="64"/>
        <v>31.650000000000002</v>
      </c>
      <c r="BE142" s="54">
        <f t="shared" si="64"/>
        <v>31.650000000000002</v>
      </c>
      <c r="BF142" s="54">
        <f t="shared" si="71"/>
        <v>73.850000000000009</v>
      </c>
      <c r="BG142" s="54">
        <f t="shared" si="71"/>
        <v>31.650000000000002</v>
      </c>
      <c r="BH142" s="54">
        <f t="shared" si="71"/>
        <v>31.650000000000002</v>
      </c>
      <c r="BI142" s="62">
        <f t="shared" si="68"/>
        <v>-400.90000000000003</v>
      </c>
      <c r="BJ142" s="59">
        <f t="shared" si="83"/>
        <v>0</v>
      </c>
      <c r="BK142" s="59">
        <f t="shared" si="83"/>
        <v>-147.70000000000002</v>
      </c>
      <c r="BL142" s="59">
        <f t="shared" si="83"/>
        <v>-253.20000000000002</v>
      </c>
      <c r="BM142" s="59">
        <f t="shared" si="82"/>
        <v>0</v>
      </c>
      <c r="BN142" s="59">
        <f t="shared" si="82"/>
        <v>0</v>
      </c>
      <c r="BO142" s="59">
        <f t="shared" si="82"/>
        <v>0</v>
      </c>
      <c r="BP142" s="59">
        <f t="shared" si="82"/>
        <v>0</v>
      </c>
      <c r="BQ142" s="59">
        <f t="shared" si="82"/>
        <v>0</v>
      </c>
      <c r="BR142" s="59">
        <f t="shared" si="82"/>
        <v>0</v>
      </c>
      <c r="BS142" s="59">
        <f t="shared" si="61"/>
        <v>0</v>
      </c>
      <c r="BT142" s="59">
        <f t="shared" si="61"/>
        <v>0</v>
      </c>
      <c r="BU142" s="59">
        <f t="shared" si="61"/>
        <v>0</v>
      </c>
      <c r="BV142" s="67">
        <f t="shared" si="75"/>
        <v>940.5</v>
      </c>
      <c r="BX142" s="54">
        <f t="shared" si="76"/>
        <v>41.144999999999996</v>
      </c>
      <c r="BY142" s="54">
        <f t="shared" si="76"/>
        <v>41.144999999999996</v>
      </c>
      <c r="BZ142" s="54">
        <f t="shared" si="76"/>
        <v>41.144999999999996</v>
      </c>
      <c r="CA142" s="54">
        <f t="shared" si="76"/>
        <v>41.144999999999996</v>
      </c>
      <c r="CB142" s="54">
        <f t="shared" si="76"/>
        <v>41.144999999999996</v>
      </c>
      <c r="CC142" s="54">
        <f t="shared" si="76"/>
        <v>41.144999999999996</v>
      </c>
      <c r="CD142" s="54">
        <f t="shared" si="63"/>
        <v>41.144999999999996</v>
      </c>
      <c r="CE142" s="54">
        <f t="shared" si="63"/>
        <v>41.144999999999996</v>
      </c>
      <c r="CF142" s="54">
        <f t="shared" si="63"/>
        <v>41.144999999999996</v>
      </c>
      <c r="CG142" s="54">
        <f t="shared" si="63"/>
        <v>96.004999999999995</v>
      </c>
      <c r="CH142" s="54">
        <f t="shared" si="63"/>
        <v>41.144999999999996</v>
      </c>
      <c r="CI142" s="54">
        <f t="shared" si="63"/>
        <v>41.144999999999996</v>
      </c>
      <c r="CJ142" s="74">
        <f t="shared" si="69"/>
        <v>548.59999999999991</v>
      </c>
      <c r="CK142" s="59">
        <f t="shared" si="80"/>
        <v>20</v>
      </c>
      <c r="CL142" s="9">
        <f t="shared" si="81"/>
        <v>0</v>
      </c>
      <c r="CM142" s="71">
        <f t="shared" si="77"/>
        <v>548.6</v>
      </c>
      <c r="CN142" s="72"/>
      <c r="CO142" s="73"/>
    </row>
    <row r="143" spans="1:94" ht="20.25" customHeight="1">
      <c r="A143" s="75" t="s">
        <v>395</v>
      </c>
      <c r="B143" s="1" t="s">
        <v>396</v>
      </c>
      <c r="C143" s="1" t="s">
        <v>397</v>
      </c>
      <c r="D143" s="58">
        <f>+VLOOKUP(A143,'[1]BDD-Avk Tx'!B:CE,82,0)</f>
        <v>481</v>
      </c>
      <c r="E143" s="59">
        <v>172.9</v>
      </c>
      <c r="G143" s="4">
        <v>42217</v>
      </c>
      <c r="H143" s="4">
        <f t="shared" si="72"/>
        <v>45647</v>
      </c>
      <c r="I143" s="60" t="str">
        <f>+VLOOKUP(A143,'[1]BDD-Avk Tx'!B:BZ,77,0)</f>
        <v>CDI</v>
      </c>
      <c r="J143" s="4">
        <f t="shared" si="73"/>
        <v>45647</v>
      </c>
      <c r="N143" s="3"/>
      <c r="P143" s="54">
        <f t="shared" si="78"/>
        <v>10.333333333333334</v>
      </c>
      <c r="Q143" s="61">
        <v>-1.5</v>
      </c>
      <c r="R143" s="62">
        <f t="shared" si="79"/>
        <v>20</v>
      </c>
      <c r="S143" s="54">
        <f t="shared" si="67"/>
        <v>1.5</v>
      </c>
      <c r="T143" s="54">
        <f t="shared" si="66"/>
        <v>1.5</v>
      </c>
      <c r="U143" s="54">
        <f t="shared" si="66"/>
        <v>1.5</v>
      </c>
      <c r="V143" s="54">
        <f t="shared" si="66"/>
        <v>1.5</v>
      </c>
      <c r="W143" s="54">
        <f t="shared" si="66"/>
        <v>1.5</v>
      </c>
      <c r="X143" s="54">
        <f t="shared" si="66"/>
        <v>1.5</v>
      </c>
      <c r="Y143" s="54">
        <f t="shared" si="66"/>
        <v>1.5</v>
      </c>
      <c r="Z143" s="54">
        <f t="shared" si="66"/>
        <v>1.5</v>
      </c>
      <c r="AA143" s="54">
        <f t="shared" si="66"/>
        <v>3.5</v>
      </c>
      <c r="AB143" s="54">
        <f t="shared" si="66"/>
        <v>1.5</v>
      </c>
      <c r="AC143" s="54">
        <f t="shared" si="66"/>
        <v>1.5</v>
      </c>
      <c r="AD143" s="54">
        <f t="shared" si="66"/>
        <v>1.5</v>
      </c>
      <c r="AF143" s="62">
        <f t="shared" si="60"/>
        <v>0</v>
      </c>
      <c r="AG143" s="64">
        <v>0</v>
      </c>
      <c r="AH143" s="64">
        <v>0</v>
      </c>
      <c r="AI143" s="65">
        <v>0</v>
      </c>
      <c r="AJ143" s="66"/>
      <c r="AK143" s="64"/>
      <c r="AL143" s="64"/>
      <c r="AM143" s="64"/>
      <c r="AN143" s="64"/>
      <c r="AO143" s="64"/>
      <c r="AP143" s="64"/>
      <c r="AQ143" s="64"/>
      <c r="AR143" s="64"/>
      <c r="AS143" s="67">
        <f t="shared" si="74"/>
        <v>18.5</v>
      </c>
      <c r="AT143" s="68"/>
      <c r="AU143" s="69">
        <v>-11.342307692307713</v>
      </c>
      <c r="AV143" s="62">
        <f t="shared" si="70"/>
        <v>133</v>
      </c>
      <c r="AW143" s="54">
        <f t="shared" si="65"/>
        <v>9.9750000000000014</v>
      </c>
      <c r="AX143" s="54">
        <f t="shared" si="65"/>
        <v>9.9750000000000014</v>
      </c>
      <c r="AY143" s="54">
        <f t="shared" si="65"/>
        <v>9.9750000000000014</v>
      </c>
      <c r="AZ143" s="54">
        <f t="shared" si="64"/>
        <v>9.9750000000000014</v>
      </c>
      <c r="BA143" s="54">
        <f t="shared" si="64"/>
        <v>9.9750000000000014</v>
      </c>
      <c r="BB143" s="54">
        <f t="shared" si="64"/>
        <v>9.9750000000000014</v>
      </c>
      <c r="BC143" s="54">
        <f t="shared" si="64"/>
        <v>9.9750000000000014</v>
      </c>
      <c r="BD143" s="54">
        <f t="shared" si="64"/>
        <v>9.9750000000000014</v>
      </c>
      <c r="BE143" s="54">
        <f t="shared" si="64"/>
        <v>23.275000000000002</v>
      </c>
      <c r="BF143" s="54">
        <f t="shared" si="71"/>
        <v>9.9750000000000014</v>
      </c>
      <c r="BG143" s="54">
        <f t="shared" si="71"/>
        <v>9.9750000000000014</v>
      </c>
      <c r="BH143" s="54">
        <f t="shared" si="71"/>
        <v>9.9750000000000014</v>
      </c>
      <c r="BI143" s="62">
        <f t="shared" si="68"/>
        <v>0</v>
      </c>
      <c r="BJ143" s="59">
        <f t="shared" si="83"/>
        <v>0</v>
      </c>
      <c r="BK143" s="59">
        <f t="shared" si="83"/>
        <v>0</v>
      </c>
      <c r="BL143" s="59">
        <f t="shared" si="83"/>
        <v>0</v>
      </c>
      <c r="BM143" s="59">
        <f t="shared" si="82"/>
        <v>0</v>
      </c>
      <c r="BN143" s="59">
        <f t="shared" si="82"/>
        <v>0</v>
      </c>
      <c r="BO143" s="59">
        <f t="shared" si="82"/>
        <v>0</v>
      </c>
      <c r="BP143" s="59">
        <f t="shared" si="82"/>
        <v>0</v>
      </c>
      <c r="BQ143" s="59">
        <f t="shared" si="82"/>
        <v>0</v>
      </c>
      <c r="BR143" s="59">
        <f t="shared" si="82"/>
        <v>0</v>
      </c>
      <c r="BS143" s="59">
        <f t="shared" si="61"/>
        <v>0</v>
      </c>
      <c r="BT143" s="59">
        <f t="shared" si="61"/>
        <v>0</v>
      </c>
      <c r="BU143" s="59">
        <f t="shared" si="61"/>
        <v>0</v>
      </c>
      <c r="BV143" s="67">
        <f t="shared" si="75"/>
        <v>121.65769230769229</v>
      </c>
      <c r="BX143" s="54">
        <f t="shared" si="76"/>
        <v>12.967499999999999</v>
      </c>
      <c r="BY143" s="54">
        <f t="shared" si="76"/>
        <v>12.967499999999999</v>
      </c>
      <c r="BZ143" s="54">
        <f t="shared" si="76"/>
        <v>12.967499999999999</v>
      </c>
      <c r="CA143" s="54">
        <f t="shared" si="76"/>
        <v>12.967499999999999</v>
      </c>
      <c r="CB143" s="54">
        <f t="shared" si="76"/>
        <v>12.967499999999999</v>
      </c>
      <c r="CC143" s="54">
        <f t="shared" si="76"/>
        <v>12.967499999999999</v>
      </c>
      <c r="CD143" s="54">
        <f t="shared" si="63"/>
        <v>12.967499999999999</v>
      </c>
      <c r="CE143" s="54">
        <f t="shared" si="63"/>
        <v>12.967499999999999</v>
      </c>
      <c r="CF143" s="54">
        <f t="shared" si="63"/>
        <v>30.2575</v>
      </c>
      <c r="CG143" s="54">
        <f t="shared" si="63"/>
        <v>12.967499999999999</v>
      </c>
      <c r="CH143" s="54">
        <f t="shared" si="63"/>
        <v>12.967499999999999</v>
      </c>
      <c r="CI143" s="54">
        <f t="shared" si="63"/>
        <v>12.967499999999999</v>
      </c>
      <c r="CJ143" s="74">
        <f t="shared" si="69"/>
        <v>172.9</v>
      </c>
      <c r="CK143" s="59">
        <f t="shared" si="80"/>
        <v>20</v>
      </c>
      <c r="CL143" s="9">
        <f t="shared" si="81"/>
        <v>0</v>
      </c>
      <c r="CM143" s="71">
        <f t="shared" si="77"/>
        <v>172.9</v>
      </c>
      <c r="CN143" s="54"/>
      <c r="CO143" s="73"/>
      <c r="CP143" s="56"/>
    </row>
    <row r="144" spans="1:94" ht="20.25" customHeight="1">
      <c r="A144" s="1" t="s">
        <v>398</v>
      </c>
      <c r="B144" s="1" t="s">
        <v>399</v>
      </c>
      <c r="C144" s="1" t="s">
        <v>400</v>
      </c>
      <c r="D144" s="58">
        <f>+VLOOKUP(A144,'[1]BDD-Avk Tx'!B:CE,82,0)</f>
        <v>650</v>
      </c>
      <c r="E144" s="59">
        <v>356.2</v>
      </c>
      <c r="G144" s="4">
        <v>41153</v>
      </c>
      <c r="H144" s="4">
        <f t="shared" si="72"/>
        <v>45647</v>
      </c>
      <c r="I144" s="60" t="str">
        <f>+VLOOKUP(A144,'[1]BDD-Avk Tx'!B:BZ,77,0)</f>
        <v>CDI</v>
      </c>
      <c r="J144" s="4">
        <f t="shared" si="73"/>
        <v>45647</v>
      </c>
      <c r="N144" s="3"/>
      <c r="P144" s="54">
        <f t="shared" si="78"/>
        <v>13.25</v>
      </c>
      <c r="Q144" s="61">
        <v>20</v>
      </c>
      <c r="R144" s="62">
        <f t="shared" si="79"/>
        <v>20</v>
      </c>
      <c r="S144" s="54">
        <f t="shared" si="67"/>
        <v>1.5</v>
      </c>
      <c r="T144" s="54">
        <f t="shared" si="66"/>
        <v>1.5</v>
      </c>
      <c r="U144" s="54">
        <f t="shared" si="66"/>
        <v>1.5</v>
      </c>
      <c r="V144" s="54">
        <f t="shared" si="66"/>
        <v>1.5</v>
      </c>
      <c r="W144" s="54">
        <f t="shared" si="66"/>
        <v>1.5</v>
      </c>
      <c r="X144" s="54">
        <f t="shared" si="66"/>
        <v>1.5</v>
      </c>
      <c r="Y144" s="54">
        <f t="shared" si="66"/>
        <v>1.5</v>
      </c>
      <c r="Z144" s="54">
        <f t="shared" si="66"/>
        <v>1.5</v>
      </c>
      <c r="AA144" s="54">
        <f t="shared" si="66"/>
        <v>1.5</v>
      </c>
      <c r="AB144" s="54">
        <f t="shared" si="66"/>
        <v>3.5</v>
      </c>
      <c r="AC144" s="54">
        <f t="shared" si="66"/>
        <v>1.5</v>
      </c>
      <c r="AD144" s="54">
        <f t="shared" si="66"/>
        <v>1.5</v>
      </c>
      <c r="AF144" s="62">
        <f t="shared" si="60"/>
        <v>0</v>
      </c>
      <c r="AG144" s="64">
        <v>0</v>
      </c>
      <c r="AH144" s="64">
        <v>0</v>
      </c>
      <c r="AI144" s="65">
        <v>0</v>
      </c>
      <c r="AJ144" s="66"/>
      <c r="AK144" s="64"/>
      <c r="AL144" s="64"/>
      <c r="AM144" s="64"/>
      <c r="AN144" s="64"/>
      <c r="AO144" s="64"/>
      <c r="AP144" s="64"/>
      <c r="AQ144" s="64"/>
      <c r="AR144" s="64"/>
      <c r="AS144" s="67">
        <f t="shared" si="74"/>
        <v>40</v>
      </c>
      <c r="AT144" s="68"/>
      <c r="AU144" s="69">
        <v>261.56153846153808</v>
      </c>
      <c r="AV144" s="62">
        <f t="shared" si="70"/>
        <v>274</v>
      </c>
      <c r="AW144" s="54">
        <f t="shared" si="65"/>
        <v>20.549999999999997</v>
      </c>
      <c r="AX144" s="54">
        <f t="shared" si="65"/>
        <v>20.549999999999997</v>
      </c>
      <c r="AY144" s="54">
        <f t="shared" si="65"/>
        <v>20.549999999999997</v>
      </c>
      <c r="AZ144" s="54">
        <f t="shared" si="64"/>
        <v>20.549999999999997</v>
      </c>
      <c r="BA144" s="54">
        <f t="shared" si="64"/>
        <v>20.549999999999997</v>
      </c>
      <c r="BB144" s="54">
        <f t="shared" si="64"/>
        <v>20.549999999999997</v>
      </c>
      <c r="BC144" s="54">
        <f t="shared" si="64"/>
        <v>20.549999999999997</v>
      </c>
      <c r="BD144" s="54">
        <f t="shared" si="64"/>
        <v>20.549999999999997</v>
      </c>
      <c r="BE144" s="54">
        <f t="shared" si="64"/>
        <v>20.549999999999997</v>
      </c>
      <c r="BF144" s="54">
        <f t="shared" si="71"/>
        <v>47.949999999999996</v>
      </c>
      <c r="BG144" s="54">
        <f t="shared" si="71"/>
        <v>20.549999999999997</v>
      </c>
      <c r="BH144" s="54">
        <f t="shared" si="71"/>
        <v>20.549999999999997</v>
      </c>
      <c r="BI144" s="62">
        <f t="shared" si="68"/>
        <v>0</v>
      </c>
      <c r="BJ144" s="59">
        <f t="shared" si="83"/>
        <v>0</v>
      </c>
      <c r="BK144" s="59">
        <f t="shared" si="83"/>
        <v>0</v>
      </c>
      <c r="BL144" s="59">
        <f t="shared" si="83"/>
        <v>0</v>
      </c>
      <c r="BM144" s="59">
        <f t="shared" si="82"/>
        <v>0</v>
      </c>
      <c r="BN144" s="59">
        <f t="shared" si="82"/>
        <v>0</v>
      </c>
      <c r="BO144" s="59">
        <f t="shared" si="82"/>
        <v>0</v>
      </c>
      <c r="BP144" s="59">
        <f t="shared" si="82"/>
        <v>0</v>
      </c>
      <c r="BQ144" s="59">
        <f t="shared" si="82"/>
        <v>0</v>
      </c>
      <c r="BR144" s="59">
        <f t="shared" si="82"/>
        <v>0</v>
      </c>
      <c r="BS144" s="59">
        <f t="shared" si="82"/>
        <v>0</v>
      </c>
      <c r="BT144" s="59">
        <f t="shared" si="82"/>
        <v>0</v>
      </c>
      <c r="BU144" s="59">
        <f t="shared" si="82"/>
        <v>0</v>
      </c>
      <c r="BV144" s="67">
        <f t="shared" si="75"/>
        <v>535.56153846153802</v>
      </c>
      <c r="BX144" s="54">
        <f t="shared" si="76"/>
        <v>26.714999999999996</v>
      </c>
      <c r="BY144" s="54">
        <f t="shared" si="76"/>
        <v>26.714999999999996</v>
      </c>
      <c r="BZ144" s="54">
        <f t="shared" si="76"/>
        <v>26.714999999999996</v>
      </c>
      <c r="CA144" s="54">
        <f t="shared" si="76"/>
        <v>26.714999999999996</v>
      </c>
      <c r="CB144" s="54">
        <f t="shared" si="76"/>
        <v>26.714999999999996</v>
      </c>
      <c r="CC144" s="54">
        <f t="shared" si="76"/>
        <v>26.714999999999996</v>
      </c>
      <c r="CD144" s="54">
        <f t="shared" si="63"/>
        <v>26.714999999999996</v>
      </c>
      <c r="CE144" s="54">
        <f t="shared" si="63"/>
        <v>26.714999999999996</v>
      </c>
      <c r="CF144" s="54">
        <f t="shared" si="63"/>
        <v>26.714999999999996</v>
      </c>
      <c r="CG144" s="54">
        <f t="shared" si="63"/>
        <v>62.334999999999994</v>
      </c>
      <c r="CH144" s="54">
        <f t="shared" si="63"/>
        <v>26.714999999999996</v>
      </c>
      <c r="CI144" s="54">
        <f t="shared" si="63"/>
        <v>26.714999999999996</v>
      </c>
      <c r="CJ144" s="74">
        <f t="shared" si="69"/>
        <v>356.19999999999993</v>
      </c>
      <c r="CK144" s="59">
        <f t="shared" si="80"/>
        <v>20</v>
      </c>
      <c r="CL144" s="9">
        <f t="shared" si="81"/>
        <v>0</v>
      </c>
      <c r="CM144" s="71">
        <f t="shared" si="77"/>
        <v>356.2</v>
      </c>
      <c r="CN144" s="72"/>
      <c r="CO144" s="73"/>
    </row>
    <row r="145" spans="1:94" ht="20.25" customHeight="1">
      <c r="A145" s="75" t="s">
        <v>401</v>
      </c>
      <c r="B145" s="1" t="s">
        <v>402</v>
      </c>
      <c r="C145" s="1" t="s">
        <v>403</v>
      </c>
      <c r="D145" s="58">
        <f>+VLOOKUP(A145,'[1]BDD-Avk Tx'!B:CE,82,0)</f>
        <v>650</v>
      </c>
      <c r="E145" s="59">
        <v>267.8</v>
      </c>
      <c r="G145" s="4">
        <v>41153</v>
      </c>
      <c r="H145" s="4">
        <f t="shared" si="72"/>
        <v>45647</v>
      </c>
      <c r="I145" s="60" t="str">
        <f>+VLOOKUP(A145,'[1]BDD-Avk Tx'!B:BZ,77,0)</f>
        <v>CDI</v>
      </c>
      <c r="J145" s="4">
        <f t="shared" si="73"/>
        <v>45647</v>
      </c>
      <c r="N145" s="3"/>
      <c r="P145" s="54">
        <f t="shared" si="78"/>
        <v>13.25</v>
      </c>
      <c r="Q145" s="61">
        <v>2</v>
      </c>
      <c r="R145" s="62">
        <f t="shared" si="79"/>
        <v>20</v>
      </c>
      <c r="S145" s="54">
        <f t="shared" si="67"/>
        <v>1.5</v>
      </c>
      <c r="T145" s="54">
        <f t="shared" si="66"/>
        <v>1.5</v>
      </c>
      <c r="U145" s="54">
        <f t="shared" si="66"/>
        <v>1.5</v>
      </c>
      <c r="V145" s="54">
        <f t="shared" si="66"/>
        <v>1.5</v>
      </c>
      <c r="W145" s="54">
        <f t="shared" si="66"/>
        <v>1.5</v>
      </c>
      <c r="X145" s="54">
        <f t="shared" si="66"/>
        <v>1.5</v>
      </c>
      <c r="Y145" s="54">
        <f t="shared" si="66"/>
        <v>1.5</v>
      </c>
      <c r="Z145" s="54">
        <f t="shared" si="66"/>
        <v>1.5</v>
      </c>
      <c r="AA145" s="54">
        <f t="shared" si="66"/>
        <v>1.5</v>
      </c>
      <c r="AB145" s="54">
        <f t="shared" si="66"/>
        <v>3.5</v>
      </c>
      <c r="AC145" s="54">
        <f t="shared" si="66"/>
        <v>1.5</v>
      </c>
      <c r="AD145" s="54">
        <f t="shared" si="66"/>
        <v>1.5</v>
      </c>
      <c r="AF145" s="62">
        <f t="shared" si="60"/>
        <v>0</v>
      </c>
      <c r="AG145" s="64">
        <v>0</v>
      </c>
      <c r="AH145" s="64">
        <v>0</v>
      </c>
      <c r="AI145" s="65">
        <v>0</v>
      </c>
      <c r="AJ145" s="66"/>
      <c r="AK145" s="64"/>
      <c r="AL145" s="64"/>
      <c r="AM145" s="64"/>
      <c r="AN145" s="64"/>
      <c r="AO145" s="64"/>
      <c r="AP145" s="64"/>
      <c r="AQ145" s="64"/>
      <c r="AR145" s="64"/>
      <c r="AS145" s="67">
        <f t="shared" si="74"/>
        <v>22</v>
      </c>
      <c r="AT145" s="68"/>
      <c r="AU145" s="69">
        <v>17.799999999999955</v>
      </c>
      <c r="AV145" s="62">
        <f t="shared" si="70"/>
        <v>206</v>
      </c>
      <c r="AW145" s="54">
        <f t="shared" si="65"/>
        <v>15.450000000000001</v>
      </c>
      <c r="AX145" s="54">
        <f t="shared" si="65"/>
        <v>15.450000000000001</v>
      </c>
      <c r="AY145" s="54">
        <f t="shared" si="65"/>
        <v>15.450000000000001</v>
      </c>
      <c r="AZ145" s="54">
        <f t="shared" si="64"/>
        <v>15.450000000000001</v>
      </c>
      <c r="BA145" s="54">
        <f t="shared" si="64"/>
        <v>15.450000000000001</v>
      </c>
      <c r="BB145" s="54">
        <f t="shared" si="64"/>
        <v>15.450000000000001</v>
      </c>
      <c r="BC145" s="54">
        <f t="shared" si="64"/>
        <v>15.450000000000001</v>
      </c>
      <c r="BD145" s="54">
        <f t="shared" si="64"/>
        <v>15.450000000000001</v>
      </c>
      <c r="BE145" s="54">
        <f t="shared" si="64"/>
        <v>15.450000000000001</v>
      </c>
      <c r="BF145" s="54">
        <f t="shared" si="71"/>
        <v>36.050000000000004</v>
      </c>
      <c r="BG145" s="54">
        <f t="shared" si="71"/>
        <v>15.450000000000001</v>
      </c>
      <c r="BH145" s="54">
        <f t="shared" si="71"/>
        <v>15.450000000000001</v>
      </c>
      <c r="BI145" s="62">
        <f t="shared" si="68"/>
        <v>0</v>
      </c>
      <c r="BJ145" s="59">
        <f t="shared" si="83"/>
        <v>0</v>
      </c>
      <c r="BK145" s="59">
        <f t="shared" si="83"/>
        <v>0</v>
      </c>
      <c r="BL145" s="59">
        <f t="shared" si="83"/>
        <v>0</v>
      </c>
      <c r="BM145" s="59">
        <f t="shared" si="82"/>
        <v>0</v>
      </c>
      <c r="BN145" s="59">
        <f t="shared" si="82"/>
        <v>0</v>
      </c>
      <c r="BO145" s="59">
        <f t="shared" si="82"/>
        <v>0</v>
      </c>
      <c r="BP145" s="59">
        <f t="shared" si="82"/>
        <v>0</v>
      </c>
      <c r="BQ145" s="59">
        <f t="shared" si="82"/>
        <v>0</v>
      </c>
      <c r="BR145" s="59">
        <f t="shared" si="82"/>
        <v>0</v>
      </c>
      <c r="BS145" s="59">
        <f t="shared" si="82"/>
        <v>0</v>
      </c>
      <c r="BT145" s="59">
        <f t="shared" si="82"/>
        <v>0</v>
      </c>
      <c r="BU145" s="59">
        <f t="shared" si="82"/>
        <v>0</v>
      </c>
      <c r="BV145" s="67">
        <f t="shared" si="75"/>
        <v>223.79999999999995</v>
      </c>
      <c r="BX145" s="54">
        <f t="shared" si="76"/>
        <v>20.085000000000001</v>
      </c>
      <c r="BY145" s="54">
        <f t="shared" si="76"/>
        <v>20.085000000000001</v>
      </c>
      <c r="BZ145" s="54">
        <f t="shared" si="76"/>
        <v>20.085000000000001</v>
      </c>
      <c r="CA145" s="54">
        <f t="shared" si="76"/>
        <v>20.085000000000001</v>
      </c>
      <c r="CB145" s="54">
        <f t="shared" si="76"/>
        <v>20.085000000000001</v>
      </c>
      <c r="CC145" s="54">
        <f t="shared" si="76"/>
        <v>20.085000000000001</v>
      </c>
      <c r="CD145" s="54">
        <f t="shared" si="63"/>
        <v>20.085000000000001</v>
      </c>
      <c r="CE145" s="54">
        <f t="shared" si="63"/>
        <v>20.085000000000001</v>
      </c>
      <c r="CF145" s="54">
        <f t="shared" si="63"/>
        <v>20.085000000000001</v>
      </c>
      <c r="CG145" s="54">
        <f t="shared" si="63"/>
        <v>46.865000000000002</v>
      </c>
      <c r="CH145" s="54">
        <f t="shared" si="63"/>
        <v>20.085000000000001</v>
      </c>
      <c r="CI145" s="54">
        <f t="shared" si="63"/>
        <v>20.085000000000001</v>
      </c>
      <c r="CJ145" s="74">
        <f t="shared" si="69"/>
        <v>267.80000000000007</v>
      </c>
      <c r="CK145" s="59">
        <f t="shared" si="80"/>
        <v>20</v>
      </c>
      <c r="CL145" s="9">
        <f t="shared" si="81"/>
        <v>0</v>
      </c>
      <c r="CM145" s="71">
        <f t="shared" si="77"/>
        <v>267.8</v>
      </c>
      <c r="CN145" s="54"/>
      <c r="CO145" s="73"/>
      <c r="CP145" s="56"/>
    </row>
    <row r="146" spans="1:94" ht="20.25" customHeight="1">
      <c r="A146" s="1" t="s">
        <v>404</v>
      </c>
      <c r="B146" s="1" t="s">
        <v>405</v>
      </c>
      <c r="C146" s="1" t="s">
        <v>403</v>
      </c>
      <c r="D146" s="58">
        <f>+VLOOKUP(A146,'[1]BDD-Avk Tx'!B:CE,82,0)</f>
        <v>650</v>
      </c>
      <c r="E146" s="59">
        <v>200.2</v>
      </c>
      <c r="G146" s="4">
        <v>41153</v>
      </c>
      <c r="H146" s="4">
        <f t="shared" si="72"/>
        <v>45647</v>
      </c>
      <c r="I146" s="60" t="str">
        <f>+VLOOKUP(A146,'[1]BDD-Avk Tx'!B:BZ,77,0)</f>
        <v>CDI</v>
      </c>
      <c r="J146" s="4">
        <f t="shared" si="73"/>
        <v>45647</v>
      </c>
      <c r="N146" s="3"/>
      <c r="P146" s="54">
        <f t="shared" si="78"/>
        <v>13.25</v>
      </c>
      <c r="Q146" s="61">
        <v>20</v>
      </c>
      <c r="R146" s="62">
        <f t="shared" si="79"/>
        <v>20</v>
      </c>
      <c r="S146" s="54">
        <f t="shared" si="67"/>
        <v>1.5</v>
      </c>
      <c r="T146" s="54">
        <f t="shared" si="66"/>
        <v>1.5</v>
      </c>
      <c r="U146" s="54">
        <f t="shared" si="66"/>
        <v>1.5</v>
      </c>
      <c r="V146" s="54">
        <f t="shared" si="66"/>
        <v>1.5</v>
      </c>
      <c r="W146" s="54">
        <f t="shared" si="66"/>
        <v>1.5</v>
      </c>
      <c r="X146" s="54">
        <f t="shared" si="66"/>
        <v>1.5</v>
      </c>
      <c r="Y146" s="54">
        <f t="shared" si="66"/>
        <v>1.5</v>
      </c>
      <c r="Z146" s="54">
        <f t="shared" si="66"/>
        <v>1.5</v>
      </c>
      <c r="AA146" s="54">
        <f t="shared" si="66"/>
        <v>1.5</v>
      </c>
      <c r="AB146" s="54">
        <f t="shared" si="66"/>
        <v>3.5</v>
      </c>
      <c r="AC146" s="54">
        <f t="shared" si="66"/>
        <v>1.5</v>
      </c>
      <c r="AD146" s="54">
        <f t="shared" si="66"/>
        <v>1.5</v>
      </c>
      <c r="AF146" s="62">
        <f t="shared" si="60"/>
        <v>19</v>
      </c>
      <c r="AG146" s="64">
        <v>7</v>
      </c>
      <c r="AH146" s="64">
        <v>12</v>
      </c>
      <c r="AI146" s="65">
        <v>0</v>
      </c>
      <c r="AJ146" s="66"/>
      <c r="AK146" s="64"/>
      <c r="AL146" s="64"/>
      <c r="AM146" s="64"/>
      <c r="AN146" s="64"/>
      <c r="AO146" s="64"/>
      <c r="AP146" s="64"/>
      <c r="AQ146" s="64"/>
      <c r="AR146" s="64"/>
      <c r="AS146" s="67">
        <f t="shared" si="74"/>
        <v>21</v>
      </c>
      <c r="AT146" s="68"/>
      <c r="AU146" s="69">
        <v>129.79615384615383</v>
      </c>
      <c r="AV146" s="62">
        <f t="shared" si="70"/>
        <v>154</v>
      </c>
      <c r="AW146" s="54">
        <f t="shared" si="65"/>
        <v>11.549999999999999</v>
      </c>
      <c r="AX146" s="54">
        <f t="shared" si="65"/>
        <v>11.549999999999999</v>
      </c>
      <c r="AY146" s="54">
        <f t="shared" si="65"/>
        <v>11.549999999999999</v>
      </c>
      <c r="AZ146" s="54">
        <f t="shared" si="64"/>
        <v>11.549999999999999</v>
      </c>
      <c r="BA146" s="54">
        <f t="shared" si="64"/>
        <v>11.549999999999999</v>
      </c>
      <c r="BB146" s="54">
        <f t="shared" si="64"/>
        <v>11.549999999999999</v>
      </c>
      <c r="BC146" s="54">
        <f t="shared" si="64"/>
        <v>11.549999999999999</v>
      </c>
      <c r="BD146" s="54">
        <f t="shared" si="64"/>
        <v>11.549999999999999</v>
      </c>
      <c r="BE146" s="54">
        <f t="shared" si="64"/>
        <v>11.549999999999999</v>
      </c>
      <c r="BF146" s="54">
        <f t="shared" si="71"/>
        <v>26.949999999999996</v>
      </c>
      <c r="BG146" s="54">
        <f t="shared" si="71"/>
        <v>11.549999999999999</v>
      </c>
      <c r="BH146" s="54">
        <f t="shared" si="71"/>
        <v>11.549999999999999</v>
      </c>
      <c r="BI146" s="62">
        <f t="shared" si="68"/>
        <v>-146.29999999999998</v>
      </c>
      <c r="BJ146" s="59">
        <f t="shared" si="83"/>
        <v>-53.899999999999991</v>
      </c>
      <c r="BK146" s="59">
        <f t="shared" si="83"/>
        <v>-92.399999999999991</v>
      </c>
      <c r="BL146" s="59">
        <f t="shared" si="83"/>
        <v>0</v>
      </c>
      <c r="BM146" s="59">
        <f t="shared" si="82"/>
        <v>0</v>
      </c>
      <c r="BN146" s="59">
        <f t="shared" si="82"/>
        <v>0</v>
      </c>
      <c r="BO146" s="59">
        <f t="shared" si="82"/>
        <v>0</v>
      </c>
      <c r="BP146" s="59">
        <f t="shared" si="82"/>
        <v>0</v>
      </c>
      <c r="BQ146" s="59">
        <f t="shared" si="82"/>
        <v>0</v>
      </c>
      <c r="BR146" s="59">
        <f t="shared" si="82"/>
        <v>0</v>
      </c>
      <c r="BS146" s="59">
        <f t="shared" si="82"/>
        <v>0</v>
      </c>
      <c r="BT146" s="59">
        <f t="shared" si="82"/>
        <v>0</v>
      </c>
      <c r="BU146" s="59">
        <f t="shared" si="82"/>
        <v>0</v>
      </c>
      <c r="BV146" s="67">
        <f t="shared" si="75"/>
        <v>137.49615384615387</v>
      </c>
      <c r="BX146" s="54">
        <f t="shared" si="76"/>
        <v>15.015000000000001</v>
      </c>
      <c r="BY146" s="54">
        <f t="shared" si="76"/>
        <v>15.015000000000001</v>
      </c>
      <c r="BZ146" s="54">
        <f t="shared" si="76"/>
        <v>15.015000000000001</v>
      </c>
      <c r="CA146" s="54">
        <f t="shared" si="76"/>
        <v>15.015000000000001</v>
      </c>
      <c r="CB146" s="54">
        <f t="shared" si="76"/>
        <v>15.015000000000001</v>
      </c>
      <c r="CC146" s="54">
        <f t="shared" si="76"/>
        <v>15.015000000000001</v>
      </c>
      <c r="CD146" s="54">
        <f t="shared" si="63"/>
        <v>15.015000000000001</v>
      </c>
      <c r="CE146" s="54">
        <f t="shared" si="63"/>
        <v>15.015000000000001</v>
      </c>
      <c r="CF146" s="54">
        <f t="shared" si="63"/>
        <v>15.015000000000001</v>
      </c>
      <c r="CG146" s="54">
        <f t="shared" si="63"/>
        <v>35.034999999999997</v>
      </c>
      <c r="CH146" s="54">
        <f t="shared" si="63"/>
        <v>15.015000000000001</v>
      </c>
      <c r="CI146" s="54">
        <f t="shared" si="63"/>
        <v>15.015000000000001</v>
      </c>
      <c r="CJ146" s="74">
        <f t="shared" si="69"/>
        <v>200.2</v>
      </c>
      <c r="CK146" s="59">
        <f t="shared" si="80"/>
        <v>20</v>
      </c>
      <c r="CL146" s="9">
        <f t="shared" si="81"/>
        <v>0</v>
      </c>
      <c r="CM146" s="71">
        <f t="shared" si="77"/>
        <v>200.2</v>
      </c>
      <c r="CN146" s="72"/>
      <c r="CO146" s="73"/>
    </row>
    <row r="147" spans="1:94" ht="20.25" customHeight="1">
      <c r="A147" s="1" t="s">
        <v>406</v>
      </c>
      <c r="B147" s="1" t="s">
        <v>407</v>
      </c>
      <c r="C147" s="1" t="s">
        <v>400</v>
      </c>
      <c r="D147" s="58">
        <f>+VLOOKUP(A147,'[1]BDD-Avk Tx'!B:CE,82,0)</f>
        <v>650</v>
      </c>
      <c r="E147" s="59">
        <v>412.1</v>
      </c>
      <c r="G147" s="4">
        <v>41153</v>
      </c>
      <c r="H147" s="4">
        <f t="shared" si="72"/>
        <v>45647</v>
      </c>
      <c r="I147" s="60" t="str">
        <f>+VLOOKUP(A147,'[1]BDD-Avk Tx'!B:BZ,77,0)</f>
        <v>CDI</v>
      </c>
      <c r="J147" s="4">
        <f t="shared" si="73"/>
        <v>45647</v>
      </c>
      <c r="N147" s="3"/>
      <c r="P147" s="54">
        <f t="shared" si="78"/>
        <v>13.25</v>
      </c>
      <c r="Q147" s="61">
        <v>41</v>
      </c>
      <c r="R147" s="62">
        <f t="shared" si="79"/>
        <v>20</v>
      </c>
      <c r="S147" s="54">
        <f t="shared" si="67"/>
        <v>1.5</v>
      </c>
      <c r="T147" s="54">
        <f t="shared" si="67"/>
        <v>1.5</v>
      </c>
      <c r="U147" s="54">
        <f t="shared" si="67"/>
        <v>1.5</v>
      </c>
      <c r="V147" s="54">
        <f t="shared" si="67"/>
        <v>1.5</v>
      </c>
      <c r="W147" s="54">
        <f t="shared" si="67"/>
        <v>1.5</v>
      </c>
      <c r="X147" s="54">
        <f t="shared" si="67"/>
        <v>1.5</v>
      </c>
      <c r="Y147" s="54">
        <f t="shared" si="67"/>
        <v>1.5</v>
      </c>
      <c r="Z147" s="54">
        <f t="shared" si="67"/>
        <v>1.5</v>
      </c>
      <c r="AA147" s="54">
        <f t="shared" si="67"/>
        <v>1.5</v>
      </c>
      <c r="AB147" s="54">
        <f t="shared" si="67"/>
        <v>3.5</v>
      </c>
      <c r="AC147" s="54">
        <f t="shared" si="67"/>
        <v>1.5</v>
      </c>
      <c r="AD147" s="54">
        <f t="shared" si="67"/>
        <v>1.5</v>
      </c>
      <c r="AF147" s="62">
        <f t="shared" si="60"/>
        <v>0</v>
      </c>
      <c r="AG147" s="64">
        <v>0</v>
      </c>
      <c r="AH147" s="64">
        <v>0</v>
      </c>
      <c r="AI147" s="65">
        <v>0</v>
      </c>
      <c r="AJ147" s="66"/>
      <c r="AK147" s="64"/>
      <c r="AL147" s="64"/>
      <c r="AM147" s="64"/>
      <c r="AN147" s="64"/>
      <c r="AO147" s="64"/>
      <c r="AP147" s="64"/>
      <c r="AQ147" s="64"/>
      <c r="AR147" s="64"/>
      <c r="AS147" s="67">
        <f t="shared" si="74"/>
        <v>61</v>
      </c>
      <c r="AT147" s="68"/>
      <c r="AU147" s="69">
        <v>479.96153846153902</v>
      </c>
      <c r="AV147" s="62">
        <f t="shared" si="70"/>
        <v>317</v>
      </c>
      <c r="AW147" s="54">
        <f t="shared" si="65"/>
        <v>23.775000000000002</v>
      </c>
      <c r="AX147" s="54">
        <f t="shared" si="65"/>
        <v>23.775000000000002</v>
      </c>
      <c r="AY147" s="54">
        <f t="shared" si="65"/>
        <v>23.775000000000002</v>
      </c>
      <c r="AZ147" s="54">
        <f t="shared" si="64"/>
        <v>23.775000000000002</v>
      </c>
      <c r="BA147" s="54">
        <f t="shared" si="64"/>
        <v>23.775000000000002</v>
      </c>
      <c r="BB147" s="54">
        <f t="shared" si="64"/>
        <v>23.775000000000002</v>
      </c>
      <c r="BC147" s="54">
        <f t="shared" si="64"/>
        <v>23.775000000000002</v>
      </c>
      <c r="BD147" s="54">
        <f t="shared" si="64"/>
        <v>23.775000000000002</v>
      </c>
      <c r="BE147" s="54">
        <f t="shared" si="64"/>
        <v>23.775000000000002</v>
      </c>
      <c r="BF147" s="54">
        <f t="shared" si="71"/>
        <v>55.475000000000009</v>
      </c>
      <c r="BG147" s="54">
        <f t="shared" si="71"/>
        <v>23.775000000000002</v>
      </c>
      <c r="BH147" s="54">
        <f t="shared" si="71"/>
        <v>23.775000000000002</v>
      </c>
      <c r="BI147" s="62">
        <f t="shared" si="68"/>
        <v>0</v>
      </c>
      <c r="BJ147" s="59">
        <f t="shared" si="83"/>
        <v>0</v>
      </c>
      <c r="BK147" s="59">
        <f t="shared" si="83"/>
        <v>0</v>
      </c>
      <c r="BL147" s="59">
        <f t="shared" si="83"/>
        <v>0</v>
      </c>
      <c r="BM147" s="59">
        <f t="shared" si="82"/>
        <v>0</v>
      </c>
      <c r="BN147" s="59">
        <f t="shared" si="82"/>
        <v>0</v>
      </c>
      <c r="BO147" s="59">
        <f t="shared" si="82"/>
        <v>0</v>
      </c>
      <c r="BP147" s="59">
        <f t="shared" si="82"/>
        <v>0</v>
      </c>
      <c r="BQ147" s="59">
        <f t="shared" si="82"/>
        <v>0</v>
      </c>
      <c r="BR147" s="59">
        <f t="shared" si="82"/>
        <v>0</v>
      </c>
      <c r="BS147" s="59">
        <f t="shared" si="82"/>
        <v>0</v>
      </c>
      <c r="BT147" s="59">
        <f t="shared" si="82"/>
        <v>0</v>
      </c>
      <c r="BU147" s="59">
        <f t="shared" si="82"/>
        <v>0</v>
      </c>
      <c r="BV147" s="67">
        <f t="shared" si="75"/>
        <v>796.96153846153902</v>
      </c>
      <c r="BX147" s="54">
        <f t="shared" si="76"/>
        <v>30.907499999999999</v>
      </c>
      <c r="BY147" s="54">
        <f t="shared" si="76"/>
        <v>30.907499999999999</v>
      </c>
      <c r="BZ147" s="54">
        <f t="shared" si="76"/>
        <v>30.907499999999999</v>
      </c>
      <c r="CA147" s="54">
        <f t="shared" si="76"/>
        <v>30.907499999999999</v>
      </c>
      <c r="CB147" s="54">
        <f t="shared" si="76"/>
        <v>30.907499999999999</v>
      </c>
      <c r="CC147" s="54">
        <f t="shared" si="76"/>
        <v>30.907499999999999</v>
      </c>
      <c r="CD147" s="54">
        <f t="shared" si="63"/>
        <v>30.907499999999999</v>
      </c>
      <c r="CE147" s="54">
        <f t="shared" si="63"/>
        <v>30.907499999999999</v>
      </c>
      <c r="CF147" s="54">
        <f t="shared" si="63"/>
        <v>30.907499999999999</v>
      </c>
      <c r="CG147" s="54">
        <f t="shared" si="63"/>
        <v>72.117500000000007</v>
      </c>
      <c r="CH147" s="54">
        <f t="shared" si="63"/>
        <v>30.907499999999999</v>
      </c>
      <c r="CI147" s="54">
        <f t="shared" si="63"/>
        <v>30.907499999999999</v>
      </c>
      <c r="CJ147" s="74">
        <f t="shared" si="69"/>
        <v>412.1</v>
      </c>
      <c r="CK147" s="59">
        <f t="shared" si="80"/>
        <v>20</v>
      </c>
      <c r="CL147" s="9">
        <f t="shared" si="81"/>
        <v>0</v>
      </c>
      <c r="CM147" s="71">
        <f t="shared" si="77"/>
        <v>412.1</v>
      </c>
      <c r="CN147" s="54"/>
      <c r="CO147" s="73"/>
      <c r="CP147" s="56"/>
    </row>
    <row r="148" spans="1:94" ht="20.25" customHeight="1">
      <c r="A148" s="75" t="s">
        <v>408</v>
      </c>
      <c r="B148" s="1" t="s">
        <v>409</v>
      </c>
      <c r="C148" s="1" t="s">
        <v>403</v>
      </c>
      <c r="D148" s="58">
        <f>+VLOOKUP(A148,'[1]BDD-Avk Tx'!B:CE,82,0)</f>
        <v>650</v>
      </c>
      <c r="E148" s="59">
        <v>200.2</v>
      </c>
      <c r="G148" s="4">
        <v>41153</v>
      </c>
      <c r="H148" s="4">
        <f t="shared" si="72"/>
        <v>45647</v>
      </c>
      <c r="I148" s="60" t="str">
        <f>+VLOOKUP(A148,'[1]BDD-Avk Tx'!B:BZ,77,0)</f>
        <v>CDI</v>
      </c>
      <c r="J148" s="4">
        <f t="shared" si="73"/>
        <v>45647</v>
      </c>
      <c r="N148" s="3"/>
      <c r="P148" s="54">
        <f t="shared" si="78"/>
        <v>13.25</v>
      </c>
      <c r="Q148" s="61">
        <v>14</v>
      </c>
      <c r="R148" s="62">
        <f t="shared" si="79"/>
        <v>20</v>
      </c>
      <c r="S148" s="54">
        <f t="shared" si="67"/>
        <v>1.5</v>
      </c>
      <c r="T148" s="54">
        <f t="shared" si="67"/>
        <v>1.5</v>
      </c>
      <c r="U148" s="54">
        <f t="shared" si="67"/>
        <v>1.5</v>
      </c>
      <c r="V148" s="54">
        <f t="shared" si="67"/>
        <v>1.5</v>
      </c>
      <c r="W148" s="54">
        <f t="shared" si="67"/>
        <v>1.5</v>
      </c>
      <c r="X148" s="54">
        <f t="shared" si="67"/>
        <v>1.5</v>
      </c>
      <c r="Y148" s="54">
        <f t="shared" si="67"/>
        <v>1.5</v>
      </c>
      <c r="Z148" s="54">
        <f t="shared" si="67"/>
        <v>1.5</v>
      </c>
      <c r="AA148" s="54">
        <f t="shared" si="67"/>
        <v>1.5</v>
      </c>
      <c r="AB148" s="54">
        <f t="shared" si="67"/>
        <v>3.5</v>
      </c>
      <c r="AC148" s="54">
        <f t="shared" si="67"/>
        <v>1.5</v>
      </c>
      <c r="AD148" s="54">
        <f t="shared" si="67"/>
        <v>1.5</v>
      </c>
      <c r="AF148" s="62">
        <f t="shared" si="60"/>
        <v>14</v>
      </c>
      <c r="AG148" s="64">
        <v>14</v>
      </c>
      <c r="AH148" s="64">
        <v>0</v>
      </c>
      <c r="AI148" s="65">
        <v>0</v>
      </c>
      <c r="AJ148" s="66"/>
      <c r="AK148" s="64"/>
      <c r="AL148" s="64"/>
      <c r="AM148" s="64"/>
      <c r="AN148" s="64"/>
      <c r="AO148" s="64"/>
      <c r="AP148" s="64"/>
      <c r="AQ148" s="64"/>
      <c r="AR148" s="64"/>
      <c r="AS148" s="67">
        <f t="shared" si="74"/>
        <v>20</v>
      </c>
      <c r="AT148" s="68"/>
      <c r="AU148" s="69">
        <v>98.619230769231024</v>
      </c>
      <c r="AV148" s="62">
        <f t="shared" si="70"/>
        <v>154</v>
      </c>
      <c r="AW148" s="54">
        <f t="shared" si="65"/>
        <v>11.549999999999999</v>
      </c>
      <c r="AX148" s="54">
        <f t="shared" si="65"/>
        <v>11.549999999999999</v>
      </c>
      <c r="AY148" s="54">
        <f t="shared" si="65"/>
        <v>11.549999999999999</v>
      </c>
      <c r="AZ148" s="54">
        <f t="shared" si="64"/>
        <v>11.549999999999999</v>
      </c>
      <c r="BA148" s="54">
        <f t="shared" si="64"/>
        <v>11.549999999999999</v>
      </c>
      <c r="BB148" s="54">
        <f t="shared" si="64"/>
        <v>11.549999999999999</v>
      </c>
      <c r="BC148" s="54">
        <f t="shared" si="64"/>
        <v>11.549999999999999</v>
      </c>
      <c r="BD148" s="54">
        <f t="shared" si="64"/>
        <v>11.549999999999999</v>
      </c>
      <c r="BE148" s="54">
        <f t="shared" si="64"/>
        <v>11.549999999999999</v>
      </c>
      <c r="BF148" s="54">
        <f t="shared" si="71"/>
        <v>26.949999999999996</v>
      </c>
      <c r="BG148" s="54">
        <f t="shared" si="71"/>
        <v>11.549999999999999</v>
      </c>
      <c r="BH148" s="54">
        <f t="shared" si="71"/>
        <v>11.549999999999999</v>
      </c>
      <c r="BI148" s="62">
        <f t="shared" si="68"/>
        <v>-107.79999999999998</v>
      </c>
      <c r="BJ148" s="59">
        <f t="shared" si="83"/>
        <v>-107.79999999999998</v>
      </c>
      <c r="BK148" s="59">
        <f t="shared" si="83"/>
        <v>0</v>
      </c>
      <c r="BL148" s="59">
        <f t="shared" si="83"/>
        <v>0</v>
      </c>
      <c r="BM148" s="59">
        <f t="shared" si="82"/>
        <v>0</v>
      </c>
      <c r="BN148" s="59">
        <f t="shared" si="82"/>
        <v>0</v>
      </c>
      <c r="BO148" s="59">
        <f t="shared" si="82"/>
        <v>0</v>
      </c>
      <c r="BP148" s="59">
        <f t="shared" si="82"/>
        <v>0</v>
      </c>
      <c r="BQ148" s="59">
        <f t="shared" si="82"/>
        <v>0</v>
      </c>
      <c r="BR148" s="59">
        <f t="shared" si="82"/>
        <v>0</v>
      </c>
      <c r="BS148" s="59">
        <f t="shared" si="82"/>
        <v>0</v>
      </c>
      <c r="BT148" s="59">
        <f t="shared" si="82"/>
        <v>0</v>
      </c>
      <c r="BU148" s="59">
        <f t="shared" si="82"/>
        <v>0</v>
      </c>
      <c r="BV148" s="67">
        <f t="shared" si="75"/>
        <v>144.81923076923104</v>
      </c>
      <c r="BX148" s="54">
        <f t="shared" si="76"/>
        <v>15.015000000000001</v>
      </c>
      <c r="BY148" s="54">
        <f t="shared" si="76"/>
        <v>15.015000000000001</v>
      </c>
      <c r="BZ148" s="54">
        <f t="shared" si="76"/>
        <v>15.015000000000001</v>
      </c>
      <c r="CA148" s="54">
        <f t="shared" si="76"/>
        <v>15.015000000000001</v>
      </c>
      <c r="CB148" s="54">
        <f t="shared" si="76"/>
        <v>15.015000000000001</v>
      </c>
      <c r="CC148" s="54">
        <f t="shared" si="76"/>
        <v>15.015000000000001</v>
      </c>
      <c r="CD148" s="54">
        <f t="shared" si="63"/>
        <v>15.015000000000001</v>
      </c>
      <c r="CE148" s="54">
        <f t="shared" si="63"/>
        <v>15.015000000000001</v>
      </c>
      <c r="CF148" s="54">
        <f t="shared" si="63"/>
        <v>15.015000000000001</v>
      </c>
      <c r="CG148" s="54">
        <f t="shared" si="63"/>
        <v>35.034999999999997</v>
      </c>
      <c r="CH148" s="54">
        <f t="shared" si="63"/>
        <v>15.015000000000001</v>
      </c>
      <c r="CI148" s="54">
        <f t="shared" si="63"/>
        <v>15.015000000000001</v>
      </c>
      <c r="CJ148" s="74">
        <f t="shared" si="69"/>
        <v>200.2</v>
      </c>
      <c r="CK148" s="59">
        <f t="shared" si="80"/>
        <v>20</v>
      </c>
      <c r="CL148" s="9">
        <f t="shared" si="81"/>
        <v>0</v>
      </c>
      <c r="CM148" s="71">
        <f t="shared" si="77"/>
        <v>200.2</v>
      </c>
      <c r="CN148" s="72"/>
      <c r="CO148" s="73"/>
    </row>
    <row r="149" spans="1:94" ht="20.25" customHeight="1">
      <c r="A149" s="1" t="s">
        <v>410</v>
      </c>
      <c r="B149" s="1" t="s">
        <v>411</v>
      </c>
      <c r="C149" s="1" t="s">
        <v>403</v>
      </c>
      <c r="D149" s="58">
        <f>+VLOOKUP(A149,'[1]BDD-Avk Tx'!B:CE,82,0)</f>
        <v>650</v>
      </c>
      <c r="E149" s="59">
        <v>200.2</v>
      </c>
      <c r="G149" s="4">
        <v>41275</v>
      </c>
      <c r="H149" s="4">
        <f t="shared" si="72"/>
        <v>45647</v>
      </c>
      <c r="I149" s="60" t="str">
        <f>+VLOOKUP(A149,'[1]BDD-Avk Tx'!B:BZ,77,0)</f>
        <v>CDI</v>
      </c>
      <c r="J149" s="4">
        <f t="shared" si="73"/>
        <v>45647</v>
      </c>
      <c r="N149" s="3"/>
      <c r="P149" s="54">
        <f t="shared" si="78"/>
        <v>12.916666666666666</v>
      </c>
      <c r="Q149" s="61">
        <v>0</v>
      </c>
      <c r="R149" s="62">
        <f t="shared" si="79"/>
        <v>20</v>
      </c>
      <c r="S149" s="54">
        <f t="shared" si="67"/>
        <v>1.5</v>
      </c>
      <c r="T149" s="54">
        <f t="shared" si="67"/>
        <v>3.5</v>
      </c>
      <c r="U149" s="54">
        <f t="shared" si="67"/>
        <v>1.5</v>
      </c>
      <c r="V149" s="54">
        <f t="shared" si="67"/>
        <v>1.5</v>
      </c>
      <c r="W149" s="54">
        <f t="shared" si="67"/>
        <v>1.5</v>
      </c>
      <c r="X149" s="54">
        <f t="shared" si="67"/>
        <v>1.5</v>
      </c>
      <c r="Y149" s="54">
        <f t="shared" si="67"/>
        <v>1.5</v>
      </c>
      <c r="Z149" s="54">
        <f t="shared" si="67"/>
        <v>1.5</v>
      </c>
      <c r="AA149" s="54">
        <f t="shared" si="67"/>
        <v>1.5</v>
      </c>
      <c r="AB149" s="54">
        <f t="shared" si="67"/>
        <v>1.5</v>
      </c>
      <c r="AC149" s="54">
        <f t="shared" si="67"/>
        <v>1.5</v>
      </c>
      <c r="AD149" s="54">
        <f t="shared" si="67"/>
        <v>1.5</v>
      </c>
      <c r="AF149" s="62">
        <f t="shared" si="60"/>
        <v>0</v>
      </c>
      <c r="AG149" s="64">
        <v>0</v>
      </c>
      <c r="AH149" s="64">
        <v>0</v>
      </c>
      <c r="AI149" s="65">
        <v>0</v>
      </c>
      <c r="AJ149" s="66"/>
      <c r="AK149" s="64"/>
      <c r="AL149" s="64"/>
      <c r="AM149" s="64"/>
      <c r="AN149" s="64"/>
      <c r="AO149" s="64"/>
      <c r="AP149" s="64"/>
      <c r="AQ149" s="64"/>
      <c r="AR149" s="64"/>
      <c r="AS149" s="67">
        <f t="shared" si="74"/>
        <v>20</v>
      </c>
      <c r="AT149" s="68"/>
      <c r="AU149" s="69">
        <v>-6.6769230769229466</v>
      </c>
      <c r="AV149" s="62">
        <f t="shared" si="70"/>
        <v>154</v>
      </c>
      <c r="AW149" s="54">
        <f t="shared" si="65"/>
        <v>11.549999999999999</v>
      </c>
      <c r="AX149" s="54">
        <f t="shared" si="65"/>
        <v>26.949999999999996</v>
      </c>
      <c r="AY149" s="54">
        <f t="shared" si="65"/>
        <v>11.549999999999999</v>
      </c>
      <c r="AZ149" s="54">
        <f t="shared" si="64"/>
        <v>11.549999999999999</v>
      </c>
      <c r="BA149" s="54">
        <f t="shared" si="64"/>
        <v>11.549999999999999</v>
      </c>
      <c r="BB149" s="54">
        <f t="shared" si="64"/>
        <v>11.549999999999999</v>
      </c>
      <c r="BC149" s="54">
        <f t="shared" si="64"/>
        <v>11.549999999999999</v>
      </c>
      <c r="BD149" s="54">
        <f t="shared" si="64"/>
        <v>11.549999999999999</v>
      </c>
      <c r="BE149" s="54">
        <f t="shared" si="64"/>
        <v>11.549999999999999</v>
      </c>
      <c r="BF149" s="54">
        <f t="shared" si="71"/>
        <v>11.549999999999999</v>
      </c>
      <c r="BG149" s="54">
        <f t="shared" si="71"/>
        <v>11.549999999999999</v>
      </c>
      <c r="BH149" s="54">
        <f t="shared" si="71"/>
        <v>11.549999999999999</v>
      </c>
      <c r="BI149" s="62">
        <f t="shared" si="68"/>
        <v>0</v>
      </c>
      <c r="BJ149" s="59">
        <f t="shared" si="83"/>
        <v>0</v>
      </c>
      <c r="BK149" s="59">
        <f t="shared" si="83"/>
        <v>0</v>
      </c>
      <c r="BL149" s="59">
        <f t="shared" si="83"/>
        <v>0</v>
      </c>
      <c r="BM149" s="59">
        <f t="shared" si="82"/>
        <v>0</v>
      </c>
      <c r="BN149" s="59">
        <f t="shared" si="82"/>
        <v>0</v>
      </c>
      <c r="BO149" s="59">
        <f t="shared" si="82"/>
        <v>0</v>
      </c>
      <c r="BP149" s="59">
        <f t="shared" si="82"/>
        <v>0</v>
      </c>
      <c r="BQ149" s="59">
        <f t="shared" si="82"/>
        <v>0</v>
      </c>
      <c r="BR149" s="59">
        <f t="shared" si="82"/>
        <v>0</v>
      </c>
      <c r="BS149" s="59">
        <f t="shared" si="82"/>
        <v>0</v>
      </c>
      <c r="BT149" s="59">
        <f t="shared" si="82"/>
        <v>0</v>
      </c>
      <c r="BU149" s="59">
        <f t="shared" si="82"/>
        <v>0</v>
      </c>
      <c r="BV149" s="67">
        <f t="shared" si="75"/>
        <v>147.32307692307705</v>
      </c>
      <c r="BX149" s="54">
        <f t="shared" si="76"/>
        <v>15.015000000000001</v>
      </c>
      <c r="BY149" s="54">
        <f t="shared" si="76"/>
        <v>35.034999999999997</v>
      </c>
      <c r="BZ149" s="54">
        <f t="shared" si="76"/>
        <v>15.015000000000001</v>
      </c>
      <c r="CA149" s="54">
        <f t="shared" si="76"/>
        <v>15.015000000000001</v>
      </c>
      <c r="CB149" s="54">
        <f t="shared" si="76"/>
        <v>15.015000000000001</v>
      </c>
      <c r="CC149" s="54">
        <f t="shared" si="76"/>
        <v>15.015000000000001</v>
      </c>
      <c r="CD149" s="54">
        <f t="shared" si="63"/>
        <v>15.015000000000001</v>
      </c>
      <c r="CE149" s="54">
        <f t="shared" si="63"/>
        <v>15.015000000000001</v>
      </c>
      <c r="CF149" s="54">
        <f t="shared" si="63"/>
        <v>15.015000000000001</v>
      </c>
      <c r="CG149" s="54">
        <f t="shared" si="63"/>
        <v>15.015000000000001</v>
      </c>
      <c r="CH149" s="54">
        <f t="shared" si="63"/>
        <v>15.015000000000001</v>
      </c>
      <c r="CI149" s="54">
        <f t="shared" si="63"/>
        <v>15.015000000000001</v>
      </c>
      <c r="CJ149" s="74">
        <f t="shared" si="69"/>
        <v>200.19999999999993</v>
      </c>
      <c r="CK149" s="59">
        <f t="shared" si="80"/>
        <v>20</v>
      </c>
      <c r="CL149" s="9">
        <f t="shared" si="81"/>
        <v>0</v>
      </c>
      <c r="CM149" s="71">
        <f t="shared" si="77"/>
        <v>200.2</v>
      </c>
      <c r="CN149" s="72"/>
      <c r="CO149" s="73"/>
    </row>
    <row r="150" spans="1:94" ht="20.25" customHeight="1">
      <c r="A150" s="75" t="s">
        <v>412</v>
      </c>
      <c r="B150" s="1" t="s">
        <v>413</v>
      </c>
      <c r="C150" s="1" t="s">
        <v>414</v>
      </c>
      <c r="D150" s="58">
        <f>+VLOOKUP(A150,'[1]BDD-Avk Tx'!B:CE,82,0)</f>
        <v>650</v>
      </c>
      <c r="E150" s="59">
        <v>412.1</v>
      </c>
      <c r="G150" s="4">
        <v>41275</v>
      </c>
      <c r="H150" s="4">
        <f t="shared" si="72"/>
        <v>45647</v>
      </c>
      <c r="I150" s="60" t="str">
        <f>+VLOOKUP(A150,'[1]BDD-Avk Tx'!B:BZ,77,0)</f>
        <v>CDI</v>
      </c>
      <c r="J150" s="4">
        <f t="shared" si="73"/>
        <v>45647</v>
      </c>
      <c r="N150" s="3"/>
      <c r="P150" s="54">
        <f t="shared" si="78"/>
        <v>12.916666666666666</v>
      </c>
      <c r="Q150" s="61">
        <v>8</v>
      </c>
      <c r="R150" s="62">
        <f t="shared" si="79"/>
        <v>20</v>
      </c>
      <c r="S150" s="54">
        <f t="shared" si="67"/>
        <v>1.5</v>
      </c>
      <c r="T150" s="54">
        <f t="shared" si="67"/>
        <v>3.5</v>
      </c>
      <c r="U150" s="54">
        <f t="shared" si="67"/>
        <v>1.5</v>
      </c>
      <c r="V150" s="54">
        <f t="shared" si="67"/>
        <v>1.5</v>
      </c>
      <c r="W150" s="54">
        <f t="shared" si="67"/>
        <v>1.5</v>
      </c>
      <c r="X150" s="54">
        <f t="shared" si="67"/>
        <v>1.5</v>
      </c>
      <c r="Y150" s="54">
        <f t="shared" si="67"/>
        <v>1.5</v>
      </c>
      <c r="Z150" s="54">
        <f t="shared" si="67"/>
        <v>1.5</v>
      </c>
      <c r="AA150" s="54">
        <f t="shared" si="67"/>
        <v>1.5</v>
      </c>
      <c r="AB150" s="54">
        <f t="shared" si="67"/>
        <v>1.5</v>
      </c>
      <c r="AC150" s="54">
        <f t="shared" si="67"/>
        <v>1.5</v>
      </c>
      <c r="AD150" s="54">
        <f t="shared" si="67"/>
        <v>1.5</v>
      </c>
      <c r="AF150" s="62">
        <f t="shared" si="60"/>
        <v>0</v>
      </c>
      <c r="AG150" s="64">
        <v>0</v>
      </c>
      <c r="AH150" s="64">
        <v>0</v>
      </c>
      <c r="AI150" s="65">
        <v>0</v>
      </c>
      <c r="AJ150" s="66"/>
      <c r="AK150" s="64"/>
      <c r="AL150" s="64"/>
      <c r="AM150" s="64"/>
      <c r="AN150" s="64"/>
      <c r="AO150" s="64"/>
      <c r="AP150" s="64"/>
      <c r="AQ150" s="64"/>
      <c r="AR150" s="64"/>
      <c r="AS150" s="67">
        <f t="shared" si="74"/>
        <v>28</v>
      </c>
      <c r="AT150" s="68"/>
      <c r="AU150" s="69">
        <v>104.75769230769197</v>
      </c>
      <c r="AV150" s="62">
        <f t="shared" si="70"/>
        <v>317</v>
      </c>
      <c r="AW150" s="54">
        <f t="shared" si="65"/>
        <v>23.775000000000002</v>
      </c>
      <c r="AX150" s="54">
        <f t="shared" si="65"/>
        <v>55.475000000000009</v>
      </c>
      <c r="AY150" s="54">
        <f t="shared" si="65"/>
        <v>23.775000000000002</v>
      </c>
      <c r="AZ150" s="54">
        <f t="shared" si="64"/>
        <v>23.775000000000002</v>
      </c>
      <c r="BA150" s="54">
        <f t="shared" si="64"/>
        <v>23.775000000000002</v>
      </c>
      <c r="BB150" s="54">
        <f t="shared" si="64"/>
        <v>23.775000000000002</v>
      </c>
      <c r="BC150" s="54">
        <f t="shared" si="64"/>
        <v>23.775000000000002</v>
      </c>
      <c r="BD150" s="54">
        <f t="shared" si="64"/>
        <v>23.775000000000002</v>
      </c>
      <c r="BE150" s="54">
        <f t="shared" si="64"/>
        <v>23.775000000000002</v>
      </c>
      <c r="BF150" s="54">
        <f t="shared" si="71"/>
        <v>23.775000000000002</v>
      </c>
      <c r="BG150" s="54">
        <f t="shared" si="71"/>
        <v>23.775000000000002</v>
      </c>
      <c r="BH150" s="54">
        <f t="shared" si="71"/>
        <v>23.775000000000002</v>
      </c>
      <c r="BI150" s="62">
        <f t="shared" si="68"/>
        <v>0</v>
      </c>
      <c r="BJ150" s="59">
        <f t="shared" si="83"/>
        <v>0</v>
      </c>
      <c r="BK150" s="59">
        <f t="shared" si="83"/>
        <v>0</v>
      </c>
      <c r="BL150" s="59">
        <f t="shared" si="83"/>
        <v>0</v>
      </c>
      <c r="BM150" s="59">
        <f t="shared" si="82"/>
        <v>0</v>
      </c>
      <c r="BN150" s="59">
        <f t="shared" si="82"/>
        <v>0</v>
      </c>
      <c r="BO150" s="59">
        <f t="shared" si="82"/>
        <v>0</v>
      </c>
      <c r="BP150" s="59">
        <f t="shared" si="82"/>
        <v>0</v>
      </c>
      <c r="BQ150" s="59">
        <f t="shared" si="82"/>
        <v>0</v>
      </c>
      <c r="BR150" s="59">
        <f t="shared" si="82"/>
        <v>0</v>
      </c>
      <c r="BS150" s="59">
        <f t="shared" si="82"/>
        <v>0</v>
      </c>
      <c r="BT150" s="59">
        <f t="shared" si="82"/>
        <v>0</v>
      </c>
      <c r="BU150" s="59">
        <f t="shared" si="82"/>
        <v>0</v>
      </c>
      <c r="BV150" s="67">
        <f t="shared" si="75"/>
        <v>421.75769230769197</v>
      </c>
      <c r="BX150" s="54">
        <f t="shared" si="76"/>
        <v>30.907499999999999</v>
      </c>
      <c r="BY150" s="54">
        <f t="shared" si="76"/>
        <v>72.117500000000007</v>
      </c>
      <c r="BZ150" s="54">
        <f t="shared" si="76"/>
        <v>30.907499999999999</v>
      </c>
      <c r="CA150" s="54">
        <f t="shared" si="76"/>
        <v>30.907499999999999</v>
      </c>
      <c r="CB150" s="54">
        <f t="shared" si="76"/>
        <v>30.907499999999999</v>
      </c>
      <c r="CC150" s="54">
        <f t="shared" si="76"/>
        <v>30.907499999999999</v>
      </c>
      <c r="CD150" s="54">
        <f t="shared" si="63"/>
        <v>30.907499999999999</v>
      </c>
      <c r="CE150" s="54">
        <f t="shared" si="63"/>
        <v>30.907499999999999</v>
      </c>
      <c r="CF150" s="54">
        <f t="shared" si="63"/>
        <v>30.907499999999999</v>
      </c>
      <c r="CG150" s="54">
        <f t="shared" si="63"/>
        <v>30.907499999999999</v>
      </c>
      <c r="CH150" s="54">
        <f t="shared" si="63"/>
        <v>30.907499999999999</v>
      </c>
      <c r="CI150" s="54">
        <f t="shared" si="63"/>
        <v>30.907499999999999</v>
      </c>
      <c r="CJ150" s="74">
        <f t="shared" si="69"/>
        <v>412.10000000000014</v>
      </c>
      <c r="CK150" s="59">
        <f t="shared" si="80"/>
        <v>20</v>
      </c>
      <c r="CL150" s="9">
        <f t="shared" si="81"/>
        <v>0</v>
      </c>
      <c r="CM150" s="71">
        <f t="shared" si="77"/>
        <v>412.1</v>
      </c>
      <c r="CN150" s="54"/>
      <c r="CO150" s="73"/>
      <c r="CP150" s="56"/>
    </row>
    <row r="151" spans="1:94" ht="20.25" customHeight="1">
      <c r="A151" s="1" t="s">
        <v>415</v>
      </c>
      <c r="B151" s="1" t="s">
        <v>416</v>
      </c>
      <c r="C151" s="1" t="s">
        <v>403</v>
      </c>
      <c r="D151" s="58">
        <f>+VLOOKUP(A151,'[1]BDD-Avk Tx'!B:CE,82,0)</f>
        <v>650</v>
      </c>
      <c r="E151" s="59">
        <v>308.10000000000002</v>
      </c>
      <c r="G151" s="4">
        <v>41275</v>
      </c>
      <c r="H151" s="4">
        <f t="shared" si="72"/>
        <v>45647</v>
      </c>
      <c r="I151" s="60" t="str">
        <f>+VLOOKUP(A151,'[1]BDD-Avk Tx'!B:BZ,77,0)</f>
        <v>CDI</v>
      </c>
      <c r="J151" s="4">
        <f t="shared" si="73"/>
        <v>45647</v>
      </c>
      <c r="N151" s="3"/>
      <c r="P151" s="54">
        <f t="shared" si="78"/>
        <v>12.916666666666666</v>
      </c>
      <c r="Q151" s="61">
        <v>20</v>
      </c>
      <c r="R151" s="62">
        <f t="shared" si="79"/>
        <v>20</v>
      </c>
      <c r="S151" s="54">
        <f t="shared" si="67"/>
        <v>1.5</v>
      </c>
      <c r="T151" s="54">
        <f t="shared" si="67"/>
        <v>3.5</v>
      </c>
      <c r="U151" s="54">
        <f t="shared" si="67"/>
        <v>1.5</v>
      </c>
      <c r="V151" s="54">
        <f t="shared" si="67"/>
        <v>1.5</v>
      </c>
      <c r="W151" s="54">
        <f t="shared" si="67"/>
        <v>1.5</v>
      </c>
      <c r="X151" s="54">
        <f t="shared" si="67"/>
        <v>1.5</v>
      </c>
      <c r="Y151" s="54">
        <f t="shared" si="67"/>
        <v>1.5</v>
      </c>
      <c r="Z151" s="54">
        <f t="shared" si="67"/>
        <v>1.5</v>
      </c>
      <c r="AA151" s="54">
        <f t="shared" si="67"/>
        <v>1.5</v>
      </c>
      <c r="AB151" s="54">
        <f t="shared" si="67"/>
        <v>1.5</v>
      </c>
      <c r="AC151" s="54">
        <f t="shared" si="67"/>
        <v>1.5</v>
      </c>
      <c r="AD151" s="54">
        <f t="shared" si="67"/>
        <v>1.5</v>
      </c>
      <c r="AF151" s="62">
        <f t="shared" si="60"/>
        <v>0</v>
      </c>
      <c r="AG151" s="64">
        <v>0</v>
      </c>
      <c r="AH151" s="64">
        <v>0</v>
      </c>
      <c r="AI151" s="65">
        <v>0</v>
      </c>
      <c r="AJ151" s="66"/>
      <c r="AK151" s="64"/>
      <c r="AL151" s="64"/>
      <c r="AM151" s="64"/>
      <c r="AN151" s="64"/>
      <c r="AO151" s="64"/>
      <c r="AP151" s="64"/>
      <c r="AQ151" s="64"/>
      <c r="AR151" s="64"/>
      <c r="AS151" s="67">
        <f t="shared" si="74"/>
        <v>40</v>
      </c>
      <c r="AT151" s="68"/>
      <c r="AU151" s="69">
        <v>130.63076923076903</v>
      </c>
      <c r="AV151" s="62">
        <f t="shared" si="70"/>
        <v>237.00000000000006</v>
      </c>
      <c r="AW151" s="54">
        <f t="shared" si="65"/>
        <v>17.775000000000002</v>
      </c>
      <c r="AX151" s="54">
        <f t="shared" si="65"/>
        <v>41.475000000000009</v>
      </c>
      <c r="AY151" s="54">
        <f t="shared" si="65"/>
        <v>17.775000000000002</v>
      </c>
      <c r="AZ151" s="54">
        <f t="shared" si="64"/>
        <v>17.775000000000002</v>
      </c>
      <c r="BA151" s="54">
        <f t="shared" si="64"/>
        <v>17.775000000000002</v>
      </c>
      <c r="BB151" s="54">
        <f t="shared" si="64"/>
        <v>17.775000000000002</v>
      </c>
      <c r="BC151" s="54">
        <f t="shared" si="64"/>
        <v>17.775000000000002</v>
      </c>
      <c r="BD151" s="54">
        <f t="shared" si="64"/>
        <v>17.775000000000002</v>
      </c>
      <c r="BE151" s="54">
        <f t="shared" si="64"/>
        <v>17.775000000000002</v>
      </c>
      <c r="BF151" s="54">
        <f t="shared" si="71"/>
        <v>17.775000000000002</v>
      </c>
      <c r="BG151" s="54">
        <f t="shared" si="71"/>
        <v>17.775000000000002</v>
      </c>
      <c r="BH151" s="54">
        <f t="shared" si="71"/>
        <v>17.775000000000002</v>
      </c>
      <c r="BI151" s="62">
        <f t="shared" si="68"/>
        <v>0</v>
      </c>
      <c r="BJ151" s="59">
        <f t="shared" si="83"/>
        <v>0</v>
      </c>
      <c r="BK151" s="59">
        <f t="shared" si="83"/>
        <v>0</v>
      </c>
      <c r="BL151" s="59">
        <f t="shared" si="83"/>
        <v>0</v>
      </c>
      <c r="BM151" s="59">
        <f t="shared" si="82"/>
        <v>0</v>
      </c>
      <c r="BN151" s="59">
        <f t="shared" si="82"/>
        <v>0</v>
      </c>
      <c r="BO151" s="59">
        <f t="shared" si="82"/>
        <v>0</v>
      </c>
      <c r="BP151" s="59">
        <f t="shared" si="82"/>
        <v>0</v>
      </c>
      <c r="BQ151" s="59">
        <f t="shared" si="82"/>
        <v>0</v>
      </c>
      <c r="BR151" s="59">
        <f t="shared" si="82"/>
        <v>0</v>
      </c>
      <c r="BS151" s="59">
        <f t="shared" si="82"/>
        <v>0</v>
      </c>
      <c r="BT151" s="59">
        <f t="shared" si="82"/>
        <v>0</v>
      </c>
      <c r="BU151" s="59">
        <f t="shared" si="82"/>
        <v>0</v>
      </c>
      <c r="BV151" s="67">
        <f t="shared" si="75"/>
        <v>367.63076923076909</v>
      </c>
      <c r="BX151" s="54">
        <f t="shared" si="76"/>
        <v>23.107500000000002</v>
      </c>
      <c r="BY151" s="54">
        <f t="shared" si="76"/>
        <v>53.917500000000004</v>
      </c>
      <c r="BZ151" s="54">
        <f t="shared" si="76"/>
        <v>23.107500000000002</v>
      </c>
      <c r="CA151" s="54">
        <f t="shared" si="76"/>
        <v>23.107500000000002</v>
      </c>
      <c r="CB151" s="54">
        <f t="shared" si="76"/>
        <v>23.107500000000002</v>
      </c>
      <c r="CC151" s="54">
        <f t="shared" si="76"/>
        <v>23.107500000000002</v>
      </c>
      <c r="CD151" s="54">
        <f t="shared" si="63"/>
        <v>23.107500000000002</v>
      </c>
      <c r="CE151" s="54">
        <f t="shared" si="63"/>
        <v>23.107500000000002</v>
      </c>
      <c r="CF151" s="54">
        <f t="shared" si="63"/>
        <v>23.107500000000002</v>
      </c>
      <c r="CG151" s="54">
        <f t="shared" si="63"/>
        <v>23.107500000000002</v>
      </c>
      <c r="CH151" s="54">
        <f t="shared" si="63"/>
        <v>23.107500000000002</v>
      </c>
      <c r="CI151" s="54">
        <f t="shared" si="63"/>
        <v>23.107500000000002</v>
      </c>
      <c r="CJ151" s="74">
        <f t="shared" si="69"/>
        <v>308.10000000000014</v>
      </c>
      <c r="CK151" s="59">
        <f t="shared" si="80"/>
        <v>20</v>
      </c>
      <c r="CL151" s="9">
        <f t="shared" si="81"/>
        <v>0</v>
      </c>
      <c r="CM151" s="71">
        <f t="shared" si="77"/>
        <v>308.10000000000002</v>
      </c>
      <c r="CN151" s="72"/>
      <c r="CO151" s="73"/>
    </row>
    <row r="152" spans="1:94" ht="20.25" customHeight="1">
      <c r="A152" s="75" t="s">
        <v>417</v>
      </c>
      <c r="B152" s="1" t="s">
        <v>418</v>
      </c>
      <c r="C152" s="1" t="s">
        <v>403</v>
      </c>
      <c r="D152" s="58">
        <f>+VLOOKUP(A152,'[1]BDD-Avk Tx'!B:CE,82,0)</f>
        <v>650</v>
      </c>
      <c r="E152" s="59">
        <v>200.2</v>
      </c>
      <c r="G152" s="4">
        <v>41275</v>
      </c>
      <c r="H152" s="4">
        <f t="shared" si="72"/>
        <v>45647</v>
      </c>
      <c r="I152" s="60" t="str">
        <f>+VLOOKUP(A152,'[1]BDD-Avk Tx'!B:BZ,77,0)</f>
        <v>CDI</v>
      </c>
      <c r="J152" s="4">
        <f t="shared" si="73"/>
        <v>45647</v>
      </c>
      <c r="N152" s="3"/>
      <c r="P152" s="54">
        <f t="shared" si="78"/>
        <v>12.916666666666666</v>
      </c>
      <c r="Q152" s="61">
        <v>0</v>
      </c>
      <c r="R152" s="62">
        <f t="shared" si="79"/>
        <v>20</v>
      </c>
      <c r="S152" s="54">
        <f t="shared" si="67"/>
        <v>1.5</v>
      </c>
      <c r="T152" s="54">
        <f t="shared" si="67"/>
        <v>3.5</v>
      </c>
      <c r="U152" s="54">
        <f t="shared" si="67"/>
        <v>1.5</v>
      </c>
      <c r="V152" s="54">
        <f t="shared" si="67"/>
        <v>1.5</v>
      </c>
      <c r="W152" s="54">
        <f t="shared" si="67"/>
        <v>1.5</v>
      </c>
      <c r="X152" s="54">
        <f t="shared" si="67"/>
        <v>1.5</v>
      </c>
      <c r="Y152" s="54">
        <f t="shared" si="67"/>
        <v>1.5</v>
      </c>
      <c r="Z152" s="54">
        <f t="shared" si="67"/>
        <v>1.5</v>
      </c>
      <c r="AA152" s="54">
        <f t="shared" si="67"/>
        <v>1.5</v>
      </c>
      <c r="AB152" s="54">
        <f t="shared" si="67"/>
        <v>1.5</v>
      </c>
      <c r="AC152" s="54">
        <f t="shared" si="67"/>
        <v>1.5</v>
      </c>
      <c r="AD152" s="54">
        <f t="shared" si="67"/>
        <v>1.5</v>
      </c>
      <c r="AF152" s="62">
        <f t="shared" si="60"/>
        <v>0</v>
      </c>
      <c r="AG152" s="64">
        <v>0</v>
      </c>
      <c r="AH152" s="64">
        <v>0</v>
      </c>
      <c r="AI152" s="65">
        <v>0</v>
      </c>
      <c r="AJ152" s="66"/>
      <c r="AK152" s="64"/>
      <c r="AL152" s="64"/>
      <c r="AM152" s="64"/>
      <c r="AN152" s="64"/>
      <c r="AO152" s="64"/>
      <c r="AP152" s="64"/>
      <c r="AQ152" s="64"/>
      <c r="AR152" s="64"/>
      <c r="AS152" s="67">
        <f t="shared" si="74"/>
        <v>20</v>
      </c>
      <c r="AT152" s="68"/>
      <c r="AU152" s="69">
        <v>-21.699999999999989</v>
      </c>
      <c r="AV152" s="62">
        <f t="shared" si="70"/>
        <v>154</v>
      </c>
      <c r="AW152" s="54">
        <f t="shared" si="65"/>
        <v>11.549999999999999</v>
      </c>
      <c r="AX152" s="54">
        <f t="shared" si="65"/>
        <v>26.949999999999996</v>
      </c>
      <c r="AY152" s="54">
        <f t="shared" si="65"/>
        <v>11.549999999999999</v>
      </c>
      <c r="AZ152" s="54">
        <f t="shared" si="64"/>
        <v>11.549999999999999</v>
      </c>
      <c r="BA152" s="54">
        <f t="shared" si="64"/>
        <v>11.549999999999999</v>
      </c>
      <c r="BB152" s="54">
        <f t="shared" si="64"/>
        <v>11.549999999999999</v>
      </c>
      <c r="BC152" s="54">
        <f t="shared" si="64"/>
        <v>11.549999999999999</v>
      </c>
      <c r="BD152" s="54">
        <f t="shared" si="64"/>
        <v>11.549999999999999</v>
      </c>
      <c r="BE152" s="54">
        <f t="shared" si="64"/>
        <v>11.549999999999999</v>
      </c>
      <c r="BF152" s="54">
        <f t="shared" si="71"/>
        <v>11.549999999999999</v>
      </c>
      <c r="BG152" s="54">
        <f t="shared" si="71"/>
        <v>11.549999999999999</v>
      </c>
      <c r="BH152" s="54">
        <f t="shared" si="71"/>
        <v>11.549999999999999</v>
      </c>
      <c r="BI152" s="62">
        <f t="shared" si="68"/>
        <v>0</v>
      </c>
      <c r="BJ152" s="59">
        <f t="shared" si="83"/>
        <v>0</v>
      </c>
      <c r="BK152" s="59">
        <f t="shared" si="83"/>
        <v>0</v>
      </c>
      <c r="BL152" s="59">
        <f t="shared" si="83"/>
        <v>0</v>
      </c>
      <c r="BM152" s="59">
        <f t="shared" si="83"/>
        <v>0</v>
      </c>
      <c r="BN152" s="59">
        <f t="shared" si="83"/>
        <v>0</v>
      </c>
      <c r="BO152" s="59">
        <f t="shared" si="83"/>
        <v>0</v>
      </c>
      <c r="BP152" s="59">
        <f t="shared" si="82"/>
        <v>0</v>
      </c>
      <c r="BQ152" s="59">
        <f t="shared" si="82"/>
        <v>0</v>
      </c>
      <c r="BR152" s="59">
        <f t="shared" si="82"/>
        <v>0</v>
      </c>
      <c r="BS152" s="59">
        <f t="shared" si="82"/>
        <v>0</v>
      </c>
      <c r="BT152" s="59">
        <f t="shared" si="82"/>
        <v>0</v>
      </c>
      <c r="BU152" s="59">
        <f t="shared" si="82"/>
        <v>0</v>
      </c>
      <c r="BV152" s="67">
        <f t="shared" si="75"/>
        <v>132.30000000000001</v>
      </c>
      <c r="BX152" s="54">
        <f t="shared" si="76"/>
        <v>15.015000000000001</v>
      </c>
      <c r="BY152" s="54">
        <f t="shared" si="76"/>
        <v>35.034999999999997</v>
      </c>
      <c r="BZ152" s="54">
        <f t="shared" si="76"/>
        <v>15.015000000000001</v>
      </c>
      <c r="CA152" s="54">
        <f t="shared" si="76"/>
        <v>15.015000000000001</v>
      </c>
      <c r="CB152" s="54">
        <f t="shared" si="76"/>
        <v>15.015000000000001</v>
      </c>
      <c r="CC152" s="54">
        <f t="shared" si="76"/>
        <v>15.015000000000001</v>
      </c>
      <c r="CD152" s="54">
        <f t="shared" si="63"/>
        <v>15.015000000000001</v>
      </c>
      <c r="CE152" s="54">
        <f t="shared" si="63"/>
        <v>15.015000000000001</v>
      </c>
      <c r="CF152" s="54">
        <f t="shared" si="63"/>
        <v>15.015000000000001</v>
      </c>
      <c r="CG152" s="54">
        <f t="shared" si="63"/>
        <v>15.015000000000001</v>
      </c>
      <c r="CH152" s="54">
        <f t="shared" si="63"/>
        <v>15.015000000000001</v>
      </c>
      <c r="CI152" s="54">
        <f t="shared" si="63"/>
        <v>15.015000000000001</v>
      </c>
      <c r="CJ152" s="74">
        <f t="shared" si="69"/>
        <v>200.19999999999993</v>
      </c>
      <c r="CK152" s="59">
        <f t="shared" si="80"/>
        <v>20</v>
      </c>
      <c r="CL152" s="9">
        <f t="shared" si="81"/>
        <v>0</v>
      </c>
      <c r="CM152" s="71">
        <f t="shared" si="77"/>
        <v>200.2</v>
      </c>
      <c r="CN152" s="54"/>
      <c r="CO152" s="73"/>
      <c r="CP152" s="56"/>
    </row>
    <row r="153" spans="1:94" ht="20.25" customHeight="1">
      <c r="A153" s="1" t="s">
        <v>419</v>
      </c>
      <c r="B153" s="1" t="s">
        <v>420</v>
      </c>
      <c r="C153" s="1" t="s">
        <v>403</v>
      </c>
      <c r="D153" s="58">
        <f>+VLOOKUP(A153,'[1]BDD-Avk Tx'!B:CE,82,0)</f>
        <v>650</v>
      </c>
      <c r="E153" s="59">
        <v>200.2</v>
      </c>
      <c r="G153" s="4">
        <v>41275</v>
      </c>
      <c r="H153" s="4">
        <f t="shared" si="72"/>
        <v>45647</v>
      </c>
      <c r="I153" s="60" t="str">
        <f>+VLOOKUP(A153,'[1]BDD-Avk Tx'!B:BZ,77,0)</f>
        <v>CDI</v>
      </c>
      <c r="J153" s="4">
        <f t="shared" si="73"/>
        <v>45647</v>
      </c>
      <c r="N153" s="3"/>
      <c r="P153" s="54">
        <f t="shared" si="78"/>
        <v>12.916666666666666</v>
      </c>
      <c r="Q153" s="61">
        <v>20</v>
      </c>
      <c r="R153" s="62">
        <f t="shared" si="79"/>
        <v>20</v>
      </c>
      <c r="S153" s="54">
        <f t="shared" si="67"/>
        <v>1.5</v>
      </c>
      <c r="T153" s="54">
        <f t="shared" si="67"/>
        <v>3.5</v>
      </c>
      <c r="U153" s="54">
        <f t="shared" si="67"/>
        <v>1.5</v>
      </c>
      <c r="V153" s="54">
        <f t="shared" si="67"/>
        <v>1.5</v>
      </c>
      <c r="W153" s="54">
        <f t="shared" si="67"/>
        <v>1.5</v>
      </c>
      <c r="X153" s="54">
        <f t="shared" si="67"/>
        <v>1.5</v>
      </c>
      <c r="Y153" s="54">
        <f t="shared" si="67"/>
        <v>1.5</v>
      </c>
      <c r="Z153" s="54">
        <f t="shared" si="67"/>
        <v>1.5</v>
      </c>
      <c r="AA153" s="54">
        <f t="shared" si="67"/>
        <v>1.5</v>
      </c>
      <c r="AB153" s="54">
        <f t="shared" si="67"/>
        <v>1.5</v>
      </c>
      <c r="AC153" s="54">
        <f t="shared" si="67"/>
        <v>1.5</v>
      </c>
      <c r="AD153" s="54">
        <f t="shared" si="67"/>
        <v>1.5</v>
      </c>
      <c r="AF153" s="62">
        <f t="shared" si="60"/>
        <v>19</v>
      </c>
      <c r="AG153" s="64">
        <v>12</v>
      </c>
      <c r="AH153" s="64">
        <v>7</v>
      </c>
      <c r="AI153" s="65">
        <v>0</v>
      </c>
      <c r="AJ153" s="66"/>
      <c r="AK153" s="64"/>
      <c r="AL153" s="64"/>
      <c r="AM153" s="64"/>
      <c r="AN153" s="64"/>
      <c r="AO153" s="64"/>
      <c r="AP153" s="64"/>
      <c r="AQ153" s="64"/>
      <c r="AR153" s="64"/>
      <c r="AS153" s="67">
        <f t="shared" si="74"/>
        <v>21</v>
      </c>
      <c r="AT153" s="68"/>
      <c r="AU153" s="69">
        <v>139.17000000000004</v>
      </c>
      <c r="AV153" s="62">
        <f t="shared" si="70"/>
        <v>154</v>
      </c>
      <c r="AW153" s="54">
        <f t="shared" si="65"/>
        <v>11.549999999999999</v>
      </c>
      <c r="AX153" s="54">
        <f t="shared" si="65"/>
        <v>26.949999999999996</v>
      </c>
      <c r="AY153" s="54">
        <f t="shared" si="65"/>
        <v>11.549999999999999</v>
      </c>
      <c r="AZ153" s="54">
        <f t="shared" si="64"/>
        <v>11.549999999999999</v>
      </c>
      <c r="BA153" s="54">
        <f t="shared" si="64"/>
        <v>11.549999999999999</v>
      </c>
      <c r="BB153" s="54">
        <f t="shared" si="64"/>
        <v>11.549999999999999</v>
      </c>
      <c r="BC153" s="54">
        <f t="shared" si="64"/>
        <v>11.549999999999999</v>
      </c>
      <c r="BD153" s="54">
        <f t="shared" si="64"/>
        <v>11.549999999999999</v>
      </c>
      <c r="BE153" s="54">
        <f t="shared" si="64"/>
        <v>11.549999999999999</v>
      </c>
      <c r="BF153" s="54">
        <f t="shared" si="71"/>
        <v>11.549999999999999</v>
      </c>
      <c r="BG153" s="54">
        <f t="shared" si="71"/>
        <v>11.549999999999999</v>
      </c>
      <c r="BH153" s="54">
        <f t="shared" si="71"/>
        <v>11.549999999999999</v>
      </c>
      <c r="BI153" s="62">
        <f t="shared" si="68"/>
        <v>-146.29999999999998</v>
      </c>
      <c r="BJ153" s="59">
        <f t="shared" si="83"/>
        <v>-92.399999999999991</v>
      </c>
      <c r="BK153" s="59">
        <f t="shared" si="83"/>
        <v>-53.899999999999991</v>
      </c>
      <c r="BL153" s="59">
        <f t="shared" si="83"/>
        <v>0</v>
      </c>
      <c r="BM153" s="59">
        <f t="shared" si="83"/>
        <v>0</v>
      </c>
      <c r="BN153" s="59">
        <f t="shared" si="83"/>
        <v>0</v>
      </c>
      <c r="BO153" s="59">
        <f t="shared" si="83"/>
        <v>0</v>
      </c>
      <c r="BP153" s="59">
        <f t="shared" si="82"/>
        <v>0</v>
      </c>
      <c r="BQ153" s="59">
        <f t="shared" si="82"/>
        <v>0</v>
      </c>
      <c r="BR153" s="59">
        <f t="shared" si="82"/>
        <v>0</v>
      </c>
      <c r="BS153" s="59">
        <f t="shared" si="82"/>
        <v>0</v>
      </c>
      <c r="BT153" s="59">
        <f t="shared" si="82"/>
        <v>0</v>
      </c>
      <c r="BU153" s="59">
        <f t="shared" si="82"/>
        <v>0</v>
      </c>
      <c r="BV153" s="67">
        <f t="shared" si="75"/>
        <v>146.87000000000009</v>
      </c>
      <c r="BX153" s="54">
        <f t="shared" si="76"/>
        <v>15.015000000000001</v>
      </c>
      <c r="BY153" s="54">
        <f t="shared" si="76"/>
        <v>35.034999999999997</v>
      </c>
      <c r="BZ153" s="54">
        <f t="shared" si="76"/>
        <v>15.015000000000001</v>
      </c>
      <c r="CA153" s="54">
        <f t="shared" si="76"/>
        <v>15.015000000000001</v>
      </c>
      <c r="CB153" s="54">
        <f t="shared" si="76"/>
        <v>15.015000000000001</v>
      </c>
      <c r="CC153" s="54">
        <f t="shared" si="76"/>
        <v>15.015000000000001</v>
      </c>
      <c r="CD153" s="54">
        <f t="shared" si="63"/>
        <v>15.015000000000001</v>
      </c>
      <c r="CE153" s="54">
        <f t="shared" si="63"/>
        <v>15.015000000000001</v>
      </c>
      <c r="CF153" s="54">
        <f t="shared" si="63"/>
        <v>15.015000000000001</v>
      </c>
      <c r="CG153" s="54">
        <f t="shared" si="63"/>
        <v>15.015000000000001</v>
      </c>
      <c r="CH153" s="54">
        <f t="shared" si="63"/>
        <v>15.015000000000001</v>
      </c>
      <c r="CI153" s="54">
        <f t="shared" si="63"/>
        <v>15.015000000000001</v>
      </c>
      <c r="CJ153" s="74">
        <f t="shared" si="69"/>
        <v>200.19999999999993</v>
      </c>
      <c r="CK153" s="59">
        <f t="shared" si="80"/>
        <v>20</v>
      </c>
      <c r="CL153" s="9">
        <f t="shared" si="81"/>
        <v>0</v>
      </c>
      <c r="CM153" s="71">
        <f t="shared" si="77"/>
        <v>200.2</v>
      </c>
      <c r="CN153" s="72"/>
      <c r="CO153" s="73"/>
    </row>
    <row r="154" spans="1:94" ht="20.25" customHeight="1">
      <c r="A154" s="75" t="s">
        <v>421</v>
      </c>
      <c r="B154" s="1" t="s">
        <v>422</v>
      </c>
      <c r="C154" s="1" t="s">
        <v>403</v>
      </c>
      <c r="D154" s="58">
        <f>+VLOOKUP(A154,'[1]BDD-Avk Tx'!B:CE,82,0)</f>
        <v>650</v>
      </c>
      <c r="E154" s="59">
        <v>200.2</v>
      </c>
      <c r="G154" s="4">
        <v>41292</v>
      </c>
      <c r="H154" s="4">
        <f t="shared" si="72"/>
        <v>45647</v>
      </c>
      <c r="I154" s="60" t="str">
        <f>+VLOOKUP(A154,'[1]BDD-Avk Tx'!B:BZ,77,0)</f>
        <v>CDI</v>
      </c>
      <c r="J154" s="4">
        <f t="shared" si="73"/>
        <v>45647</v>
      </c>
      <c r="N154" s="3"/>
      <c r="P154" s="54">
        <f t="shared" si="78"/>
        <v>12.916666666666666</v>
      </c>
      <c r="Q154" s="61">
        <v>1</v>
      </c>
      <c r="R154" s="62">
        <f t="shared" si="79"/>
        <v>20</v>
      </c>
      <c r="S154" s="54">
        <f t="shared" si="67"/>
        <v>1.5</v>
      </c>
      <c r="T154" s="54">
        <f t="shared" si="67"/>
        <v>3.5</v>
      </c>
      <c r="U154" s="54">
        <f t="shared" si="67"/>
        <v>1.5</v>
      </c>
      <c r="V154" s="54">
        <f t="shared" si="67"/>
        <v>1.5</v>
      </c>
      <c r="W154" s="54">
        <f t="shared" si="67"/>
        <v>1.5</v>
      </c>
      <c r="X154" s="54">
        <f t="shared" si="67"/>
        <v>1.5</v>
      </c>
      <c r="Y154" s="54">
        <f t="shared" si="67"/>
        <v>1.5</v>
      </c>
      <c r="Z154" s="54">
        <f t="shared" si="67"/>
        <v>1.5</v>
      </c>
      <c r="AA154" s="54">
        <f t="shared" si="67"/>
        <v>1.5</v>
      </c>
      <c r="AB154" s="54">
        <f t="shared" si="67"/>
        <v>1.5</v>
      </c>
      <c r="AC154" s="54">
        <f t="shared" si="67"/>
        <v>1.5</v>
      </c>
      <c r="AD154" s="54">
        <f t="shared" si="67"/>
        <v>1.5</v>
      </c>
      <c r="AF154" s="62">
        <f t="shared" si="60"/>
        <v>0</v>
      </c>
      <c r="AG154" s="64">
        <v>0</v>
      </c>
      <c r="AH154" s="64">
        <v>0</v>
      </c>
      <c r="AI154" s="65">
        <v>0</v>
      </c>
      <c r="AJ154" s="66"/>
      <c r="AK154" s="64"/>
      <c r="AL154" s="64"/>
      <c r="AM154" s="64"/>
      <c r="AN154" s="64"/>
      <c r="AO154" s="64"/>
      <c r="AP154" s="64"/>
      <c r="AQ154" s="64"/>
      <c r="AR154" s="64"/>
      <c r="AS154" s="67">
        <f t="shared" si="74"/>
        <v>21</v>
      </c>
      <c r="AT154" s="68"/>
      <c r="AU154" s="69">
        <v>-7.3230769230769965</v>
      </c>
      <c r="AV154" s="62">
        <f t="shared" si="70"/>
        <v>154</v>
      </c>
      <c r="AW154" s="54">
        <f t="shared" si="65"/>
        <v>11.549999999999999</v>
      </c>
      <c r="AX154" s="54">
        <f t="shared" si="65"/>
        <v>26.949999999999996</v>
      </c>
      <c r="AY154" s="54">
        <f t="shared" si="65"/>
        <v>11.549999999999999</v>
      </c>
      <c r="AZ154" s="54">
        <f t="shared" si="64"/>
        <v>11.549999999999999</v>
      </c>
      <c r="BA154" s="54">
        <f t="shared" si="64"/>
        <v>11.549999999999999</v>
      </c>
      <c r="BB154" s="54">
        <f t="shared" si="64"/>
        <v>11.549999999999999</v>
      </c>
      <c r="BC154" s="54">
        <f t="shared" si="64"/>
        <v>11.549999999999999</v>
      </c>
      <c r="BD154" s="54">
        <f t="shared" si="64"/>
        <v>11.549999999999999</v>
      </c>
      <c r="BE154" s="54">
        <f t="shared" si="64"/>
        <v>11.549999999999999</v>
      </c>
      <c r="BF154" s="54">
        <f t="shared" si="71"/>
        <v>11.549999999999999</v>
      </c>
      <c r="BG154" s="54">
        <f t="shared" si="71"/>
        <v>11.549999999999999</v>
      </c>
      <c r="BH154" s="54">
        <f t="shared" si="71"/>
        <v>11.549999999999999</v>
      </c>
      <c r="BI154" s="62">
        <f t="shared" si="68"/>
        <v>0</v>
      </c>
      <c r="BJ154" s="59">
        <f t="shared" si="83"/>
        <v>0</v>
      </c>
      <c r="BK154" s="59">
        <f t="shared" si="83"/>
        <v>0</v>
      </c>
      <c r="BL154" s="59">
        <f t="shared" si="83"/>
        <v>0</v>
      </c>
      <c r="BM154" s="59">
        <f t="shared" si="83"/>
        <v>0</v>
      </c>
      <c r="BN154" s="59">
        <f t="shared" si="83"/>
        <v>0</v>
      </c>
      <c r="BO154" s="59">
        <f t="shared" si="83"/>
        <v>0</v>
      </c>
      <c r="BP154" s="59">
        <f t="shared" si="82"/>
        <v>0</v>
      </c>
      <c r="BQ154" s="59">
        <f t="shared" si="82"/>
        <v>0</v>
      </c>
      <c r="BR154" s="59">
        <f t="shared" si="82"/>
        <v>0</v>
      </c>
      <c r="BS154" s="59">
        <f t="shared" si="82"/>
        <v>0</v>
      </c>
      <c r="BT154" s="59">
        <f t="shared" si="82"/>
        <v>0</v>
      </c>
      <c r="BU154" s="59">
        <f t="shared" si="82"/>
        <v>0</v>
      </c>
      <c r="BV154" s="67">
        <f t="shared" si="75"/>
        <v>146.676923076923</v>
      </c>
      <c r="BX154" s="54">
        <f t="shared" si="76"/>
        <v>15.015000000000001</v>
      </c>
      <c r="BY154" s="54">
        <f t="shared" si="76"/>
        <v>35.034999999999997</v>
      </c>
      <c r="BZ154" s="54">
        <f t="shared" si="76"/>
        <v>15.015000000000001</v>
      </c>
      <c r="CA154" s="54">
        <f t="shared" si="76"/>
        <v>15.015000000000001</v>
      </c>
      <c r="CB154" s="54">
        <f t="shared" si="76"/>
        <v>15.015000000000001</v>
      </c>
      <c r="CC154" s="54">
        <f t="shared" si="76"/>
        <v>15.015000000000001</v>
      </c>
      <c r="CD154" s="54">
        <f t="shared" si="63"/>
        <v>15.015000000000001</v>
      </c>
      <c r="CE154" s="54">
        <f t="shared" si="63"/>
        <v>15.015000000000001</v>
      </c>
      <c r="CF154" s="54">
        <f t="shared" si="63"/>
        <v>15.015000000000001</v>
      </c>
      <c r="CG154" s="54">
        <f t="shared" si="63"/>
        <v>15.015000000000001</v>
      </c>
      <c r="CH154" s="54">
        <f t="shared" si="63"/>
        <v>15.015000000000001</v>
      </c>
      <c r="CI154" s="54">
        <f t="shared" si="63"/>
        <v>15.015000000000001</v>
      </c>
      <c r="CJ154" s="74">
        <f t="shared" si="69"/>
        <v>200.19999999999993</v>
      </c>
      <c r="CK154" s="59">
        <f t="shared" si="80"/>
        <v>20</v>
      </c>
      <c r="CL154" s="9">
        <f t="shared" si="81"/>
        <v>0</v>
      </c>
      <c r="CM154" s="71">
        <f t="shared" si="77"/>
        <v>200.2</v>
      </c>
      <c r="CN154" s="54"/>
      <c r="CO154" s="73"/>
      <c r="CP154" s="56"/>
    </row>
    <row r="155" spans="1:94" ht="20.25" customHeight="1">
      <c r="A155" s="1" t="s">
        <v>423</v>
      </c>
      <c r="B155" s="1" t="s">
        <v>424</v>
      </c>
      <c r="C155" s="1" t="s">
        <v>403</v>
      </c>
      <c r="D155" s="58">
        <f>+VLOOKUP(A155,'[1]BDD-Avk Tx'!B:CE,82,0)</f>
        <v>650</v>
      </c>
      <c r="E155" s="59">
        <v>200.2</v>
      </c>
      <c r="G155" s="4">
        <v>41421</v>
      </c>
      <c r="H155" s="4">
        <f t="shared" si="72"/>
        <v>45647</v>
      </c>
      <c r="I155" s="60" t="str">
        <f>+VLOOKUP(A155,'[1]BDD-Avk Tx'!B:BZ,77,0)</f>
        <v>CDI</v>
      </c>
      <c r="J155" s="4">
        <f t="shared" si="73"/>
        <v>45647</v>
      </c>
      <c r="N155" s="3"/>
      <c r="P155" s="54">
        <f t="shared" si="78"/>
        <v>12.5</v>
      </c>
      <c r="Q155" s="61">
        <v>0</v>
      </c>
      <c r="R155" s="62">
        <f t="shared" si="79"/>
        <v>20</v>
      </c>
      <c r="S155" s="54">
        <f t="shared" si="67"/>
        <v>1.5</v>
      </c>
      <c r="T155" s="54">
        <f t="shared" si="67"/>
        <v>1.5</v>
      </c>
      <c r="U155" s="54">
        <f t="shared" si="67"/>
        <v>1.5</v>
      </c>
      <c r="V155" s="54">
        <f t="shared" si="67"/>
        <v>1.5</v>
      </c>
      <c r="W155" s="54">
        <f t="shared" si="67"/>
        <v>1.5</v>
      </c>
      <c r="X155" s="54">
        <f t="shared" si="67"/>
        <v>3.5</v>
      </c>
      <c r="Y155" s="54">
        <f t="shared" si="67"/>
        <v>1.5</v>
      </c>
      <c r="Z155" s="54">
        <f t="shared" si="67"/>
        <v>1.5</v>
      </c>
      <c r="AA155" s="54">
        <f t="shared" si="67"/>
        <v>1.5</v>
      </c>
      <c r="AB155" s="54">
        <f t="shared" si="67"/>
        <v>1.5</v>
      </c>
      <c r="AC155" s="54">
        <f t="shared" si="67"/>
        <v>1.5</v>
      </c>
      <c r="AD155" s="54">
        <f t="shared" si="67"/>
        <v>1.5</v>
      </c>
      <c r="AF155" s="62">
        <f t="shared" si="60"/>
        <v>0</v>
      </c>
      <c r="AG155" s="64">
        <v>0</v>
      </c>
      <c r="AH155" s="64">
        <v>0</v>
      </c>
      <c r="AI155" s="65">
        <v>0</v>
      </c>
      <c r="AJ155" s="66"/>
      <c r="AK155" s="64"/>
      <c r="AL155" s="64"/>
      <c r="AM155" s="64"/>
      <c r="AN155" s="64"/>
      <c r="AO155" s="64"/>
      <c r="AP155" s="64"/>
      <c r="AQ155" s="64"/>
      <c r="AR155" s="64"/>
      <c r="AS155" s="67">
        <f t="shared" si="74"/>
        <v>20</v>
      </c>
      <c r="AT155" s="68"/>
      <c r="AU155" s="69">
        <v>-5.0076923076923094</v>
      </c>
      <c r="AV155" s="62">
        <f t="shared" si="70"/>
        <v>154</v>
      </c>
      <c r="AW155" s="54">
        <f t="shared" si="65"/>
        <v>11.549999999999999</v>
      </c>
      <c r="AX155" s="54">
        <f t="shared" si="65"/>
        <v>11.549999999999999</v>
      </c>
      <c r="AY155" s="54">
        <f t="shared" si="65"/>
        <v>11.549999999999999</v>
      </c>
      <c r="AZ155" s="54">
        <f t="shared" si="64"/>
        <v>11.549999999999999</v>
      </c>
      <c r="BA155" s="54">
        <f t="shared" si="64"/>
        <v>11.549999999999999</v>
      </c>
      <c r="BB155" s="54">
        <f t="shared" si="64"/>
        <v>26.949999999999996</v>
      </c>
      <c r="BC155" s="54">
        <f t="shared" si="64"/>
        <v>11.549999999999999</v>
      </c>
      <c r="BD155" s="54">
        <f t="shared" si="64"/>
        <v>11.549999999999999</v>
      </c>
      <c r="BE155" s="54">
        <f t="shared" si="64"/>
        <v>11.549999999999999</v>
      </c>
      <c r="BF155" s="54">
        <f t="shared" si="71"/>
        <v>11.549999999999999</v>
      </c>
      <c r="BG155" s="54">
        <f t="shared" si="71"/>
        <v>11.549999999999999</v>
      </c>
      <c r="BH155" s="54">
        <f t="shared" si="71"/>
        <v>11.549999999999999</v>
      </c>
      <c r="BI155" s="62">
        <f t="shared" si="68"/>
        <v>0</v>
      </c>
      <c r="BJ155" s="59">
        <f t="shared" si="83"/>
        <v>0</v>
      </c>
      <c r="BK155" s="59">
        <f t="shared" si="83"/>
        <v>0</v>
      </c>
      <c r="BL155" s="59">
        <f t="shared" si="83"/>
        <v>0</v>
      </c>
      <c r="BM155" s="59">
        <f t="shared" si="83"/>
        <v>0</v>
      </c>
      <c r="BN155" s="59">
        <f t="shared" si="83"/>
        <v>0</v>
      </c>
      <c r="BO155" s="59">
        <f t="shared" si="83"/>
        <v>0</v>
      </c>
      <c r="BP155" s="59">
        <f t="shared" si="82"/>
        <v>0</v>
      </c>
      <c r="BQ155" s="59">
        <f t="shared" si="82"/>
        <v>0</v>
      </c>
      <c r="BR155" s="59">
        <f t="shared" si="82"/>
        <v>0</v>
      </c>
      <c r="BS155" s="59">
        <f t="shared" si="82"/>
        <v>0</v>
      </c>
      <c r="BT155" s="59">
        <f t="shared" si="82"/>
        <v>0</v>
      </c>
      <c r="BU155" s="59">
        <f t="shared" si="82"/>
        <v>0</v>
      </c>
      <c r="BV155" s="67">
        <f t="shared" si="75"/>
        <v>148.99230769230769</v>
      </c>
      <c r="BX155" s="54">
        <f t="shared" si="76"/>
        <v>15.015000000000001</v>
      </c>
      <c r="BY155" s="54">
        <f t="shared" si="76"/>
        <v>15.015000000000001</v>
      </c>
      <c r="BZ155" s="54">
        <f t="shared" si="76"/>
        <v>15.015000000000001</v>
      </c>
      <c r="CA155" s="54">
        <f t="shared" si="76"/>
        <v>15.015000000000001</v>
      </c>
      <c r="CB155" s="54">
        <f t="shared" si="76"/>
        <v>15.015000000000001</v>
      </c>
      <c r="CC155" s="54">
        <f t="shared" si="76"/>
        <v>35.034999999999997</v>
      </c>
      <c r="CD155" s="54">
        <f t="shared" si="63"/>
        <v>15.015000000000001</v>
      </c>
      <c r="CE155" s="54">
        <f t="shared" si="63"/>
        <v>15.015000000000001</v>
      </c>
      <c r="CF155" s="54">
        <f t="shared" si="63"/>
        <v>15.015000000000001</v>
      </c>
      <c r="CG155" s="54">
        <f t="shared" si="63"/>
        <v>15.015000000000001</v>
      </c>
      <c r="CH155" s="54">
        <f t="shared" si="63"/>
        <v>15.015000000000001</v>
      </c>
      <c r="CI155" s="54">
        <f t="shared" si="63"/>
        <v>15.015000000000001</v>
      </c>
      <c r="CJ155" s="74">
        <f t="shared" si="69"/>
        <v>200.19999999999993</v>
      </c>
      <c r="CK155" s="59">
        <f t="shared" si="80"/>
        <v>20</v>
      </c>
      <c r="CL155" s="9">
        <f t="shared" si="81"/>
        <v>0</v>
      </c>
      <c r="CM155" s="71">
        <f t="shared" si="77"/>
        <v>200.2</v>
      </c>
      <c r="CN155" s="72"/>
      <c r="CO155" s="73"/>
    </row>
    <row r="156" spans="1:94" ht="20.25" customHeight="1">
      <c r="A156" s="1" t="s">
        <v>425</v>
      </c>
      <c r="B156" s="1" t="s">
        <v>426</v>
      </c>
      <c r="C156" s="1" t="s">
        <v>427</v>
      </c>
      <c r="D156" s="58">
        <f>+VLOOKUP(A156,'[1]BDD-Avk Tx'!B:CE,82,0)</f>
        <v>282</v>
      </c>
      <c r="E156" s="59">
        <v>172.9</v>
      </c>
      <c r="G156" s="4">
        <v>41790</v>
      </c>
      <c r="H156" s="4">
        <f t="shared" si="72"/>
        <v>45647</v>
      </c>
      <c r="I156" s="60" t="str">
        <f>+VLOOKUP(A156,'[1]BDD-Avk Tx'!B:BZ,77,0)</f>
        <v>CDI</v>
      </c>
      <c r="J156" s="4">
        <f t="shared" si="73"/>
        <v>45647</v>
      </c>
      <c r="N156" s="3"/>
      <c r="P156" s="54">
        <f t="shared" si="78"/>
        <v>11.5</v>
      </c>
      <c r="Q156" s="61">
        <v>0</v>
      </c>
      <c r="R156" s="62">
        <f t="shared" si="79"/>
        <v>20</v>
      </c>
      <c r="S156" s="54">
        <f t="shared" si="67"/>
        <v>1.5</v>
      </c>
      <c r="T156" s="54">
        <f t="shared" si="67"/>
        <v>1.5</v>
      </c>
      <c r="U156" s="54">
        <f t="shared" si="67"/>
        <v>1.5</v>
      </c>
      <c r="V156" s="54">
        <f t="shared" si="67"/>
        <v>1.5</v>
      </c>
      <c r="W156" s="54">
        <f t="shared" si="67"/>
        <v>1.5</v>
      </c>
      <c r="X156" s="54">
        <f t="shared" si="67"/>
        <v>3.5</v>
      </c>
      <c r="Y156" s="54">
        <f t="shared" si="67"/>
        <v>1.5</v>
      </c>
      <c r="Z156" s="54">
        <f t="shared" si="67"/>
        <v>1.5</v>
      </c>
      <c r="AA156" s="54">
        <f t="shared" si="67"/>
        <v>1.5</v>
      </c>
      <c r="AB156" s="54">
        <f t="shared" si="67"/>
        <v>1.5</v>
      </c>
      <c r="AC156" s="54">
        <f t="shared" si="67"/>
        <v>1.5</v>
      </c>
      <c r="AD156" s="54">
        <f t="shared" si="67"/>
        <v>1.5</v>
      </c>
      <c r="AF156" s="62">
        <f t="shared" si="60"/>
        <v>11</v>
      </c>
      <c r="AG156" s="64">
        <v>11</v>
      </c>
      <c r="AH156" s="64">
        <v>0</v>
      </c>
      <c r="AI156" s="65">
        <v>0</v>
      </c>
      <c r="AJ156" s="66"/>
      <c r="AK156" s="64"/>
      <c r="AL156" s="64"/>
      <c r="AM156" s="64"/>
      <c r="AN156" s="64"/>
      <c r="AO156" s="64"/>
      <c r="AP156" s="64"/>
      <c r="AQ156" s="64"/>
      <c r="AR156" s="64"/>
      <c r="AS156" s="67">
        <f>+Q156+R156-AF156</f>
        <v>9</v>
      </c>
      <c r="AT156" s="68"/>
      <c r="AU156" s="69">
        <v>2.4499999999999318</v>
      </c>
      <c r="AV156" s="62">
        <f t="shared" si="70"/>
        <v>132.99999999999997</v>
      </c>
      <c r="AW156" s="54">
        <f t="shared" si="65"/>
        <v>9.9750000000000014</v>
      </c>
      <c r="AX156" s="54">
        <f t="shared" si="65"/>
        <v>9.9750000000000014</v>
      </c>
      <c r="AY156" s="54">
        <f t="shared" si="65"/>
        <v>9.9750000000000014</v>
      </c>
      <c r="AZ156" s="54">
        <f t="shared" si="64"/>
        <v>9.9750000000000014</v>
      </c>
      <c r="BA156" s="54">
        <f t="shared" si="64"/>
        <v>9.9750000000000014</v>
      </c>
      <c r="BB156" s="54">
        <f t="shared" si="64"/>
        <v>23.275000000000002</v>
      </c>
      <c r="BC156" s="54">
        <f t="shared" si="64"/>
        <v>9.9750000000000014</v>
      </c>
      <c r="BD156" s="54">
        <f t="shared" si="64"/>
        <v>9.9750000000000014</v>
      </c>
      <c r="BE156" s="54">
        <f t="shared" si="64"/>
        <v>9.9750000000000014</v>
      </c>
      <c r="BF156" s="54">
        <f t="shared" si="71"/>
        <v>9.9750000000000014</v>
      </c>
      <c r="BG156" s="54">
        <f t="shared" si="71"/>
        <v>9.9750000000000014</v>
      </c>
      <c r="BH156" s="54">
        <f t="shared" si="71"/>
        <v>9.9750000000000014</v>
      </c>
      <c r="BI156" s="62">
        <f t="shared" si="68"/>
        <v>-73.150000000000006</v>
      </c>
      <c r="BJ156" s="59">
        <f t="shared" si="83"/>
        <v>-73.150000000000006</v>
      </c>
      <c r="BK156" s="59">
        <f t="shared" si="83"/>
        <v>0</v>
      </c>
      <c r="BL156" s="59">
        <f t="shared" si="83"/>
        <v>0</v>
      </c>
      <c r="BM156" s="59">
        <f t="shared" si="83"/>
        <v>0</v>
      </c>
      <c r="BN156" s="59">
        <f t="shared" si="83"/>
        <v>0</v>
      </c>
      <c r="BO156" s="59">
        <f t="shared" si="83"/>
        <v>0</v>
      </c>
      <c r="BP156" s="59">
        <f t="shared" si="82"/>
        <v>0</v>
      </c>
      <c r="BQ156" s="59">
        <f t="shared" si="82"/>
        <v>0</v>
      </c>
      <c r="BR156" s="59">
        <f t="shared" si="82"/>
        <v>0</v>
      </c>
      <c r="BS156" s="59">
        <f t="shared" si="82"/>
        <v>0</v>
      </c>
      <c r="BT156" s="59">
        <f t="shared" si="82"/>
        <v>0</v>
      </c>
      <c r="BU156" s="59">
        <f t="shared" si="82"/>
        <v>0</v>
      </c>
      <c r="BV156" s="67">
        <f t="shared" si="75"/>
        <v>62.299999999999898</v>
      </c>
      <c r="BX156" s="54">
        <f t="shared" si="76"/>
        <v>12.967499999999999</v>
      </c>
      <c r="BY156" s="54">
        <f t="shared" si="76"/>
        <v>12.967499999999999</v>
      </c>
      <c r="BZ156" s="54">
        <f t="shared" si="76"/>
        <v>12.967499999999999</v>
      </c>
      <c r="CA156" s="54">
        <f t="shared" si="76"/>
        <v>12.967499999999999</v>
      </c>
      <c r="CB156" s="54">
        <f t="shared" si="76"/>
        <v>12.967499999999999</v>
      </c>
      <c r="CC156" s="54">
        <f t="shared" si="76"/>
        <v>30.2575</v>
      </c>
      <c r="CD156" s="54">
        <f t="shared" si="63"/>
        <v>12.967499999999999</v>
      </c>
      <c r="CE156" s="54">
        <f t="shared" si="63"/>
        <v>12.967499999999999</v>
      </c>
      <c r="CF156" s="54">
        <f t="shared" si="63"/>
        <v>12.967499999999999</v>
      </c>
      <c r="CG156" s="54">
        <f t="shared" si="63"/>
        <v>12.967499999999999</v>
      </c>
      <c r="CH156" s="54">
        <f t="shared" si="63"/>
        <v>12.967499999999999</v>
      </c>
      <c r="CI156" s="54">
        <f t="shared" si="63"/>
        <v>12.967499999999999</v>
      </c>
      <c r="CJ156" s="74">
        <f t="shared" si="69"/>
        <v>172.9</v>
      </c>
      <c r="CK156" s="59">
        <f t="shared" si="80"/>
        <v>20</v>
      </c>
      <c r="CL156" s="9">
        <f t="shared" si="81"/>
        <v>0</v>
      </c>
      <c r="CM156" s="71">
        <f t="shared" si="77"/>
        <v>172.9</v>
      </c>
      <c r="CN156" s="72"/>
      <c r="CO156" s="73"/>
    </row>
    <row r="157" spans="1:94" ht="20.25" customHeight="1">
      <c r="A157" s="75" t="s">
        <v>428</v>
      </c>
      <c r="B157" s="1" t="s">
        <v>429</v>
      </c>
      <c r="C157" s="1" t="s">
        <v>430</v>
      </c>
      <c r="D157" s="58">
        <f>+VLOOKUP(A157,'[1]BDD-Avk Tx'!B:CE,82,0)</f>
        <v>282</v>
      </c>
      <c r="E157" s="59">
        <v>172.9</v>
      </c>
      <c r="G157" s="4">
        <v>41732</v>
      </c>
      <c r="H157" s="4">
        <f t="shared" si="72"/>
        <v>45647</v>
      </c>
      <c r="I157" s="60" t="str">
        <f>+VLOOKUP(A157,'[1]BDD-Avk Tx'!B:BZ,77,0)</f>
        <v>CDI</v>
      </c>
      <c r="J157" s="4">
        <f t="shared" si="73"/>
        <v>45647</v>
      </c>
      <c r="N157" s="3"/>
      <c r="P157" s="54">
        <f t="shared" si="78"/>
        <v>11.666666666666666</v>
      </c>
      <c r="Q157" s="61">
        <v>4</v>
      </c>
      <c r="R157" s="62">
        <f t="shared" si="79"/>
        <v>20</v>
      </c>
      <c r="S157" s="54">
        <f t="shared" si="67"/>
        <v>1.5</v>
      </c>
      <c r="T157" s="54">
        <f t="shared" si="67"/>
        <v>1.5</v>
      </c>
      <c r="U157" s="54">
        <f t="shared" si="67"/>
        <v>1.5</v>
      </c>
      <c r="V157" s="54">
        <f t="shared" si="67"/>
        <v>1.5</v>
      </c>
      <c r="W157" s="54">
        <f t="shared" si="67"/>
        <v>3.5</v>
      </c>
      <c r="X157" s="54">
        <f t="shared" si="67"/>
        <v>1.5</v>
      </c>
      <c r="Y157" s="54">
        <f t="shared" si="67"/>
        <v>1.5</v>
      </c>
      <c r="Z157" s="54">
        <f t="shared" si="67"/>
        <v>1.5</v>
      </c>
      <c r="AA157" s="54">
        <f t="shared" si="67"/>
        <v>1.5</v>
      </c>
      <c r="AB157" s="54">
        <f t="shared" si="67"/>
        <v>1.5</v>
      </c>
      <c r="AC157" s="54">
        <f t="shared" si="67"/>
        <v>1.5</v>
      </c>
      <c r="AD157" s="54">
        <f t="shared" si="67"/>
        <v>1.5</v>
      </c>
      <c r="AF157" s="62">
        <f t="shared" si="60"/>
        <v>9</v>
      </c>
      <c r="AG157" s="64">
        <v>0</v>
      </c>
      <c r="AH157" s="64">
        <v>0</v>
      </c>
      <c r="AI157" s="65">
        <v>9</v>
      </c>
      <c r="AJ157" s="66"/>
      <c r="AK157" s="64"/>
      <c r="AL157" s="64"/>
      <c r="AM157" s="64"/>
      <c r="AN157" s="64"/>
      <c r="AO157" s="64"/>
      <c r="AP157" s="64"/>
      <c r="AQ157" s="64"/>
      <c r="AR157" s="64"/>
      <c r="AS157" s="67">
        <f t="shared" si="74"/>
        <v>15</v>
      </c>
      <c r="AT157" s="68"/>
      <c r="AU157" s="69">
        <v>24.526923076923055</v>
      </c>
      <c r="AV157" s="62">
        <f t="shared" si="70"/>
        <v>132.99999999999997</v>
      </c>
      <c r="AW157" s="54">
        <f t="shared" si="65"/>
        <v>9.9750000000000014</v>
      </c>
      <c r="AX157" s="54">
        <f t="shared" si="65"/>
        <v>9.9750000000000014</v>
      </c>
      <c r="AY157" s="54">
        <f t="shared" si="65"/>
        <v>9.9750000000000014</v>
      </c>
      <c r="AZ157" s="54">
        <f t="shared" si="64"/>
        <v>9.9750000000000014</v>
      </c>
      <c r="BA157" s="54">
        <f t="shared" si="64"/>
        <v>23.275000000000002</v>
      </c>
      <c r="BB157" s="54">
        <f t="shared" si="64"/>
        <v>9.9750000000000014</v>
      </c>
      <c r="BC157" s="54">
        <f t="shared" si="64"/>
        <v>9.9750000000000014</v>
      </c>
      <c r="BD157" s="54">
        <f t="shared" si="64"/>
        <v>9.9750000000000014</v>
      </c>
      <c r="BE157" s="54">
        <f t="shared" si="64"/>
        <v>9.9750000000000014</v>
      </c>
      <c r="BF157" s="54">
        <f t="shared" si="71"/>
        <v>9.9750000000000014</v>
      </c>
      <c r="BG157" s="54">
        <f t="shared" si="71"/>
        <v>9.9750000000000014</v>
      </c>
      <c r="BH157" s="54">
        <f t="shared" si="71"/>
        <v>9.9750000000000014</v>
      </c>
      <c r="BI157" s="62">
        <f t="shared" si="68"/>
        <v>-59.85</v>
      </c>
      <c r="BJ157" s="59">
        <f t="shared" si="83"/>
        <v>0</v>
      </c>
      <c r="BK157" s="59">
        <f t="shared" si="83"/>
        <v>0</v>
      </c>
      <c r="BL157" s="59">
        <f t="shared" si="83"/>
        <v>-59.85</v>
      </c>
      <c r="BM157" s="59">
        <f t="shared" si="83"/>
        <v>0</v>
      </c>
      <c r="BN157" s="59">
        <f t="shared" si="83"/>
        <v>0</v>
      </c>
      <c r="BO157" s="59">
        <f t="shared" si="83"/>
        <v>0</v>
      </c>
      <c r="BP157" s="59">
        <f t="shared" si="82"/>
        <v>0</v>
      </c>
      <c r="BQ157" s="59">
        <f t="shared" si="82"/>
        <v>0</v>
      </c>
      <c r="BR157" s="59">
        <f t="shared" si="82"/>
        <v>0</v>
      </c>
      <c r="BS157" s="59">
        <f t="shared" si="82"/>
        <v>0</v>
      </c>
      <c r="BT157" s="59">
        <f t="shared" si="82"/>
        <v>0</v>
      </c>
      <c r="BU157" s="59">
        <f t="shared" si="82"/>
        <v>0</v>
      </c>
      <c r="BV157" s="67">
        <f t="shared" si="75"/>
        <v>97.676923076923032</v>
      </c>
      <c r="BX157" s="54">
        <f t="shared" si="76"/>
        <v>12.967499999999999</v>
      </c>
      <c r="BY157" s="54">
        <f t="shared" si="76"/>
        <v>12.967499999999999</v>
      </c>
      <c r="BZ157" s="54">
        <f t="shared" si="76"/>
        <v>12.967499999999999</v>
      </c>
      <c r="CA157" s="54">
        <f t="shared" si="76"/>
        <v>12.967499999999999</v>
      </c>
      <c r="CB157" s="54">
        <f t="shared" si="76"/>
        <v>30.2575</v>
      </c>
      <c r="CC157" s="54">
        <f t="shared" si="76"/>
        <v>12.967499999999999</v>
      </c>
      <c r="CD157" s="54">
        <f t="shared" si="63"/>
        <v>12.967499999999999</v>
      </c>
      <c r="CE157" s="54">
        <f t="shared" si="63"/>
        <v>12.967499999999999</v>
      </c>
      <c r="CF157" s="54">
        <f t="shared" si="63"/>
        <v>12.967499999999999</v>
      </c>
      <c r="CG157" s="54">
        <f t="shared" si="63"/>
        <v>12.967499999999999</v>
      </c>
      <c r="CH157" s="54">
        <f t="shared" si="63"/>
        <v>12.967499999999999</v>
      </c>
      <c r="CI157" s="54">
        <f t="shared" si="63"/>
        <v>12.967499999999999</v>
      </c>
      <c r="CJ157" s="74">
        <f t="shared" si="69"/>
        <v>172.9</v>
      </c>
      <c r="CK157" s="59">
        <f t="shared" si="80"/>
        <v>20</v>
      </c>
      <c r="CL157" s="9">
        <f t="shared" si="81"/>
        <v>0</v>
      </c>
      <c r="CM157" s="71">
        <f t="shared" si="77"/>
        <v>172.9</v>
      </c>
      <c r="CN157" s="54"/>
      <c r="CO157" s="73"/>
      <c r="CP157" s="56"/>
    </row>
    <row r="158" spans="1:94" ht="20.25" customHeight="1">
      <c r="A158" s="1" t="s">
        <v>431</v>
      </c>
      <c r="B158" s="1" t="s">
        <v>432</v>
      </c>
      <c r="C158" s="1" t="s">
        <v>427</v>
      </c>
      <c r="D158" s="58">
        <f>+VLOOKUP(A158,'[1]BDD-Avk Tx'!B:CE,82,0)</f>
        <v>282</v>
      </c>
      <c r="E158" s="59">
        <v>200.2</v>
      </c>
      <c r="G158" s="4">
        <v>41153</v>
      </c>
      <c r="H158" s="4">
        <f t="shared" si="72"/>
        <v>45647</v>
      </c>
      <c r="I158" s="60" t="str">
        <f>+VLOOKUP(A158,'[1]BDD-Avk Tx'!B:BZ,77,0)</f>
        <v>CDI</v>
      </c>
      <c r="J158" s="4">
        <f t="shared" si="73"/>
        <v>45647</v>
      </c>
      <c r="N158" s="3"/>
      <c r="P158" s="54">
        <f t="shared" si="78"/>
        <v>13.25</v>
      </c>
      <c r="Q158" s="61">
        <v>0</v>
      </c>
      <c r="R158" s="62">
        <f t="shared" si="79"/>
        <v>20</v>
      </c>
      <c r="S158" s="54">
        <f t="shared" si="67"/>
        <v>1.5</v>
      </c>
      <c r="T158" s="54">
        <f t="shared" si="67"/>
        <v>1.5</v>
      </c>
      <c r="U158" s="54">
        <f t="shared" si="67"/>
        <v>1.5</v>
      </c>
      <c r="V158" s="54">
        <f t="shared" si="67"/>
        <v>1.5</v>
      </c>
      <c r="W158" s="54">
        <f t="shared" si="67"/>
        <v>1.5</v>
      </c>
      <c r="X158" s="54">
        <f t="shared" si="67"/>
        <v>1.5</v>
      </c>
      <c r="Y158" s="54">
        <f t="shared" si="67"/>
        <v>1.5</v>
      </c>
      <c r="Z158" s="54">
        <f t="shared" si="67"/>
        <v>1.5</v>
      </c>
      <c r="AA158" s="54">
        <f t="shared" si="67"/>
        <v>1.5</v>
      </c>
      <c r="AB158" s="54">
        <f t="shared" si="67"/>
        <v>3.5</v>
      </c>
      <c r="AC158" s="54">
        <f t="shared" si="67"/>
        <v>1.5</v>
      </c>
      <c r="AD158" s="54">
        <f t="shared" si="67"/>
        <v>1.5</v>
      </c>
      <c r="AF158" s="62">
        <f t="shared" si="60"/>
        <v>0</v>
      </c>
      <c r="AG158" s="64">
        <v>0</v>
      </c>
      <c r="AH158" s="64">
        <v>0</v>
      </c>
      <c r="AI158" s="65">
        <v>0</v>
      </c>
      <c r="AJ158" s="66"/>
      <c r="AK158" s="64"/>
      <c r="AL158" s="64"/>
      <c r="AM158" s="64"/>
      <c r="AN158" s="64"/>
      <c r="AO158" s="64"/>
      <c r="AP158" s="64"/>
      <c r="AQ158" s="64"/>
      <c r="AR158" s="64"/>
      <c r="AS158" s="67">
        <f t="shared" si="74"/>
        <v>20</v>
      </c>
      <c r="AT158" s="68"/>
      <c r="AU158" s="69">
        <v>5.4384615384616382</v>
      </c>
      <c r="AV158" s="62">
        <f t="shared" si="70"/>
        <v>154</v>
      </c>
      <c r="AW158" s="54">
        <f t="shared" si="65"/>
        <v>11.549999999999999</v>
      </c>
      <c r="AX158" s="54">
        <f t="shared" si="65"/>
        <v>11.549999999999999</v>
      </c>
      <c r="AY158" s="54">
        <f t="shared" si="65"/>
        <v>11.549999999999999</v>
      </c>
      <c r="AZ158" s="54">
        <f t="shared" si="64"/>
        <v>11.549999999999999</v>
      </c>
      <c r="BA158" s="54">
        <f t="shared" si="64"/>
        <v>11.549999999999999</v>
      </c>
      <c r="BB158" s="54">
        <f t="shared" si="64"/>
        <v>11.549999999999999</v>
      </c>
      <c r="BC158" s="54">
        <f t="shared" si="64"/>
        <v>11.549999999999999</v>
      </c>
      <c r="BD158" s="54">
        <f t="shared" si="64"/>
        <v>11.549999999999999</v>
      </c>
      <c r="BE158" s="54">
        <f t="shared" si="64"/>
        <v>11.549999999999999</v>
      </c>
      <c r="BF158" s="54">
        <f t="shared" si="71"/>
        <v>26.949999999999996</v>
      </c>
      <c r="BG158" s="54">
        <f t="shared" si="71"/>
        <v>11.549999999999999</v>
      </c>
      <c r="BH158" s="54">
        <f t="shared" si="71"/>
        <v>11.549999999999999</v>
      </c>
      <c r="BI158" s="62">
        <f t="shared" si="68"/>
        <v>0</v>
      </c>
      <c r="BJ158" s="59">
        <f t="shared" si="83"/>
        <v>0</v>
      </c>
      <c r="BK158" s="59">
        <f t="shared" si="83"/>
        <v>0</v>
      </c>
      <c r="BL158" s="59">
        <f t="shared" si="83"/>
        <v>0</v>
      </c>
      <c r="BM158" s="59">
        <f t="shared" si="83"/>
        <v>0</v>
      </c>
      <c r="BN158" s="59">
        <f t="shared" si="83"/>
        <v>0</v>
      </c>
      <c r="BO158" s="59">
        <f t="shared" si="83"/>
        <v>0</v>
      </c>
      <c r="BP158" s="59">
        <f t="shared" si="82"/>
        <v>0</v>
      </c>
      <c r="BQ158" s="59">
        <f t="shared" si="82"/>
        <v>0</v>
      </c>
      <c r="BR158" s="59">
        <f t="shared" si="82"/>
        <v>0</v>
      </c>
      <c r="BS158" s="59">
        <f t="shared" si="82"/>
        <v>0</v>
      </c>
      <c r="BT158" s="59">
        <f t="shared" si="82"/>
        <v>0</v>
      </c>
      <c r="BU158" s="59">
        <f t="shared" si="82"/>
        <v>0</v>
      </c>
      <c r="BV158" s="67">
        <f t="shared" si="75"/>
        <v>159.43846153846164</v>
      </c>
      <c r="BX158" s="54">
        <f t="shared" si="76"/>
        <v>15.015000000000001</v>
      </c>
      <c r="BY158" s="54">
        <f t="shared" si="76"/>
        <v>15.015000000000001</v>
      </c>
      <c r="BZ158" s="54">
        <f t="shared" si="76"/>
        <v>15.015000000000001</v>
      </c>
      <c r="CA158" s="54">
        <f t="shared" si="76"/>
        <v>15.015000000000001</v>
      </c>
      <c r="CB158" s="54">
        <f t="shared" si="76"/>
        <v>15.015000000000001</v>
      </c>
      <c r="CC158" s="54">
        <f t="shared" si="76"/>
        <v>15.015000000000001</v>
      </c>
      <c r="CD158" s="54">
        <f t="shared" si="63"/>
        <v>15.015000000000001</v>
      </c>
      <c r="CE158" s="54">
        <f t="shared" si="63"/>
        <v>15.015000000000001</v>
      </c>
      <c r="CF158" s="54">
        <f t="shared" si="63"/>
        <v>15.015000000000001</v>
      </c>
      <c r="CG158" s="54">
        <f t="shared" si="63"/>
        <v>35.034999999999997</v>
      </c>
      <c r="CH158" s="54">
        <f t="shared" si="63"/>
        <v>15.015000000000001</v>
      </c>
      <c r="CI158" s="54">
        <f t="shared" si="63"/>
        <v>15.015000000000001</v>
      </c>
      <c r="CJ158" s="74">
        <f t="shared" si="69"/>
        <v>200.2</v>
      </c>
      <c r="CK158" s="59">
        <f t="shared" si="80"/>
        <v>20</v>
      </c>
      <c r="CL158" s="9">
        <f t="shared" si="81"/>
        <v>0</v>
      </c>
      <c r="CM158" s="71">
        <f t="shared" si="77"/>
        <v>200.2</v>
      </c>
      <c r="CN158" s="72"/>
      <c r="CO158" s="73"/>
    </row>
    <row r="159" spans="1:94" ht="20.25" customHeight="1">
      <c r="A159" s="75" t="s">
        <v>433</v>
      </c>
      <c r="B159" s="1" t="s">
        <v>434</v>
      </c>
      <c r="C159" s="1" t="s">
        <v>427</v>
      </c>
      <c r="D159" s="58">
        <f>+VLOOKUP(A159,'[1]BDD-Avk Tx'!B:CE,82,0)</f>
        <v>282</v>
      </c>
      <c r="E159" s="59">
        <v>200.2</v>
      </c>
      <c r="G159" s="4">
        <v>41153</v>
      </c>
      <c r="H159" s="4">
        <f t="shared" si="72"/>
        <v>45647</v>
      </c>
      <c r="I159" s="60" t="str">
        <f>+VLOOKUP(A159,'[1]BDD-Avk Tx'!B:BZ,77,0)</f>
        <v>CDI</v>
      </c>
      <c r="J159" s="4">
        <f t="shared" si="73"/>
        <v>45647</v>
      </c>
      <c r="N159" s="3"/>
      <c r="P159" s="54">
        <f t="shared" si="78"/>
        <v>13.25</v>
      </c>
      <c r="Q159" s="61">
        <v>0</v>
      </c>
      <c r="R159" s="62">
        <f t="shared" si="79"/>
        <v>20</v>
      </c>
      <c r="S159" s="54">
        <f t="shared" si="67"/>
        <v>1.5</v>
      </c>
      <c r="T159" s="54">
        <f t="shared" si="67"/>
        <v>1.5</v>
      </c>
      <c r="U159" s="54">
        <f t="shared" si="67"/>
        <v>1.5</v>
      </c>
      <c r="V159" s="54">
        <f t="shared" si="67"/>
        <v>1.5</v>
      </c>
      <c r="W159" s="54">
        <f t="shared" si="67"/>
        <v>1.5</v>
      </c>
      <c r="X159" s="54">
        <f t="shared" si="67"/>
        <v>1.5</v>
      </c>
      <c r="Y159" s="54">
        <f t="shared" si="67"/>
        <v>1.5</v>
      </c>
      <c r="Z159" s="54">
        <f t="shared" si="67"/>
        <v>1.5</v>
      </c>
      <c r="AA159" s="54">
        <f t="shared" si="67"/>
        <v>1.5</v>
      </c>
      <c r="AB159" s="54">
        <f t="shared" si="67"/>
        <v>3.5</v>
      </c>
      <c r="AC159" s="54">
        <f t="shared" si="67"/>
        <v>1.5</v>
      </c>
      <c r="AD159" s="54">
        <f t="shared" si="67"/>
        <v>1.5</v>
      </c>
      <c r="AF159" s="62">
        <f t="shared" si="60"/>
        <v>11</v>
      </c>
      <c r="AG159" s="64">
        <v>0</v>
      </c>
      <c r="AH159" s="64">
        <v>1</v>
      </c>
      <c r="AI159" s="65">
        <v>10</v>
      </c>
      <c r="AJ159" s="66"/>
      <c r="AK159" s="64"/>
      <c r="AL159" s="64"/>
      <c r="AM159" s="64"/>
      <c r="AN159" s="64"/>
      <c r="AO159" s="64"/>
      <c r="AP159" s="64"/>
      <c r="AQ159" s="64"/>
      <c r="AR159" s="64"/>
      <c r="AS159" s="67">
        <f t="shared" si="74"/>
        <v>9</v>
      </c>
      <c r="AT159" s="68"/>
      <c r="AU159" s="69">
        <v>-0.77692307692299778</v>
      </c>
      <c r="AV159" s="62">
        <f t="shared" si="70"/>
        <v>154</v>
      </c>
      <c r="AW159" s="54">
        <f t="shared" si="65"/>
        <v>11.549999999999999</v>
      </c>
      <c r="AX159" s="54">
        <f t="shared" si="65"/>
        <v>11.549999999999999</v>
      </c>
      <c r="AY159" s="54">
        <f t="shared" si="65"/>
        <v>11.549999999999999</v>
      </c>
      <c r="AZ159" s="54">
        <f t="shared" si="64"/>
        <v>11.549999999999999</v>
      </c>
      <c r="BA159" s="54">
        <f t="shared" si="64"/>
        <v>11.549999999999999</v>
      </c>
      <c r="BB159" s="54">
        <f t="shared" si="64"/>
        <v>11.549999999999999</v>
      </c>
      <c r="BC159" s="54">
        <f t="shared" si="64"/>
        <v>11.549999999999999</v>
      </c>
      <c r="BD159" s="54">
        <f t="shared" si="64"/>
        <v>11.549999999999999</v>
      </c>
      <c r="BE159" s="54">
        <f t="shared" si="64"/>
        <v>11.549999999999999</v>
      </c>
      <c r="BF159" s="54">
        <f t="shared" si="71"/>
        <v>26.949999999999996</v>
      </c>
      <c r="BG159" s="54">
        <f t="shared" si="71"/>
        <v>11.549999999999999</v>
      </c>
      <c r="BH159" s="54">
        <f t="shared" si="71"/>
        <v>11.549999999999999</v>
      </c>
      <c r="BI159" s="62">
        <f t="shared" si="68"/>
        <v>-84.7</v>
      </c>
      <c r="BJ159" s="59">
        <f t="shared" si="83"/>
        <v>0</v>
      </c>
      <c r="BK159" s="59">
        <f t="shared" si="83"/>
        <v>-7.6999999999999993</v>
      </c>
      <c r="BL159" s="59">
        <f t="shared" si="83"/>
        <v>-77</v>
      </c>
      <c r="BM159" s="59">
        <f t="shared" si="83"/>
        <v>0</v>
      </c>
      <c r="BN159" s="59">
        <f t="shared" si="83"/>
        <v>0</v>
      </c>
      <c r="BO159" s="59">
        <f t="shared" si="83"/>
        <v>0</v>
      </c>
      <c r="BP159" s="59">
        <f t="shared" si="82"/>
        <v>0</v>
      </c>
      <c r="BQ159" s="59">
        <f t="shared" si="82"/>
        <v>0</v>
      </c>
      <c r="BR159" s="59">
        <f t="shared" si="82"/>
        <v>0</v>
      </c>
      <c r="BS159" s="59">
        <f t="shared" si="82"/>
        <v>0</v>
      </c>
      <c r="BT159" s="59">
        <f t="shared" si="82"/>
        <v>0</v>
      </c>
      <c r="BU159" s="59">
        <f t="shared" si="82"/>
        <v>0</v>
      </c>
      <c r="BV159" s="67">
        <f t="shared" si="75"/>
        <v>68.523076923076999</v>
      </c>
      <c r="BX159" s="54">
        <f t="shared" si="76"/>
        <v>15.015000000000001</v>
      </c>
      <c r="BY159" s="54">
        <f t="shared" si="76"/>
        <v>15.015000000000001</v>
      </c>
      <c r="BZ159" s="54">
        <f t="shared" si="76"/>
        <v>15.015000000000001</v>
      </c>
      <c r="CA159" s="54">
        <f t="shared" si="76"/>
        <v>15.015000000000001</v>
      </c>
      <c r="CB159" s="54">
        <f t="shared" si="76"/>
        <v>15.015000000000001</v>
      </c>
      <c r="CC159" s="54">
        <f t="shared" si="76"/>
        <v>15.015000000000001</v>
      </c>
      <c r="CD159" s="54">
        <f t="shared" si="63"/>
        <v>15.015000000000001</v>
      </c>
      <c r="CE159" s="54">
        <f t="shared" si="63"/>
        <v>15.015000000000001</v>
      </c>
      <c r="CF159" s="54">
        <f t="shared" si="63"/>
        <v>15.015000000000001</v>
      </c>
      <c r="CG159" s="54">
        <f t="shared" si="63"/>
        <v>35.034999999999997</v>
      </c>
      <c r="CH159" s="54">
        <f t="shared" si="63"/>
        <v>15.015000000000001</v>
      </c>
      <c r="CI159" s="54">
        <f t="shared" si="63"/>
        <v>15.015000000000001</v>
      </c>
      <c r="CJ159" s="74">
        <f t="shared" si="69"/>
        <v>200.2</v>
      </c>
      <c r="CK159" s="59">
        <f t="shared" si="80"/>
        <v>20</v>
      </c>
      <c r="CL159" s="9">
        <f t="shared" si="81"/>
        <v>0</v>
      </c>
      <c r="CM159" s="71">
        <f t="shared" si="77"/>
        <v>200.2</v>
      </c>
      <c r="CN159" s="54"/>
      <c r="CO159" s="73"/>
      <c r="CP159" s="56"/>
    </row>
    <row r="160" spans="1:94" ht="20.25" customHeight="1">
      <c r="A160" s="1" t="s">
        <v>435</v>
      </c>
      <c r="B160" s="1" t="s">
        <v>436</v>
      </c>
      <c r="C160" s="1" t="s">
        <v>427</v>
      </c>
      <c r="D160" s="58">
        <f>+VLOOKUP(A160,'[1]BDD-Avk Tx'!B:CE,82,0)</f>
        <v>282</v>
      </c>
      <c r="E160" s="59">
        <v>200.2</v>
      </c>
      <c r="G160" s="4">
        <v>41357</v>
      </c>
      <c r="H160" s="4">
        <f t="shared" si="72"/>
        <v>45647</v>
      </c>
      <c r="I160" s="60" t="str">
        <f>+VLOOKUP(A160,'[1]BDD-Avk Tx'!B:BZ,77,0)</f>
        <v>CDI</v>
      </c>
      <c r="J160" s="4">
        <f t="shared" si="73"/>
        <v>45647</v>
      </c>
      <c r="N160" s="3"/>
      <c r="P160" s="54">
        <f t="shared" si="78"/>
        <v>12.666666666666666</v>
      </c>
      <c r="Q160" s="61">
        <v>1</v>
      </c>
      <c r="R160" s="62">
        <f t="shared" si="79"/>
        <v>20</v>
      </c>
      <c r="S160" s="54">
        <f t="shared" si="67"/>
        <v>1.5</v>
      </c>
      <c r="T160" s="54">
        <f t="shared" si="67"/>
        <v>1.5</v>
      </c>
      <c r="U160" s="54">
        <f t="shared" si="67"/>
        <v>1.5</v>
      </c>
      <c r="V160" s="54">
        <f t="shared" si="67"/>
        <v>3.5</v>
      </c>
      <c r="W160" s="54">
        <f t="shared" si="67"/>
        <v>1.5</v>
      </c>
      <c r="X160" s="54">
        <f t="shared" si="67"/>
        <v>1.5</v>
      </c>
      <c r="Y160" s="54">
        <f t="shared" si="67"/>
        <v>1.5</v>
      </c>
      <c r="Z160" s="54">
        <f t="shared" si="67"/>
        <v>1.5</v>
      </c>
      <c r="AA160" s="54">
        <f t="shared" si="67"/>
        <v>1.5</v>
      </c>
      <c r="AB160" s="54">
        <f t="shared" si="67"/>
        <v>1.5</v>
      </c>
      <c r="AC160" s="54">
        <f t="shared" si="67"/>
        <v>1.5</v>
      </c>
      <c r="AD160" s="54">
        <f t="shared" si="67"/>
        <v>1.5</v>
      </c>
      <c r="AF160" s="62">
        <f t="shared" si="60"/>
        <v>0</v>
      </c>
      <c r="AG160" s="64">
        <v>0</v>
      </c>
      <c r="AH160" s="64">
        <v>0</v>
      </c>
      <c r="AI160" s="65">
        <v>0</v>
      </c>
      <c r="AJ160" s="66"/>
      <c r="AK160" s="64"/>
      <c r="AL160" s="64"/>
      <c r="AM160" s="64"/>
      <c r="AN160" s="64"/>
      <c r="AO160" s="64"/>
      <c r="AP160" s="64"/>
      <c r="AQ160" s="64"/>
      <c r="AR160" s="64"/>
      <c r="AS160" s="67">
        <f t="shared" si="74"/>
        <v>21</v>
      </c>
      <c r="AT160" s="68"/>
      <c r="AU160" s="69">
        <v>6.7846153846154493</v>
      </c>
      <c r="AV160" s="62">
        <f t="shared" si="70"/>
        <v>154</v>
      </c>
      <c r="AW160" s="54">
        <f t="shared" si="65"/>
        <v>11.549999999999999</v>
      </c>
      <c r="AX160" s="54">
        <f t="shared" si="65"/>
        <v>11.549999999999999</v>
      </c>
      <c r="AY160" s="54">
        <f t="shared" si="65"/>
        <v>11.549999999999999</v>
      </c>
      <c r="AZ160" s="54">
        <f t="shared" si="64"/>
        <v>26.949999999999996</v>
      </c>
      <c r="BA160" s="54">
        <f t="shared" si="64"/>
        <v>11.549999999999999</v>
      </c>
      <c r="BB160" s="54">
        <f t="shared" si="64"/>
        <v>11.549999999999999</v>
      </c>
      <c r="BC160" s="54">
        <f t="shared" si="64"/>
        <v>11.549999999999999</v>
      </c>
      <c r="BD160" s="54">
        <f t="shared" si="64"/>
        <v>11.549999999999999</v>
      </c>
      <c r="BE160" s="54">
        <f t="shared" si="64"/>
        <v>11.549999999999999</v>
      </c>
      <c r="BF160" s="54">
        <f t="shared" si="71"/>
        <v>11.549999999999999</v>
      </c>
      <c r="BG160" s="54">
        <f t="shared" si="71"/>
        <v>11.549999999999999</v>
      </c>
      <c r="BH160" s="54">
        <f t="shared" si="71"/>
        <v>11.549999999999999</v>
      </c>
      <c r="BI160" s="62">
        <f t="shared" si="68"/>
        <v>0</v>
      </c>
      <c r="BJ160" s="59">
        <f t="shared" si="83"/>
        <v>0</v>
      </c>
      <c r="BK160" s="59">
        <f t="shared" si="83"/>
        <v>0</v>
      </c>
      <c r="BL160" s="59">
        <f t="shared" si="83"/>
        <v>0</v>
      </c>
      <c r="BM160" s="59">
        <f t="shared" si="83"/>
        <v>0</v>
      </c>
      <c r="BN160" s="59">
        <f t="shared" si="83"/>
        <v>0</v>
      </c>
      <c r="BO160" s="59">
        <f t="shared" si="83"/>
        <v>0</v>
      </c>
      <c r="BP160" s="59">
        <f t="shared" si="82"/>
        <v>0</v>
      </c>
      <c r="BQ160" s="59">
        <f t="shared" si="82"/>
        <v>0</v>
      </c>
      <c r="BR160" s="59">
        <f t="shared" si="82"/>
        <v>0</v>
      </c>
      <c r="BS160" s="59">
        <f t="shared" si="82"/>
        <v>0</v>
      </c>
      <c r="BT160" s="59">
        <f t="shared" si="82"/>
        <v>0</v>
      </c>
      <c r="BU160" s="59">
        <f t="shared" si="82"/>
        <v>0</v>
      </c>
      <c r="BV160" s="67">
        <f t="shared" si="75"/>
        <v>160.78461538461545</v>
      </c>
      <c r="BX160" s="54">
        <f t="shared" si="76"/>
        <v>15.015000000000001</v>
      </c>
      <c r="BY160" s="54">
        <f t="shared" si="76"/>
        <v>15.015000000000001</v>
      </c>
      <c r="BZ160" s="54">
        <f t="shared" si="76"/>
        <v>15.015000000000001</v>
      </c>
      <c r="CA160" s="54">
        <f t="shared" si="76"/>
        <v>35.034999999999997</v>
      </c>
      <c r="CB160" s="54">
        <f t="shared" si="76"/>
        <v>15.015000000000001</v>
      </c>
      <c r="CC160" s="54">
        <f t="shared" si="76"/>
        <v>15.015000000000001</v>
      </c>
      <c r="CD160" s="54">
        <f t="shared" si="63"/>
        <v>15.015000000000001</v>
      </c>
      <c r="CE160" s="54">
        <f t="shared" si="63"/>
        <v>15.015000000000001</v>
      </c>
      <c r="CF160" s="54">
        <f t="shared" si="63"/>
        <v>15.015000000000001</v>
      </c>
      <c r="CG160" s="54">
        <f t="shared" si="63"/>
        <v>15.015000000000001</v>
      </c>
      <c r="CH160" s="54">
        <f t="shared" si="63"/>
        <v>15.015000000000001</v>
      </c>
      <c r="CI160" s="54">
        <f t="shared" si="63"/>
        <v>15.015000000000001</v>
      </c>
      <c r="CJ160" s="74">
        <f t="shared" si="69"/>
        <v>200.19999999999993</v>
      </c>
      <c r="CK160" s="59">
        <f t="shared" si="80"/>
        <v>20</v>
      </c>
      <c r="CL160" s="9">
        <f t="shared" si="81"/>
        <v>0</v>
      </c>
      <c r="CM160" s="71">
        <f t="shared" si="77"/>
        <v>200.2</v>
      </c>
      <c r="CN160" s="72"/>
      <c r="CO160" s="73"/>
    </row>
    <row r="161" spans="1:94" ht="20.25" customHeight="1">
      <c r="A161" s="75" t="s">
        <v>437</v>
      </c>
      <c r="B161" s="1" t="s">
        <v>438</v>
      </c>
      <c r="C161" s="1" t="s">
        <v>224</v>
      </c>
      <c r="D161" s="58">
        <f>+VLOOKUP(A161,'[1]BDD-Avk Tx'!B:CE,82,0)</f>
        <v>281</v>
      </c>
      <c r="E161" s="59">
        <v>172.9</v>
      </c>
      <c r="G161" s="4">
        <v>41153</v>
      </c>
      <c r="H161" s="4">
        <f t="shared" si="72"/>
        <v>45647</v>
      </c>
      <c r="I161" s="60" t="str">
        <f>+VLOOKUP(A161,'[1]BDD-Avk Tx'!B:BZ,77,0)</f>
        <v>CDI</v>
      </c>
      <c r="J161" s="4">
        <f t="shared" si="73"/>
        <v>45647</v>
      </c>
      <c r="N161" s="3"/>
      <c r="P161" s="54">
        <f t="shared" si="78"/>
        <v>13.25</v>
      </c>
      <c r="Q161" s="61">
        <v>1</v>
      </c>
      <c r="R161" s="62">
        <f t="shared" si="79"/>
        <v>20</v>
      </c>
      <c r="S161" s="54">
        <f t="shared" si="67"/>
        <v>1.5</v>
      </c>
      <c r="T161" s="54">
        <f t="shared" si="67"/>
        <v>1.5</v>
      </c>
      <c r="U161" s="54">
        <f t="shared" si="67"/>
        <v>1.5</v>
      </c>
      <c r="V161" s="54">
        <f t="shared" si="67"/>
        <v>1.5</v>
      </c>
      <c r="W161" s="54">
        <f t="shared" si="67"/>
        <v>1.5</v>
      </c>
      <c r="X161" s="54">
        <f t="shared" si="67"/>
        <v>1.5</v>
      </c>
      <c r="Y161" s="54">
        <f t="shared" si="67"/>
        <v>1.5</v>
      </c>
      <c r="Z161" s="54">
        <f t="shared" si="67"/>
        <v>1.5</v>
      </c>
      <c r="AA161" s="54">
        <f t="shared" si="67"/>
        <v>1.5</v>
      </c>
      <c r="AB161" s="54">
        <f t="shared" si="67"/>
        <v>3.5</v>
      </c>
      <c r="AC161" s="54">
        <f t="shared" si="67"/>
        <v>1.5</v>
      </c>
      <c r="AD161" s="54">
        <f t="shared" si="67"/>
        <v>1.5</v>
      </c>
      <c r="AF161" s="62">
        <f t="shared" si="60"/>
        <v>4</v>
      </c>
      <c r="AG161" s="64">
        <v>0</v>
      </c>
      <c r="AH161" s="64">
        <v>0</v>
      </c>
      <c r="AI161" s="65">
        <v>4</v>
      </c>
      <c r="AJ161" s="66"/>
      <c r="AK161" s="64"/>
      <c r="AL161" s="64"/>
      <c r="AM161" s="64"/>
      <c r="AN161" s="64"/>
      <c r="AO161" s="64"/>
      <c r="AP161" s="64"/>
      <c r="AQ161" s="64"/>
      <c r="AR161" s="64"/>
      <c r="AS161" s="67">
        <f t="shared" si="74"/>
        <v>17</v>
      </c>
      <c r="AT161" s="68"/>
      <c r="AU161" s="69">
        <v>10.675000000000011</v>
      </c>
      <c r="AV161" s="62">
        <f t="shared" si="70"/>
        <v>133</v>
      </c>
      <c r="AW161" s="54">
        <f t="shared" si="65"/>
        <v>9.9750000000000014</v>
      </c>
      <c r="AX161" s="54">
        <f t="shared" si="65"/>
        <v>9.9750000000000014</v>
      </c>
      <c r="AY161" s="54">
        <f t="shared" si="65"/>
        <v>9.9750000000000014</v>
      </c>
      <c r="AZ161" s="54">
        <f t="shared" si="64"/>
        <v>9.9750000000000014</v>
      </c>
      <c r="BA161" s="54">
        <f t="shared" si="64"/>
        <v>9.9750000000000014</v>
      </c>
      <c r="BB161" s="54">
        <f t="shared" si="64"/>
        <v>9.9750000000000014</v>
      </c>
      <c r="BC161" s="54">
        <f t="shared" si="64"/>
        <v>9.9750000000000014</v>
      </c>
      <c r="BD161" s="54">
        <f t="shared" si="64"/>
        <v>9.9750000000000014</v>
      </c>
      <c r="BE161" s="54">
        <f t="shared" si="64"/>
        <v>9.9750000000000014</v>
      </c>
      <c r="BF161" s="54">
        <f t="shared" si="71"/>
        <v>23.275000000000002</v>
      </c>
      <c r="BG161" s="54">
        <f t="shared" si="71"/>
        <v>9.9750000000000014</v>
      </c>
      <c r="BH161" s="54">
        <f t="shared" si="71"/>
        <v>9.9750000000000014</v>
      </c>
      <c r="BI161" s="62">
        <f t="shared" si="68"/>
        <v>-26.6</v>
      </c>
      <c r="BJ161" s="59">
        <f t="shared" si="83"/>
        <v>0</v>
      </c>
      <c r="BK161" s="59">
        <f t="shared" si="83"/>
        <v>0</v>
      </c>
      <c r="BL161" s="59">
        <f t="shared" si="83"/>
        <v>-26.6</v>
      </c>
      <c r="BM161" s="59">
        <f t="shared" si="83"/>
        <v>0</v>
      </c>
      <c r="BN161" s="59">
        <f t="shared" si="83"/>
        <v>0</v>
      </c>
      <c r="BO161" s="59">
        <f t="shared" si="83"/>
        <v>0</v>
      </c>
      <c r="BP161" s="59">
        <f t="shared" si="82"/>
        <v>0</v>
      </c>
      <c r="BQ161" s="59">
        <f t="shared" si="82"/>
        <v>0</v>
      </c>
      <c r="BR161" s="59">
        <f t="shared" si="82"/>
        <v>0</v>
      </c>
      <c r="BS161" s="59">
        <f t="shared" si="82"/>
        <v>0</v>
      </c>
      <c r="BT161" s="59">
        <f t="shared" si="82"/>
        <v>0</v>
      </c>
      <c r="BU161" s="59">
        <f t="shared" si="82"/>
        <v>0</v>
      </c>
      <c r="BV161" s="67">
        <f t="shared" si="75"/>
        <v>117.07500000000002</v>
      </c>
      <c r="BX161" s="54">
        <f t="shared" si="76"/>
        <v>12.967499999999999</v>
      </c>
      <c r="BY161" s="54">
        <f t="shared" si="76"/>
        <v>12.967499999999999</v>
      </c>
      <c r="BZ161" s="54">
        <f t="shared" si="76"/>
        <v>12.967499999999999</v>
      </c>
      <c r="CA161" s="54">
        <f t="shared" si="76"/>
        <v>12.967499999999999</v>
      </c>
      <c r="CB161" s="54">
        <f t="shared" si="76"/>
        <v>12.967499999999999</v>
      </c>
      <c r="CC161" s="54">
        <f t="shared" si="76"/>
        <v>12.967499999999999</v>
      </c>
      <c r="CD161" s="54">
        <f t="shared" si="63"/>
        <v>12.967499999999999</v>
      </c>
      <c r="CE161" s="54">
        <f t="shared" si="63"/>
        <v>12.967499999999999</v>
      </c>
      <c r="CF161" s="54">
        <f t="shared" si="63"/>
        <v>12.967499999999999</v>
      </c>
      <c r="CG161" s="54">
        <f t="shared" si="63"/>
        <v>30.2575</v>
      </c>
      <c r="CH161" s="54">
        <f t="shared" si="63"/>
        <v>12.967499999999999</v>
      </c>
      <c r="CI161" s="54">
        <f t="shared" si="63"/>
        <v>12.967499999999999</v>
      </c>
      <c r="CJ161" s="74">
        <f t="shared" si="69"/>
        <v>172.9</v>
      </c>
      <c r="CK161" s="59">
        <f t="shared" si="80"/>
        <v>20</v>
      </c>
      <c r="CL161" s="9">
        <f t="shared" si="81"/>
        <v>0</v>
      </c>
      <c r="CM161" s="71">
        <f t="shared" si="77"/>
        <v>172.9</v>
      </c>
      <c r="CN161" s="54"/>
      <c r="CO161" s="73"/>
      <c r="CP161" s="56"/>
    </row>
    <row r="162" spans="1:94" ht="20.25" customHeight="1">
      <c r="A162" s="1" t="s">
        <v>439</v>
      </c>
      <c r="B162" s="1" t="s">
        <v>440</v>
      </c>
      <c r="C162" s="1" t="s">
        <v>441</v>
      </c>
      <c r="D162" s="58">
        <f>+VLOOKUP(A162,'[1]BDD-Avk Tx'!B:CE,82,0)</f>
        <v>282</v>
      </c>
      <c r="E162" s="59">
        <v>231.4</v>
      </c>
      <c r="G162" s="4">
        <v>41619</v>
      </c>
      <c r="H162" s="4">
        <f t="shared" si="72"/>
        <v>45647</v>
      </c>
      <c r="I162" s="60" t="str">
        <f>+VLOOKUP(A162,'[1]BDD-Avk Tx'!B:BZ,77,0)</f>
        <v>CDI</v>
      </c>
      <c r="J162" s="4">
        <f t="shared" si="73"/>
        <v>45647</v>
      </c>
      <c r="N162" s="3"/>
      <c r="P162" s="54">
        <f t="shared" si="78"/>
        <v>12</v>
      </c>
      <c r="Q162" s="61">
        <v>0</v>
      </c>
      <c r="R162" s="62">
        <f t="shared" si="79"/>
        <v>20</v>
      </c>
      <c r="S162" s="54">
        <f t="shared" si="67"/>
        <v>3.5</v>
      </c>
      <c r="T162" s="54">
        <f t="shared" si="67"/>
        <v>1.5</v>
      </c>
      <c r="U162" s="54">
        <f t="shared" si="67"/>
        <v>1.5</v>
      </c>
      <c r="V162" s="54">
        <f t="shared" si="67"/>
        <v>1.5</v>
      </c>
      <c r="W162" s="54">
        <f t="shared" si="67"/>
        <v>1.5</v>
      </c>
      <c r="X162" s="54">
        <f t="shared" si="67"/>
        <v>1.5</v>
      </c>
      <c r="Y162" s="54">
        <f t="shared" si="67"/>
        <v>1.5</v>
      </c>
      <c r="Z162" s="54">
        <f t="shared" si="67"/>
        <v>1.5</v>
      </c>
      <c r="AA162" s="54">
        <f t="shared" si="67"/>
        <v>1.5</v>
      </c>
      <c r="AB162" s="54">
        <f t="shared" si="67"/>
        <v>1.5</v>
      </c>
      <c r="AC162" s="54">
        <f t="shared" si="67"/>
        <v>1.5</v>
      </c>
      <c r="AD162" s="54">
        <f t="shared" si="67"/>
        <v>1.5</v>
      </c>
      <c r="AF162" s="62">
        <f t="shared" si="60"/>
        <v>18</v>
      </c>
      <c r="AG162" s="64">
        <v>0</v>
      </c>
      <c r="AH162" s="64">
        <v>13</v>
      </c>
      <c r="AI162" s="65">
        <v>5</v>
      </c>
      <c r="AJ162" s="66"/>
      <c r="AK162" s="64"/>
      <c r="AL162" s="64"/>
      <c r="AM162" s="64"/>
      <c r="AN162" s="64"/>
      <c r="AO162" s="64"/>
      <c r="AP162" s="64"/>
      <c r="AQ162" s="64"/>
      <c r="AR162" s="64"/>
      <c r="AS162" s="67">
        <f t="shared" si="74"/>
        <v>2</v>
      </c>
      <c r="AT162" s="68"/>
      <c r="AU162" s="69">
        <v>-6.6000000000000512</v>
      </c>
      <c r="AV162" s="62">
        <f t="shared" si="70"/>
        <v>177.99999999999997</v>
      </c>
      <c r="AW162" s="54">
        <f t="shared" si="65"/>
        <v>31.150000000000002</v>
      </c>
      <c r="AX162" s="54">
        <f t="shared" si="65"/>
        <v>13.350000000000001</v>
      </c>
      <c r="AY162" s="54">
        <f t="shared" si="65"/>
        <v>13.350000000000001</v>
      </c>
      <c r="AZ162" s="54">
        <f t="shared" si="64"/>
        <v>13.350000000000001</v>
      </c>
      <c r="BA162" s="54">
        <f t="shared" si="64"/>
        <v>13.350000000000001</v>
      </c>
      <c r="BB162" s="54">
        <f t="shared" si="64"/>
        <v>13.350000000000001</v>
      </c>
      <c r="BC162" s="54">
        <f t="shared" si="64"/>
        <v>13.350000000000001</v>
      </c>
      <c r="BD162" s="54">
        <f t="shared" si="64"/>
        <v>13.350000000000001</v>
      </c>
      <c r="BE162" s="54">
        <f t="shared" si="64"/>
        <v>13.350000000000001</v>
      </c>
      <c r="BF162" s="54">
        <f t="shared" si="71"/>
        <v>13.350000000000001</v>
      </c>
      <c r="BG162" s="54">
        <f t="shared" si="71"/>
        <v>13.350000000000001</v>
      </c>
      <c r="BH162" s="54">
        <f t="shared" si="71"/>
        <v>13.350000000000001</v>
      </c>
      <c r="BI162" s="62">
        <f t="shared" si="68"/>
        <v>-160.19999999999999</v>
      </c>
      <c r="BJ162" s="59">
        <f t="shared" si="83"/>
        <v>0</v>
      </c>
      <c r="BK162" s="59">
        <f t="shared" si="83"/>
        <v>-115.7</v>
      </c>
      <c r="BL162" s="59">
        <f t="shared" si="83"/>
        <v>-44.5</v>
      </c>
      <c r="BM162" s="59">
        <f t="shared" si="83"/>
        <v>0</v>
      </c>
      <c r="BN162" s="59">
        <f t="shared" si="83"/>
        <v>0</v>
      </c>
      <c r="BO162" s="59">
        <f t="shared" si="83"/>
        <v>0</v>
      </c>
      <c r="BP162" s="59">
        <f t="shared" si="82"/>
        <v>0</v>
      </c>
      <c r="BQ162" s="59">
        <f t="shared" si="82"/>
        <v>0</v>
      </c>
      <c r="BR162" s="59">
        <f t="shared" si="82"/>
        <v>0</v>
      </c>
      <c r="BS162" s="59">
        <f t="shared" si="82"/>
        <v>0</v>
      </c>
      <c r="BT162" s="59">
        <f t="shared" si="82"/>
        <v>0</v>
      </c>
      <c r="BU162" s="59">
        <f t="shared" si="82"/>
        <v>0</v>
      </c>
      <c r="BV162" s="67">
        <f t="shared" si="75"/>
        <v>11.199999999999932</v>
      </c>
      <c r="BX162" s="54">
        <f t="shared" si="76"/>
        <v>40.495000000000005</v>
      </c>
      <c r="BY162" s="54">
        <f t="shared" si="76"/>
        <v>17.355</v>
      </c>
      <c r="BZ162" s="54">
        <f t="shared" si="76"/>
        <v>17.355</v>
      </c>
      <c r="CA162" s="54">
        <f t="shared" si="76"/>
        <v>17.355</v>
      </c>
      <c r="CB162" s="54">
        <f t="shared" si="76"/>
        <v>17.355</v>
      </c>
      <c r="CC162" s="54">
        <f t="shared" si="76"/>
        <v>17.355</v>
      </c>
      <c r="CD162" s="54">
        <f t="shared" si="63"/>
        <v>17.355</v>
      </c>
      <c r="CE162" s="54">
        <f t="shared" si="63"/>
        <v>17.355</v>
      </c>
      <c r="CF162" s="54">
        <f t="shared" si="63"/>
        <v>17.355</v>
      </c>
      <c r="CG162" s="54">
        <f t="shared" si="63"/>
        <v>17.355</v>
      </c>
      <c r="CH162" s="54">
        <f t="shared" si="63"/>
        <v>17.355</v>
      </c>
      <c r="CI162" s="54">
        <f t="shared" si="63"/>
        <v>17.355</v>
      </c>
      <c r="CJ162" s="74">
        <f t="shared" si="69"/>
        <v>231.39999999999998</v>
      </c>
      <c r="CK162" s="59">
        <f t="shared" si="80"/>
        <v>20</v>
      </c>
      <c r="CL162" s="9">
        <f t="shared" si="81"/>
        <v>0</v>
      </c>
      <c r="CM162" s="71">
        <f t="shared" si="77"/>
        <v>231.4</v>
      </c>
      <c r="CN162" s="72"/>
      <c r="CO162" s="73"/>
    </row>
    <row r="163" spans="1:94" ht="20.25" customHeight="1">
      <c r="A163" s="75" t="s">
        <v>442</v>
      </c>
      <c r="B163" s="1" t="s">
        <v>443</v>
      </c>
      <c r="C163" s="1" t="s">
        <v>441</v>
      </c>
      <c r="D163" s="58">
        <f>+VLOOKUP(A163,'[1]BDD-Avk Tx'!B:CE,82,0)</f>
        <v>282</v>
      </c>
      <c r="E163" s="59">
        <v>231.4</v>
      </c>
      <c r="G163" s="4">
        <v>41626</v>
      </c>
      <c r="H163" s="4">
        <f t="shared" si="72"/>
        <v>45647</v>
      </c>
      <c r="I163" s="60" t="str">
        <f>+VLOOKUP(A163,'[1]BDD-Avk Tx'!B:BZ,77,0)</f>
        <v>CDI</v>
      </c>
      <c r="J163" s="4">
        <f t="shared" si="73"/>
        <v>45647</v>
      </c>
      <c r="N163" s="3"/>
      <c r="P163" s="54">
        <f t="shared" si="78"/>
        <v>12</v>
      </c>
      <c r="Q163" s="61">
        <v>0</v>
      </c>
      <c r="R163" s="62">
        <f t="shared" si="79"/>
        <v>20</v>
      </c>
      <c r="S163" s="54">
        <f t="shared" si="67"/>
        <v>3.5</v>
      </c>
      <c r="T163" s="54">
        <f t="shared" si="67"/>
        <v>1.5</v>
      </c>
      <c r="U163" s="54">
        <f t="shared" si="67"/>
        <v>1.5</v>
      </c>
      <c r="V163" s="54">
        <f t="shared" si="67"/>
        <v>1.5</v>
      </c>
      <c r="W163" s="54">
        <f t="shared" si="67"/>
        <v>1.5</v>
      </c>
      <c r="X163" s="54">
        <f t="shared" si="67"/>
        <v>1.5</v>
      </c>
      <c r="Y163" s="54">
        <f t="shared" si="67"/>
        <v>1.5</v>
      </c>
      <c r="Z163" s="54">
        <f t="shared" si="67"/>
        <v>1.5</v>
      </c>
      <c r="AA163" s="54">
        <f t="shared" si="67"/>
        <v>1.5</v>
      </c>
      <c r="AB163" s="54">
        <f t="shared" si="67"/>
        <v>1.5</v>
      </c>
      <c r="AC163" s="54">
        <f t="shared" si="67"/>
        <v>1.5</v>
      </c>
      <c r="AD163" s="54">
        <f t="shared" si="67"/>
        <v>1.5</v>
      </c>
      <c r="AF163" s="62">
        <f t="shared" ref="AF163:AF226" si="84">SUM(AG163:AR163)</f>
        <v>0</v>
      </c>
      <c r="AG163" s="64">
        <v>0</v>
      </c>
      <c r="AH163" s="64">
        <v>0</v>
      </c>
      <c r="AI163" s="65">
        <v>0</v>
      </c>
      <c r="AJ163" s="66"/>
      <c r="AK163" s="64"/>
      <c r="AL163" s="64"/>
      <c r="AM163" s="64"/>
      <c r="AN163" s="64"/>
      <c r="AO163" s="64"/>
      <c r="AP163" s="64"/>
      <c r="AQ163" s="64"/>
      <c r="AR163" s="64"/>
      <c r="AS163" s="67">
        <f t="shared" si="74"/>
        <v>20</v>
      </c>
      <c r="AT163" s="68"/>
      <c r="AU163" s="69">
        <v>-4.0769230769231513</v>
      </c>
      <c r="AV163" s="62">
        <f t="shared" si="70"/>
        <v>177.99999999999997</v>
      </c>
      <c r="AW163" s="54">
        <f t="shared" si="65"/>
        <v>31.150000000000002</v>
      </c>
      <c r="AX163" s="54">
        <f t="shared" si="65"/>
        <v>13.350000000000001</v>
      </c>
      <c r="AY163" s="54">
        <f t="shared" si="65"/>
        <v>13.350000000000001</v>
      </c>
      <c r="AZ163" s="54">
        <f t="shared" si="64"/>
        <v>13.350000000000001</v>
      </c>
      <c r="BA163" s="54">
        <f t="shared" si="64"/>
        <v>13.350000000000001</v>
      </c>
      <c r="BB163" s="54">
        <f t="shared" si="64"/>
        <v>13.350000000000001</v>
      </c>
      <c r="BC163" s="54">
        <f t="shared" si="64"/>
        <v>13.350000000000001</v>
      </c>
      <c r="BD163" s="54">
        <f t="shared" si="64"/>
        <v>13.350000000000001</v>
      </c>
      <c r="BE163" s="54">
        <f t="shared" si="64"/>
        <v>13.350000000000001</v>
      </c>
      <c r="BF163" s="54">
        <f t="shared" si="71"/>
        <v>13.350000000000001</v>
      </c>
      <c r="BG163" s="54">
        <f t="shared" si="71"/>
        <v>13.350000000000001</v>
      </c>
      <c r="BH163" s="54">
        <f t="shared" si="71"/>
        <v>13.350000000000001</v>
      </c>
      <c r="BI163" s="62">
        <f t="shared" si="68"/>
        <v>0</v>
      </c>
      <c r="BJ163" s="59">
        <f t="shared" si="83"/>
        <v>0</v>
      </c>
      <c r="BK163" s="59">
        <f t="shared" si="83"/>
        <v>0</v>
      </c>
      <c r="BL163" s="59">
        <f t="shared" si="83"/>
        <v>0</v>
      </c>
      <c r="BM163" s="59">
        <f t="shared" si="83"/>
        <v>0</v>
      </c>
      <c r="BN163" s="59">
        <f t="shared" si="83"/>
        <v>0</v>
      </c>
      <c r="BO163" s="59">
        <f t="shared" si="83"/>
        <v>0</v>
      </c>
      <c r="BP163" s="59">
        <f t="shared" si="82"/>
        <v>0</v>
      </c>
      <c r="BQ163" s="59">
        <f t="shared" si="82"/>
        <v>0</v>
      </c>
      <c r="BR163" s="59">
        <f t="shared" si="82"/>
        <v>0</v>
      </c>
      <c r="BS163" s="59">
        <f t="shared" si="82"/>
        <v>0</v>
      </c>
      <c r="BT163" s="59">
        <f t="shared" si="82"/>
        <v>0</v>
      </c>
      <c r="BU163" s="59">
        <f t="shared" si="82"/>
        <v>0</v>
      </c>
      <c r="BV163" s="67">
        <f t="shared" si="75"/>
        <v>173.92307692307682</v>
      </c>
      <c r="BX163" s="54">
        <f t="shared" si="76"/>
        <v>40.495000000000005</v>
      </c>
      <c r="BY163" s="54">
        <f t="shared" si="76"/>
        <v>17.355</v>
      </c>
      <c r="BZ163" s="54">
        <f t="shared" si="76"/>
        <v>17.355</v>
      </c>
      <c r="CA163" s="54">
        <f t="shared" si="76"/>
        <v>17.355</v>
      </c>
      <c r="CB163" s="54">
        <f t="shared" si="76"/>
        <v>17.355</v>
      </c>
      <c r="CC163" s="54">
        <f t="shared" si="76"/>
        <v>17.355</v>
      </c>
      <c r="CD163" s="54">
        <f t="shared" si="63"/>
        <v>17.355</v>
      </c>
      <c r="CE163" s="54">
        <f t="shared" si="63"/>
        <v>17.355</v>
      </c>
      <c r="CF163" s="54">
        <f t="shared" si="63"/>
        <v>17.355</v>
      </c>
      <c r="CG163" s="54">
        <f t="shared" si="63"/>
        <v>17.355</v>
      </c>
      <c r="CH163" s="54">
        <f t="shared" si="63"/>
        <v>17.355</v>
      </c>
      <c r="CI163" s="54">
        <f t="shared" si="63"/>
        <v>17.355</v>
      </c>
      <c r="CJ163" s="74">
        <f t="shared" si="69"/>
        <v>231.39999999999998</v>
      </c>
      <c r="CK163" s="59">
        <f t="shared" si="80"/>
        <v>20</v>
      </c>
      <c r="CL163" s="9">
        <f t="shared" si="81"/>
        <v>0</v>
      </c>
      <c r="CM163" s="71">
        <f t="shared" si="77"/>
        <v>231.4</v>
      </c>
      <c r="CN163" s="54"/>
      <c r="CO163" s="73"/>
      <c r="CP163" s="56"/>
    </row>
    <row r="164" spans="1:94" ht="20.25" customHeight="1">
      <c r="A164" s="1" t="s">
        <v>444</v>
      </c>
      <c r="B164" s="1" t="s">
        <v>445</v>
      </c>
      <c r="C164" s="1" t="s">
        <v>427</v>
      </c>
      <c r="D164" s="58">
        <f>+VLOOKUP(A164,'[1]BDD-Avk Tx'!B:CE,82,0)</f>
        <v>282</v>
      </c>
      <c r="E164" s="59">
        <v>172.9</v>
      </c>
      <c r="G164" s="4">
        <v>41877</v>
      </c>
      <c r="H164" s="4">
        <f t="shared" si="72"/>
        <v>45647</v>
      </c>
      <c r="I164" s="60" t="str">
        <f>+VLOOKUP(A164,'[1]BDD-Avk Tx'!B:BZ,77,0)</f>
        <v>CDI</v>
      </c>
      <c r="J164" s="4">
        <f t="shared" si="73"/>
        <v>45647</v>
      </c>
      <c r="N164" s="3"/>
      <c r="P164" s="54">
        <f t="shared" si="78"/>
        <v>11.25</v>
      </c>
      <c r="Q164" s="61">
        <v>1</v>
      </c>
      <c r="R164" s="62">
        <f t="shared" si="79"/>
        <v>20</v>
      </c>
      <c r="S164" s="54">
        <f t="shared" si="67"/>
        <v>1.5</v>
      </c>
      <c r="T164" s="54">
        <f t="shared" si="67"/>
        <v>1.5</v>
      </c>
      <c r="U164" s="54">
        <f t="shared" si="67"/>
        <v>1.5</v>
      </c>
      <c r="V164" s="54">
        <f t="shared" si="67"/>
        <v>1.5</v>
      </c>
      <c r="W164" s="54">
        <f t="shared" si="67"/>
        <v>1.5</v>
      </c>
      <c r="X164" s="54">
        <f t="shared" si="67"/>
        <v>1.5</v>
      </c>
      <c r="Y164" s="54">
        <f t="shared" si="67"/>
        <v>1.5</v>
      </c>
      <c r="Z164" s="54">
        <f t="shared" si="67"/>
        <v>1.5</v>
      </c>
      <c r="AA164" s="54">
        <f t="shared" si="67"/>
        <v>3.5</v>
      </c>
      <c r="AB164" s="54">
        <f t="shared" si="67"/>
        <v>1.5</v>
      </c>
      <c r="AC164" s="54">
        <f t="shared" si="67"/>
        <v>1.5</v>
      </c>
      <c r="AD164" s="54">
        <f t="shared" si="67"/>
        <v>1.5</v>
      </c>
      <c r="AF164" s="62">
        <f t="shared" si="84"/>
        <v>0</v>
      </c>
      <c r="AG164" s="64">
        <v>0</v>
      </c>
      <c r="AH164" s="64">
        <v>0</v>
      </c>
      <c r="AI164" s="65">
        <v>0</v>
      </c>
      <c r="AJ164" s="66"/>
      <c r="AK164" s="64"/>
      <c r="AL164" s="64"/>
      <c r="AM164" s="64"/>
      <c r="AN164" s="64"/>
      <c r="AO164" s="64"/>
      <c r="AP164" s="64"/>
      <c r="AQ164" s="64"/>
      <c r="AR164" s="64"/>
      <c r="AS164" s="67">
        <f t="shared" si="74"/>
        <v>21</v>
      </c>
      <c r="AT164" s="68"/>
      <c r="AU164" s="69">
        <v>4.7923076923076593</v>
      </c>
      <c r="AV164" s="62">
        <f t="shared" si="70"/>
        <v>133</v>
      </c>
      <c r="AW164" s="54">
        <f t="shared" si="65"/>
        <v>9.9750000000000014</v>
      </c>
      <c r="AX164" s="54">
        <f t="shared" si="65"/>
        <v>9.9750000000000014</v>
      </c>
      <c r="AY164" s="54">
        <f t="shared" si="65"/>
        <v>9.9750000000000014</v>
      </c>
      <c r="AZ164" s="54">
        <f t="shared" si="64"/>
        <v>9.9750000000000014</v>
      </c>
      <c r="BA164" s="54">
        <f t="shared" si="64"/>
        <v>9.9750000000000014</v>
      </c>
      <c r="BB164" s="54">
        <f t="shared" si="64"/>
        <v>9.9750000000000014</v>
      </c>
      <c r="BC164" s="54">
        <f t="shared" si="64"/>
        <v>9.9750000000000014</v>
      </c>
      <c r="BD164" s="54">
        <f t="shared" si="64"/>
        <v>9.9750000000000014</v>
      </c>
      <c r="BE164" s="54">
        <f t="shared" si="64"/>
        <v>23.275000000000002</v>
      </c>
      <c r="BF164" s="54">
        <f t="shared" si="71"/>
        <v>9.9750000000000014</v>
      </c>
      <c r="BG164" s="54">
        <f t="shared" si="71"/>
        <v>9.9750000000000014</v>
      </c>
      <c r="BH164" s="54">
        <f t="shared" si="71"/>
        <v>9.9750000000000014</v>
      </c>
      <c r="BI164" s="62">
        <f t="shared" si="68"/>
        <v>0</v>
      </c>
      <c r="BJ164" s="59">
        <f t="shared" si="83"/>
        <v>0</v>
      </c>
      <c r="BK164" s="59">
        <f t="shared" si="83"/>
        <v>0</v>
      </c>
      <c r="BL164" s="59">
        <f t="shared" si="83"/>
        <v>0</v>
      </c>
      <c r="BM164" s="59">
        <f t="shared" si="83"/>
        <v>0</v>
      </c>
      <c r="BN164" s="59">
        <f t="shared" si="83"/>
        <v>0</v>
      </c>
      <c r="BO164" s="59">
        <f t="shared" si="83"/>
        <v>0</v>
      </c>
      <c r="BP164" s="59">
        <f t="shared" si="82"/>
        <v>0</v>
      </c>
      <c r="BQ164" s="59">
        <f t="shared" si="82"/>
        <v>0</v>
      </c>
      <c r="BR164" s="59">
        <f t="shared" si="82"/>
        <v>0</v>
      </c>
      <c r="BS164" s="59">
        <f t="shared" si="82"/>
        <v>0</v>
      </c>
      <c r="BT164" s="59">
        <f t="shared" si="82"/>
        <v>0</v>
      </c>
      <c r="BU164" s="59">
        <f t="shared" si="82"/>
        <v>0</v>
      </c>
      <c r="BV164" s="67">
        <f t="shared" si="75"/>
        <v>137.79230769230765</v>
      </c>
      <c r="BX164" s="54">
        <f t="shared" si="76"/>
        <v>12.967499999999999</v>
      </c>
      <c r="BY164" s="54">
        <f t="shared" si="76"/>
        <v>12.967499999999999</v>
      </c>
      <c r="BZ164" s="54">
        <f t="shared" si="76"/>
        <v>12.967499999999999</v>
      </c>
      <c r="CA164" s="54">
        <f t="shared" si="76"/>
        <v>12.967499999999999</v>
      </c>
      <c r="CB164" s="54">
        <f t="shared" si="76"/>
        <v>12.967499999999999</v>
      </c>
      <c r="CC164" s="54">
        <f t="shared" si="76"/>
        <v>12.967499999999999</v>
      </c>
      <c r="CD164" s="54">
        <f t="shared" si="63"/>
        <v>12.967499999999999</v>
      </c>
      <c r="CE164" s="54">
        <f t="shared" si="63"/>
        <v>12.967499999999999</v>
      </c>
      <c r="CF164" s="54">
        <f t="shared" si="63"/>
        <v>30.2575</v>
      </c>
      <c r="CG164" s="54">
        <f t="shared" si="63"/>
        <v>12.967499999999999</v>
      </c>
      <c r="CH164" s="54">
        <f t="shared" si="63"/>
        <v>12.967499999999999</v>
      </c>
      <c r="CI164" s="54">
        <f t="shared" si="63"/>
        <v>12.967499999999999</v>
      </c>
      <c r="CJ164" s="74">
        <f t="shared" si="69"/>
        <v>172.9</v>
      </c>
      <c r="CK164" s="59">
        <f t="shared" si="80"/>
        <v>20</v>
      </c>
      <c r="CL164" s="9">
        <f t="shared" si="81"/>
        <v>0</v>
      </c>
      <c r="CM164" s="71">
        <f t="shared" si="77"/>
        <v>172.9</v>
      </c>
      <c r="CN164" s="72"/>
      <c r="CO164" s="73"/>
    </row>
    <row r="165" spans="1:94" ht="20.25" customHeight="1">
      <c r="A165" s="75" t="s">
        <v>446</v>
      </c>
      <c r="B165" s="1" t="s">
        <v>447</v>
      </c>
      <c r="C165" s="1" t="s">
        <v>448</v>
      </c>
      <c r="D165" s="58">
        <f>+VLOOKUP(A165,'[1]BDD-Avk Tx'!B:CE,82,0)</f>
        <v>282</v>
      </c>
      <c r="E165" s="59">
        <v>200.2</v>
      </c>
      <c r="G165" s="4">
        <v>41939</v>
      </c>
      <c r="H165" s="4">
        <f t="shared" si="72"/>
        <v>45647</v>
      </c>
      <c r="I165" s="60" t="str">
        <f>+VLOOKUP(A165,'[1]BDD-Avk Tx'!B:BZ,77,0)</f>
        <v>CDI</v>
      </c>
      <c r="J165" s="4">
        <f t="shared" si="73"/>
        <v>45647</v>
      </c>
      <c r="N165" s="3"/>
      <c r="P165" s="54">
        <f t="shared" si="78"/>
        <v>11.083333333333334</v>
      </c>
      <c r="Q165" s="61">
        <v>7</v>
      </c>
      <c r="R165" s="62">
        <f t="shared" si="79"/>
        <v>20</v>
      </c>
      <c r="S165" s="54">
        <f t="shared" si="67"/>
        <v>1.5</v>
      </c>
      <c r="T165" s="54">
        <f t="shared" si="67"/>
        <v>1.5</v>
      </c>
      <c r="U165" s="54">
        <f t="shared" si="67"/>
        <v>1.5</v>
      </c>
      <c r="V165" s="54">
        <f t="shared" si="67"/>
        <v>1.5</v>
      </c>
      <c r="W165" s="54">
        <f t="shared" si="67"/>
        <v>1.5</v>
      </c>
      <c r="X165" s="54">
        <f t="shared" si="67"/>
        <v>1.5</v>
      </c>
      <c r="Y165" s="54">
        <f t="shared" si="67"/>
        <v>1.5</v>
      </c>
      <c r="Z165" s="54">
        <f t="shared" si="67"/>
        <v>1.5</v>
      </c>
      <c r="AA165" s="54">
        <f t="shared" si="67"/>
        <v>1.5</v>
      </c>
      <c r="AB165" s="54">
        <f t="shared" si="67"/>
        <v>1.5</v>
      </c>
      <c r="AC165" s="54">
        <f t="shared" si="67"/>
        <v>3.5</v>
      </c>
      <c r="AD165" s="54">
        <f t="shared" si="67"/>
        <v>1.5</v>
      </c>
      <c r="AF165" s="62">
        <f t="shared" si="84"/>
        <v>0</v>
      </c>
      <c r="AG165" s="64">
        <v>0</v>
      </c>
      <c r="AH165" s="64">
        <v>0</v>
      </c>
      <c r="AI165" s="65">
        <v>0</v>
      </c>
      <c r="AJ165" s="66"/>
      <c r="AK165" s="64"/>
      <c r="AL165" s="64"/>
      <c r="AM165" s="64"/>
      <c r="AN165" s="64"/>
      <c r="AO165" s="64"/>
      <c r="AP165" s="64"/>
      <c r="AQ165" s="64"/>
      <c r="AR165" s="64"/>
      <c r="AS165" s="67">
        <f t="shared" si="74"/>
        <v>27</v>
      </c>
      <c r="AT165" s="68"/>
      <c r="AU165" s="69">
        <v>61.669230769230808</v>
      </c>
      <c r="AV165" s="62">
        <f t="shared" si="70"/>
        <v>154</v>
      </c>
      <c r="AW165" s="54">
        <f t="shared" si="65"/>
        <v>11.549999999999999</v>
      </c>
      <c r="AX165" s="54">
        <f t="shared" si="65"/>
        <v>11.549999999999999</v>
      </c>
      <c r="AY165" s="54">
        <f t="shared" si="65"/>
        <v>11.549999999999999</v>
      </c>
      <c r="AZ165" s="54">
        <f t="shared" si="64"/>
        <v>11.549999999999999</v>
      </c>
      <c r="BA165" s="54">
        <f t="shared" si="64"/>
        <v>11.549999999999999</v>
      </c>
      <c r="BB165" s="54">
        <f t="shared" si="64"/>
        <v>11.549999999999999</v>
      </c>
      <c r="BC165" s="54">
        <f t="shared" si="64"/>
        <v>11.549999999999999</v>
      </c>
      <c r="BD165" s="54">
        <f t="shared" si="64"/>
        <v>11.549999999999999</v>
      </c>
      <c r="BE165" s="54">
        <f t="shared" si="64"/>
        <v>11.549999999999999</v>
      </c>
      <c r="BF165" s="54">
        <f t="shared" si="71"/>
        <v>11.549999999999999</v>
      </c>
      <c r="BG165" s="54">
        <f t="shared" si="71"/>
        <v>26.949999999999996</v>
      </c>
      <c r="BH165" s="54">
        <f t="shared" si="71"/>
        <v>11.549999999999999</v>
      </c>
      <c r="BI165" s="62">
        <f t="shared" si="68"/>
        <v>0</v>
      </c>
      <c r="BJ165" s="59">
        <f t="shared" si="83"/>
        <v>0</v>
      </c>
      <c r="BK165" s="59">
        <f t="shared" si="83"/>
        <v>0</v>
      </c>
      <c r="BL165" s="59">
        <f t="shared" si="83"/>
        <v>0</v>
      </c>
      <c r="BM165" s="59">
        <f t="shared" si="83"/>
        <v>0</v>
      </c>
      <c r="BN165" s="59">
        <f t="shared" si="83"/>
        <v>0</v>
      </c>
      <c r="BO165" s="59">
        <f t="shared" si="83"/>
        <v>0</v>
      </c>
      <c r="BP165" s="59">
        <f t="shared" si="82"/>
        <v>0</v>
      </c>
      <c r="BQ165" s="59">
        <f t="shared" si="82"/>
        <v>0</v>
      </c>
      <c r="BR165" s="59">
        <f t="shared" si="82"/>
        <v>0</v>
      </c>
      <c r="BS165" s="59">
        <f t="shared" si="82"/>
        <v>0</v>
      </c>
      <c r="BT165" s="59">
        <f t="shared" si="82"/>
        <v>0</v>
      </c>
      <c r="BU165" s="59">
        <f t="shared" si="82"/>
        <v>0</v>
      </c>
      <c r="BV165" s="67">
        <f t="shared" si="75"/>
        <v>215.66923076923081</v>
      </c>
      <c r="BX165" s="54">
        <f t="shared" si="76"/>
        <v>15.015000000000001</v>
      </c>
      <c r="BY165" s="54">
        <f t="shared" si="76"/>
        <v>15.015000000000001</v>
      </c>
      <c r="BZ165" s="54">
        <f t="shared" si="76"/>
        <v>15.015000000000001</v>
      </c>
      <c r="CA165" s="54">
        <f t="shared" si="76"/>
        <v>15.015000000000001</v>
      </c>
      <c r="CB165" s="54">
        <f t="shared" si="76"/>
        <v>15.015000000000001</v>
      </c>
      <c r="CC165" s="54">
        <f t="shared" si="76"/>
        <v>15.015000000000001</v>
      </c>
      <c r="CD165" s="54">
        <f t="shared" si="63"/>
        <v>15.015000000000001</v>
      </c>
      <c r="CE165" s="54">
        <f t="shared" si="63"/>
        <v>15.015000000000001</v>
      </c>
      <c r="CF165" s="54">
        <f t="shared" si="63"/>
        <v>15.015000000000001</v>
      </c>
      <c r="CG165" s="54">
        <f t="shared" ref="CG165:CI220" si="85">+IF(AND($J165&gt;CG$5,MONTH($J165&lt;&gt;CG$5)),0,+IF(AND($J165&gt;CG$5,MONTH($J165=CG$5)),$E165/$R165*DAY($J165),IF(AND($O165&lt;&gt;"",$O165&lt;CG$5),0,IF($K165="",$E165/$R165*AB165,IF(MONTH($K165)=MONTH(CG$5),$L165/$R165*AB165,IF(AND($K165&lt;CG$5,(MONTH($K165)&lt;&gt;MONTH(CG$5))),$L165/$R165*AB165,$E165/$R165*AB165))))))</f>
        <v>15.015000000000001</v>
      </c>
      <c r="CH165" s="54">
        <f t="shared" si="85"/>
        <v>35.034999999999997</v>
      </c>
      <c r="CI165" s="54">
        <f t="shared" si="85"/>
        <v>15.015000000000001</v>
      </c>
      <c r="CJ165" s="74">
        <f t="shared" si="69"/>
        <v>200.2</v>
      </c>
      <c r="CK165" s="59">
        <f t="shared" si="80"/>
        <v>20</v>
      </c>
      <c r="CL165" s="9">
        <f t="shared" si="81"/>
        <v>0</v>
      </c>
      <c r="CM165" s="71">
        <f t="shared" si="77"/>
        <v>200.2</v>
      </c>
      <c r="CN165" s="54"/>
      <c r="CO165" s="73"/>
      <c r="CP165" s="56"/>
    </row>
    <row r="166" spans="1:94" ht="20.25" customHeight="1">
      <c r="A166" s="75" t="s">
        <v>449</v>
      </c>
      <c r="B166" s="1" t="s">
        <v>450</v>
      </c>
      <c r="C166" s="1" t="s">
        <v>427</v>
      </c>
      <c r="D166" s="58">
        <f>+VLOOKUP(A166,'[1]BDD-Avk Tx'!B:CE,82,0)</f>
        <v>282</v>
      </c>
      <c r="E166" s="59">
        <v>172.9</v>
      </c>
      <c r="G166" s="4">
        <v>41962</v>
      </c>
      <c r="H166" s="4">
        <f t="shared" si="72"/>
        <v>45647</v>
      </c>
      <c r="I166" s="60" t="str">
        <f>+VLOOKUP(A166,'[1]BDD-Avk Tx'!B:BZ,77,0)</f>
        <v>CDI</v>
      </c>
      <c r="J166" s="4">
        <f t="shared" si="73"/>
        <v>45647</v>
      </c>
      <c r="N166" s="3"/>
      <c r="P166" s="54">
        <f t="shared" si="78"/>
        <v>11.083333333333334</v>
      </c>
      <c r="Q166" s="61">
        <v>1</v>
      </c>
      <c r="R166" s="62">
        <f t="shared" si="79"/>
        <v>20</v>
      </c>
      <c r="S166" s="54">
        <f t="shared" si="67"/>
        <v>1.5</v>
      </c>
      <c r="T166" s="54">
        <f t="shared" si="67"/>
        <v>1.5</v>
      </c>
      <c r="U166" s="54">
        <f t="shared" si="67"/>
        <v>1.5</v>
      </c>
      <c r="V166" s="54">
        <f t="shared" si="67"/>
        <v>1.5</v>
      </c>
      <c r="W166" s="54">
        <f t="shared" si="67"/>
        <v>1.5</v>
      </c>
      <c r="X166" s="54">
        <f t="shared" ref="T166:AH188" si="86">+IF(AND(AND($O166="",$P166&gt;=10,MONTH($G166)=MONTH(X$5))),1.5+2,+IF(AND(AND($O166="",$P166&gt;=5,MONTH($G166)=MONTH(X$5))),1.5+1,+IF(AND(AND($P166=5,$O166="",MONTH($G166)=MONTH(X$5))),1.5,+IF(AND($H166&gt;X$5,MONTH($H166)=MONTH(X$5)),1.5/30*(X$4-DAY($H166)),+IF(AND(MONTH($H166)&lt;MONTH(X$5),$O166=""),1.5,+IF(AND($H166=$S$5,$O166=""),1.5,IF($O166&lt;X$5,0,IF(MONTH($O166)=MONTH(X$5),1.5/30*($O166-X$5),1.5))))))))</f>
        <v>1.5</v>
      </c>
      <c r="Y166" s="54">
        <f t="shared" si="86"/>
        <v>1.5</v>
      </c>
      <c r="Z166" s="54">
        <f t="shared" si="86"/>
        <v>1.5</v>
      </c>
      <c r="AA166" s="54">
        <f t="shared" si="86"/>
        <v>1.5</v>
      </c>
      <c r="AB166" s="54">
        <f t="shared" si="86"/>
        <v>1.5</v>
      </c>
      <c r="AC166" s="54">
        <f t="shared" si="86"/>
        <v>1.5</v>
      </c>
      <c r="AD166" s="54">
        <f t="shared" si="86"/>
        <v>3.5</v>
      </c>
      <c r="AF166" s="62">
        <f t="shared" si="84"/>
        <v>0</v>
      </c>
      <c r="AG166" s="64">
        <v>0</v>
      </c>
      <c r="AH166" s="64">
        <v>0</v>
      </c>
      <c r="AI166" s="65">
        <v>0</v>
      </c>
      <c r="AJ166" s="66"/>
      <c r="AK166" s="64"/>
      <c r="AL166" s="64"/>
      <c r="AM166" s="64"/>
      <c r="AN166" s="64"/>
      <c r="AO166" s="64"/>
      <c r="AP166" s="64"/>
      <c r="AQ166" s="64"/>
      <c r="AR166" s="64"/>
      <c r="AS166" s="67">
        <f t="shared" si="74"/>
        <v>21</v>
      </c>
      <c r="AT166" s="68"/>
      <c r="AU166" s="69">
        <v>7.5249999999999631</v>
      </c>
      <c r="AV166" s="62">
        <f t="shared" si="70"/>
        <v>133</v>
      </c>
      <c r="AW166" s="54">
        <f t="shared" si="65"/>
        <v>9.9750000000000014</v>
      </c>
      <c r="AX166" s="54">
        <f t="shared" si="65"/>
        <v>9.9750000000000014</v>
      </c>
      <c r="AY166" s="54">
        <f t="shared" si="65"/>
        <v>9.9750000000000014</v>
      </c>
      <c r="AZ166" s="54">
        <f t="shared" si="64"/>
        <v>9.9750000000000014</v>
      </c>
      <c r="BA166" s="54">
        <f t="shared" si="64"/>
        <v>9.9750000000000014</v>
      </c>
      <c r="BB166" s="54">
        <f t="shared" si="64"/>
        <v>9.9750000000000014</v>
      </c>
      <c r="BC166" s="54">
        <f t="shared" si="64"/>
        <v>9.9750000000000014</v>
      </c>
      <c r="BD166" s="54">
        <f t="shared" si="64"/>
        <v>9.9750000000000014</v>
      </c>
      <c r="BE166" s="54">
        <f t="shared" si="64"/>
        <v>9.9750000000000014</v>
      </c>
      <c r="BF166" s="54">
        <f t="shared" si="71"/>
        <v>9.9750000000000014</v>
      </c>
      <c r="BG166" s="54">
        <f t="shared" si="71"/>
        <v>9.9750000000000014</v>
      </c>
      <c r="BH166" s="54">
        <f t="shared" si="71"/>
        <v>23.275000000000002</v>
      </c>
      <c r="BI166" s="62">
        <f t="shared" si="68"/>
        <v>0</v>
      </c>
      <c r="BJ166" s="59">
        <f t="shared" si="83"/>
        <v>0</v>
      </c>
      <c r="BK166" s="59">
        <f t="shared" si="83"/>
        <v>0</v>
      </c>
      <c r="BL166" s="59">
        <f t="shared" si="83"/>
        <v>0</v>
      </c>
      <c r="BM166" s="59">
        <f t="shared" si="83"/>
        <v>0</v>
      </c>
      <c r="BN166" s="59">
        <f t="shared" si="83"/>
        <v>0</v>
      </c>
      <c r="BO166" s="59">
        <f t="shared" si="83"/>
        <v>0</v>
      </c>
      <c r="BP166" s="59">
        <f t="shared" si="82"/>
        <v>0</v>
      </c>
      <c r="BQ166" s="59">
        <f t="shared" si="82"/>
        <v>0</v>
      </c>
      <c r="BR166" s="59">
        <f t="shared" si="82"/>
        <v>0</v>
      </c>
      <c r="BS166" s="59">
        <f t="shared" si="82"/>
        <v>0</v>
      </c>
      <c r="BT166" s="59">
        <f t="shared" si="82"/>
        <v>0</v>
      </c>
      <c r="BU166" s="59">
        <f t="shared" si="82"/>
        <v>0</v>
      </c>
      <c r="BV166" s="67">
        <f t="shared" si="75"/>
        <v>140.52499999999998</v>
      </c>
      <c r="BX166" s="54">
        <f t="shared" si="76"/>
        <v>12.967499999999999</v>
      </c>
      <c r="BY166" s="54">
        <f t="shared" si="76"/>
        <v>12.967499999999999</v>
      </c>
      <c r="BZ166" s="54">
        <f t="shared" si="76"/>
        <v>12.967499999999999</v>
      </c>
      <c r="CA166" s="54">
        <f t="shared" si="76"/>
        <v>12.967499999999999</v>
      </c>
      <c r="CB166" s="54">
        <f t="shared" si="76"/>
        <v>12.967499999999999</v>
      </c>
      <c r="CC166" s="54">
        <f t="shared" si="76"/>
        <v>12.967499999999999</v>
      </c>
      <c r="CD166" s="54">
        <f t="shared" si="76"/>
        <v>12.967499999999999</v>
      </c>
      <c r="CE166" s="54">
        <f t="shared" si="76"/>
        <v>12.967499999999999</v>
      </c>
      <c r="CF166" s="54">
        <f t="shared" si="76"/>
        <v>12.967499999999999</v>
      </c>
      <c r="CG166" s="54">
        <f t="shared" si="85"/>
        <v>12.967499999999999</v>
      </c>
      <c r="CH166" s="54">
        <f t="shared" si="85"/>
        <v>12.967499999999999</v>
      </c>
      <c r="CI166" s="54">
        <f t="shared" si="85"/>
        <v>30.2575</v>
      </c>
      <c r="CJ166" s="74">
        <f t="shared" si="69"/>
        <v>172.89999999999998</v>
      </c>
      <c r="CK166" s="59">
        <f t="shared" si="80"/>
        <v>20</v>
      </c>
      <c r="CL166" s="9">
        <f t="shared" si="81"/>
        <v>0</v>
      </c>
      <c r="CM166" s="71">
        <f t="shared" si="77"/>
        <v>172.9</v>
      </c>
      <c r="CN166" s="72"/>
      <c r="CO166" s="73"/>
    </row>
    <row r="167" spans="1:94" ht="20.25" customHeight="1">
      <c r="A167" s="75" t="s">
        <v>451</v>
      </c>
      <c r="B167" s="1" t="s">
        <v>452</v>
      </c>
      <c r="C167" s="1" t="s">
        <v>224</v>
      </c>
      <c r="D167" s="58">
        <f>+VLOOKUP(A167,'[1]BDD-Avk Tx'!B:CE,82,0)</f>
        <v>281</v>
      </c>
      <c r="E167" s="59">
        <v>172.9</v>
      </c>
      <c r="G167" s="4">
        <v>42010</v>
      </c>
      <c r="H167" s="4">
        <f t="shared" si="72"/>
        <v>45647</v>
      </c>
      <c r="I167" s="60" t="str">
        <f>+VLOOKUP(A167,'[1]BDD-Avk Tx'!B:BZ,77,0)</f>
        <v>CDI</v>
      </c>
      <c r="J167" s="4">
        <f t="shared" si="73"/>
        <v>45647</v>
      </c>
      <c r="N167" s="3"/>
      <c r="P167" s="54">
        <f t="shared" si="78"/>
        <v>10.916666666666666</v>
      </c>
      <c r="Q167" s="61">
        <v>1</v>
      </c>
      <c r="R167" s="62">
        <f t="shared" si="79"/>
        <v>20</v>
      </c>
      <c r="S167" s="54">
        <f t="shared" ref="S167:AD222" si="87">+IF(AND(AND($O167="",$P167&gt;=10,MONTH($G167)=MONTH(S$5))),1.5+2,+IF(AND(AND($O167="",$P167&gt;=5,MONTH($G167)=MONTH(S$5))),1.5+1,+IF(AND(AND($P167=5,$O167="",MONTH($G167)=MONTH(S$5))),1.5,+IF(AND($H167&gt;S$5,MONTH($H167)=MONTH(S$5)),1.5/30*(S$4-DAY($H167)),+IF(AND(MONTH($H167)&lt;MONTH(S$5),$O167=""),1.5,+IF(AND($H167=$S$5,$O167=""),1.5,IF($O167&lt;S$5,0,IF(MONTH($O167)=MONTH(S$5),1.5/30*($O167-S$5),1.5))))))))</f>
        <v>1.5</v>
      </c>
      <c r="T167" s="54">
        <f t="shared" si="86"/>
        <v>3.5</v>
      </c>
      <c r="U167" s="54">
        <f t="shared" si="86"/>
        <v>1.5</v>
      </c>
      <c r="V167" s="54">
        <f t="shared" si="86"/>
        <v>1.5</v>
      </c>
      <c r="W167" s="54">
        <f t="shared" si="86"/>
        <v>1.5</v>
      </c>
      <c r="X167" s="54">
        <f t="shared" si="86"/>
        <v>1.5</v>
      </c>
      <c r="Y167" s="54">
        <f t="shared" si="86"/>
        <v>1.5</v>
      </c>
      <c r="Z167" s="54">
        <f t="shared" si="86"/>
        <v>1.5</v>
      </c>
      <c r="AA167" s="54">
        <f t="shared" si="86"/>
        <v>1.5</v>
      </c>
      <c r="AB167" s="54">
        <f t="shared" si="86"/>
        <v>1.5</v>
      </c>
      <c r="AC167" s="54">
        <f t="shared" si="86"/>
        <v>1.5</v>
      </c>
      <c r="AD167" s="54">
        <f t="shared" si="86"/>
        <v>1.5</v>
      </c>
      <c r="AF167" s="62">
        <f t="shared" si="84"/>
        <v>10</v>
      </c>
      <c r="AG167" s="64">
        <v>0</v>
      </c>
      <c r="AH167" s="64">
        <v>0</v>
      </c>
      <c r="AI167" s="65">
        <v>10</v>
      </c>
      <c r="AJ167" s="66"/>
      <c r="AK167" s="64"/>
      <c r="AL167" s="64"/>
      <c r="AM167" s="64"/>
      <c r="AN167" s="64"/>
      <c r="AO167" s="64"/>
      <c r="AP167" s="64"/>
      <c r="AQ167" s="64"/>
      <c r="AR167" s="64"/>
      <c r="AS167" s="67">
        <f t="shared" si="74"/>
        <v>11</v>
      </c>
      <c r="AT167" s="68"/>
      <c r="AU167" s="69">
        <v>7.4576923076922412</v>
      </c>
      <c r="AV167" s="62">
        <f t="shared" si="70"/>
        <v>132.99999999999997</v>
      </c>
      <c r="AW167" s="54">
        <f t="shared" si="65"/>
        <v>9.9750000000000014</v>
      </c>
      <c r="AX167" s="54">
        <f t="shared" si="65"/>
        <v>23.275000000000002</v>
      </c>
      <c r="AY167" s="54">
        <f t="shared" si="65"/>
        <v>9.9750000000000014</v>
      </c>
      <c r="AZ167" s="54">
        <f t="shared" si="64"/>
        <v>9.9750000000000014</v>
      </c>
      <c r="BA167" s="54">
        <f t="shared" si="64"/>
        <v>9.9750000000000014</v>
      </c>
      <c r="BB167" s="54">
        <f t="shared" si="64"/>
        <v>9.9750000000000014</v>
      </c>
      <c r="BC167" s="54">
        <f t="shared" si="64"/>
        <v>9.9750000000000014</v>
      </c>
      <c r="BD167" s="54">
        <f t="shared" si="64"/>
        <v>9.9750000000000014</v>
      </c>
      <c r="BE167" s="54">
        <f t="shared" si="64"/>
        <v>9.9750000000000014</v>
      </c>
      <c r="BF167" s="54">
        <f t="shared" si="71"/>
        <v>9.9750000000000014</v>
      </c>
      <c r="BG167" s="54">
        <f t="shared" si="71"/>
        <v>9.9750000000000014</v>
      </c>
      <c r="BH167" s="54">
        <f t="shared" si="71"/>
        <v>9.9750000000000014</v>
      </c>
      <c r="BI167" s="62">
        <f t="shared" si="68"/>
        <v>-66.5</v>
      </c>
      <c r="BJ167" s="59">
        <f t="shared" si="83"/>
        <v>0</v>
      </c>
      <c r="BK167" s="59">
        <f t="shared" si="83"/>
        <v>0</v>
      </c>
      <c r="BL167" s="59">
        <f t="shared" si="83"/>
        <v>-66.5</v>
      </c>
      <c r="BM167" s="59">
        <f t="shared" si="83"/>
        <v>0</v>
      </c>
      <c r="BN167" s="59">
        <f t="shared" si="83"/>
        <v>0</v>
      </c>
      <c r="BO167" s="59">
        <f t="shared" si="83"/>
        <v>0</v>
      </c>
      <c r="BP167" s="59">
        <f t="shared" si="82"/>
        <v>0</v>
      </c>
      <c r="BQ167" s="59">
        <f t="shared" si="82"/>
        <v>0</v>
      </c>
      <c r="BR167" s="59">
        <f t="shared" si="82"/>
        <v>0</v>
      </c>
      <c r="BS167" s="59">
        <f t="shared" si="82"/>
        <v>0</v>
      </c>
      <c r="BT167" s="59">
        <f t="shared" si="82"/>
        <v>0</v>
      </c>
      <c r="BU167" s="59">
        <f t="shared" si="82"/>
        <v>0</v>
      </c>
      <c r="BV167" s="67">
        <f t="shared" si="75"/>
        <v>73.957692307692213</v>
      </c>
      <c r="BX167" s="54">
        <f t="shared" si="76"/>
        <v>12.967499999999999</v>
      </c>
      <c r="BY167" s="54">
        <f t="shared" si="76"/>
        <v>30.2575</v>
      </c>
      <c r="BZ167" s="54">
        <f t="shared" si="76"/>
        <v>12.967499999999999</v>
      </c>
      <c r="CA167" s="54">
        <f t="shared" si="76"/>
        <v>12.967499999999999</v>
      </c>
      <c r="CB167" s="54">
        <f t="shared" si="76"/>
        <v>12.967499999999999</v>
      </c>
      <c r="CC167" s="54">
        <f t="shared" si="76"/>
        <v>12.967499999999999</v>
      </c>
      <c r="CD167" s="54">
        <f t="shared" si="76"/>
        <v>12.967499999999999</v>
      </c>
      <c r="CE167" s="54">
        <f t="shared" si="76"/>
        <v>12.967499999999999</v>
      </c>
      <c r="CF167" s="54">
        <f t="shared" si="76"/>
        <v>12.967499999999999</v>
      </c>
      <c r="CG167" s="54">
        <f t="shared" si="85"/>
        <v>12.967499999999999</v>
      </c>
      <c r="CH167" s="54">
        <f t="shared" si="85"/>
        <v>12.967499999999999</v>
      </c>
      <c r="CI167" s="54">
        <f t="shared" si="85"/>
        <v>12.967499999999999</v>
      </c>
      <c r="CJ167" s="74">
        <f t="shared" si="69"/>
        <v>172.9</v>
      </c>
      <c r="CK167" s="59">
        <f t="shared" si="80"/>
        <v>20</v>
      </c>
      <c r="CL167" s="9">
        <f t="shared" si="81"/>
        <v>0</v>
      </c>
      <c r="CM167" s="71">
        <f t="shared" si="77"/>
        <v>172.9</v>
      </c>
      <c r="CN167" s="54"/>
      <c r="CO167" s="73"/>
      <c r="CP167" s="56"/>
    </row>
    <row r="168" spans="1:94" ht="20.25" customHeight="1">
      <c r="A168" s="1" t="s">
        <v>453</v>
      </c>
      <c r="B168" s="1" t="s">
        <v>454</v>
      </c>
      <c r="C168" s="1" t="s">
        <v>224</v>
      </c>
      <c r="D168" s="58">
        <f>+VLOOKUP(A168,'[1]BDD-Avk Tx'!B:CE,82,0)</f>
        <v>281</v>
      </c>
      <c r="E168" s="59">
        <v>172.9</v>
      </c>
      <c r="G168" s="4">
        <v>42059</v>
      </c>
      <c r="H168" s="4">
        <f t="shared" si="72"/>
        <v>45647</v>
      </c>
      <c r="I168" s="60" t="str">
        <f>+VLOOKUP(A168,'[1]BDD-Avk Tx'!B:BZ,77,0)</f>
        <v>CDI</v>
      </c>
      <c r="J168" s="4">
        <f t="shared" si="73"/>
        <v>45647</v>
      </c>
      <c r="N168" s="3"/>
      <c r="P168" s="54">
        <f t="shared" si="78"/>
        <v>10.75</v>
      </c>
      <c r="Q168" s="61">
        <v>2</v>
      </c>
      <c r="R168" s="62">
        <f t="shared" si="79"/>
        <v>20</v>
      </c>
      <c r="S168" s="54">
        <f t="shared" si="87"/>
        <v>1.5</v>
      </c>
      <c r="T168" s="54">
        <f t="shared" si="86"/>
        <v>1.5</v>
      </c>
      <c r="U168" s="54">
        <f t="shared" si="86"/>
        <v>3.5</v>
      </c>
      <c r="V168" s="54">
        <f t="shared" si="86"/>
        <v>1.5</v>
      </c>
      <c r="W168" s="54">
        <f t="shared" si="86"/>
        <v>1.5</v>
      </c>
      <c r="X168" s="54">
        <f t="shared" si="86"/>
        <v>1.5</v>
      </c>
      <c r="Y168" s="54">
        <f t="shared" si="86"/>
        <v>1.5</v>
      </c>
      <c r="Z168" s="54">
        <f t="shared" si="86"/>
        <v>1.5</v>
      </c>
      <c r="AA168" s="54">
        <f t="shared" si="86"/>
        <v>1.5</v>
      </c>
      <c r="AB168" s="54">
        <f t="shared" si="86"/>
        <v>1.5</v>
      </c>
      <c r="AC168" s="54">
        <f t="shared" si="86"/>
        <v>1.5</v>
      </c>
      <c r="AD168" s="54">
        <f t="shared" si="86"/>
        <v>1.5</v>
      </c>
      <c r="AF168" s="62">
        <f t="shared" si="84"/>
        <v>16</v>
      </c>
      <c r="AG168" s="64">
        <v>7</v>
      </c>
      <c r="AH168" s="64">
        <v>9</v>
      </c>
      <c r="AI168" s="65">
        <v>0</v>
      </c>
      <c r="AJ168" s="66"/>
      <c r="AK168" s="64"/>
      <c r="AL168" s="64"/>
      <c r="AM168" s="64"/>
      <c r="AN168" s="64"/>
      <c r="AO168" s="64"/>
      <c r="AP168" s="64"/>
      <c r="AQ168" s="64"/>
      <c r="AR168" s="64"/>
      <c r="AS168" s="67">
        <f t="shared" si="74"/>
        <v>6</v>
      </c>
      <c r="AT168" s="68"/>
      <c r="AU168" s="69">
        <v>14.040384615384554</v>
      </c>
      <c r="AV168" s="62">
        <f t="shared" si="70"/>
        <v>132.99999999999997</v>
      </c>
      <c r="AW168" s="54">
        <f t="shared" si="65"/>
        <v>9.9750000000000014</v>
      </c>
      <c r="AX168" s="54">
        <f t="shared" si="65"/>
        <v>9.9750000000000014</v>
      </c>
      <c r="AY168" s="54">
        <f t="shared" si="65"/>
        <v>23.275000000000002</v>
      </c>
      <c r="AZ168" s="54">
        <f t="shared" si="64"/>
        <v>9.9750000000000014</v>
      </c>
      <c r="BA168" s="54">
        <f t="shared" si="64"/>
        <v>9.9750000000000014</v>
      </c>
      <c r="BB168" s="54">
        <f t="shared" si="64"/>
        <v>9.9750000000000014</v>
      </c>
      <c r="BC168" s="54">
        <f t="shared" si="64"/>
        <v>9.9750000000000014</v>
      </c>
      <c r="BD168" s="54">
        <f t="shared" si="64"/>
        <v>9.9750000000000014</v>
      </c>
      <c r="BE168" s="54">
        <f t="shared" si="64"/>
        <v>9.9750000000000014</v>
      </c>
      <c r="BF168" s="54">
        <f t="shared" si="71"/>
        <v>9.9750000000000014</v>
      </c>
      <c r="BG168" s="54">
        <f t="shared" si="71"/>
        <v>9.9750000000000014</v>
      </c>
      <c r="BH168" s="54">
        <f t="shared" si="71"/>
        <v>9.9750000000000014</v>
      </c>
      <c r="BI168" s="62">
        <f t="shared" si="68"/>
        <v>-106.4</v>
      </c>
      <c r="BJ168" s="59">
        <f t="shared" si="83"/>
        <v>-46.550000000000004</v>
      </c>
      <c r="BK168" s="59">
        <f t="shared" si="83"/>
        <v>-59.85</v>
      </c>
      <c r="BL168" s="59">
        <f t="shared" si="83"/>
        <v>0</v>
      </c>
      <c r="BM168" s="59">
        <f t="shared" si="83"/>
        <v>0</v>
      </c>
      <c r="BN168" s="59">
        <f t="shared" si="83"/>
        <v>0</v>
      </c>
      <c r="BO168" s="59">
        <f t="shared" si="83"/>
        <v>0</v>
      </c>
      <c r="BP168" s="59">
        <f t="shared" si="82"/>
        <v>0</v>
      </c>
      <c r="BQ168" s="59">
        <f t="shared" si="82"/>
        <v>0</v>
      </c>
      <c r="BR168" s="59">
        <f t="shared" si="82"/>
        <v>0</v>
      </c>
      <c r="BS168" s="59">
        <f t="shared" si="82"/>
        <v>0</v>
      </c>
      <c r="BT168" s="59">
        <f t="shared" si="82"/>
        <v>0</v>
      </c>
      <c r="BU168" s="59">
        <f t="shared" si="82"/>
        <v>0</v>
      </c>
      <c r="BV168" s="67">
        <f t="shared" si="75"/>
        <v>40.640384615384534</v>
      </c>
      <c r="BX168" s="54">
        <f t="shared" si="76"/>
        <v>12.967499999999999</v>
      </c>
      <c r="BY168" s="54">
        <f t="shared" si="76"/>
        <v>12.967499999999999</v>
      </c>
      <c r="BZ168" s="54">
        <f t="shared" si="76"/>
        <v>30.2575</v>
      </c>
      <c r="CA168" s="54">
        <f t="shared" si="76"/>
        <v>12.967499999999999</v>
      </c>
      <c r="CB168" s="54">
        <f t="shared" si="76"/>
        <v>12.967499999999999</v>
      </c>
      <c r="CC168" s="54">
        <f t="shared" si="76"/>
        <v>12.967499999999999</v>
      </c>
      <c r="CD168" s="54">
        <f t="shared" si="76"/>
        <v>12.967499999999999</v>
      </c>
      <c r="CE168" s="54">
        <f t="shared" si="76"/>
        <v>12.967499999999999</v>
      </c>
      <c r="CF168" s="54">
        <f t="shared" si="76"/>
        <v>12.967499999999999</v>
      </c>
      <c r="CG168" s="54">
        <f t="shared" si="85"/>
        <v>12.967499999999999</v>
      </c>
      <c r="CH168" s="54">
        <f t="shared" si="85"/>
        <v>12.967499999999999</v>
      </c>
      <c r="CI168" s="54">
        <f t="shared" si="85"/>
        <v>12.967499999999999</v>
      </c>
      <c r="CJ168" s="74">
        <f t="shared" si="69"/>
        <v>172.9</v>
      </c>
      <c r="CK168" s="59">
        <f t="shared" si="80"/>
        <v>20</v>
      </c>
      <c r="CL168" s="9">
        <f t="shared" si="81"/>
        <v>0</v>
      </c>
      <c r="CM168" s="71">
        <f t="shared" si="77"/>
        <v>172.9</v>
      </c>
      <c r="CN168" s="72"/>
      <c r="CO168" s="73"/>
    </row>
    <row r="169" spans="1:94" ht="20.25" customHeight="1">
      <c r="A169" s="75" t="s">
        <v>455</v>
      </c>
      <c r="B169" s="1" t="s">
        <v>456</v>
      </c>
      <c r="C169" s="1" t="s">
        <v>457</v>
      </c>
      <c r="D169" s="58">
        <f>+VLOOKUP(A169,'[1]BDD-Avk Tx'!B:CE,82,0)</f>
        <v>120</v>
      </c>
      <c r="E169" s="59">
        <v>412.1</v>
      </c>
      <c r="G169" s="4">
        <v>41153</v>
      </c>
      <c r="H169" s="4">
        <f t="shared" si="72"/>
        <v>45647</v>
      </c>
      <c r="I169" s="60" t="str">
        <f>+VLOOKUP(A169,'[1]BDD-Avk Tx'!B:BZ,77,0)</f>
        <v>CDI</v>
      </c>
      <c r="J169" s="4">
        <f t="shared" si="73"/>
        <v>45647</v>
      </c>
      <c r="N169" s="3"/>
      <c r="P169" s="54">
        <f t="shared" si="78"/>
        <v>13.25</v>
      </c>
      <c r="Q169" s="61">
        <v>4</v>
      </c>
      <c r="R169" s="62">
        <f t="shared" si="79"/>
        <v>20</v>
      </c>
      <c r="S169" s="54">
        <f t="shared" si="87"/>
        <v>1.5</v>
      </c>
      <c r="T169" s="54">
        <f t="shared" si="86"/>
        <v>1.5</v>
      </c>
      <c r="U169" s="54">
        <f t="shared" si="86"/>
        <v>1.5</v>
      </c>
      <c r="V169" s="54">
        <f t="shared" si="86"/>
        <v>1.5</v>
      </c>
      <c r="W169" s="54">
        <f t="shared" si="86"/>
        <v>1.5</v>
      </c>
      <c r="X169" s="54">
        <f t="shared" si="86"/>
        <v>1.5</v>
      </c>
      <c r="Y169" s="54">
        <f t="shared" si="86"/>
        <v>1.5</v>
      </c>
      <c r="Z169" s="54">
        <f t="shared" si="86"/>
        <v>1.5</v>
      </c>
      <c r="AA169" s="54">
        <f t="shared" si="86"/>
        <v>1.5</v>
      </c>
      <c r="AB169" s="54">
        <f t="shared" si="86"/>
        <v>3.5</v>
      </c>
      <c r="AC169" s="54">
        <f t="shared" si="86"/>
        <v>1.5</v>
      </c>
      <c r="AD169" s="54">
        <f t="shared" si="86"/>
        <v>1.5</v>
      </c>
      <c r="AF169" s="62">
        <f t="shared" si="84"/>
        <v>0</v>
      </c>
      <c r="AG169" s="64">
        <v>0</v>
      </c>
      <c r="AH169" s="64">
        <v>0</v>
      </c>
      <c r="AI169" s="65">
        <v>0</v>
      </c>
      <c r="AJ169" s="66"/>
      <c r="AK169" s="64"/>
      <c r="AL169" s="64"/>
      <c r="AM169" s="64"/>
      <c r="AN169" s="64"/>
      <c r="AO169" s="64"/>
      <c r="AP169" s="64"/>
      <c r="AQ169" s="64"/>
      <c r="AR169" s="64"/>
      <c r="AS169" s="67">
        <f t="shared" si="74"/>
        <v>24</v>
      </c>
      <c r="AT169" s="68"/>
      <c r="AU169" s="69">
        <v>50.719230769230705</v>
      </c>
      <c r="AV169" s="62">
        <f t="shared" si="70"/>
        <v>317</v>
      </c>
      <c r="AW169" s="54">
        <f t="shared" si="65"/>
        <v>23.775000000000002</v>
      </c>
      <c r="AX169" s="54">
        <f t="shared" si="65"/>
        <v>23.775000000000002</v>
      </c>
      <c r="AY169" s="54">
        <f t="shared" si="65"/>
        <v>23.775000000000002</v>
      </c>
      <c r="AZ169" s="54">
        <f t="shared" si="64"/>
        <v>23.775000000000002</v>
      </c>
      <c r="BA169" s="54">
        <f t="shared" si="64"/>
        <v>23.775000000000002</v>
      </c>
      <c r="BB169" s="54">
        <f t="shared" si="64"/>
        <v>23.775000000000002</v>
      </c>
      <c r="BC169" s="54">
        <f t="shared" si="64"/>
        <v>23.775000000000002</v>
      </c>
      <c r="BD169" s="54">
        <f t="shared" si="64"/>
        <v>23.775000000000002</v>
      </c>
      <c r="BE169" s="54">
        <f t="shared" si="64"/>
        <v>23.775000000000002</v>
      </c>
      <c r="BF169" s="54">
        <f t="shared" si="71"/>
        <v>55.475000000000009</v>
      </c>
      <c r="BG169" s="54">
        <f t="shared" si="71"/>
        <v>23.775000000000002</v>
      </c>
      <c r="BH169" s="54">
        <f t="shared" si="71"/>
        <v>23.775000000000002</v>
      </c>
      <c r="BI169" s="62">
        <f t="shared" si="68"/>
        <v>0</v>
      </c>
      <c r="BJ169" s="59">
        <f t="shared" si="83"/>
        <v>0</v>
      </c>
      <c r="BK169" s="59">
        <f t="shared" si="83"/>
        <v>0</v>
      </c>
      <c r="BL169" s="59">
        <f t="shared" si="83"/>
        <v>0</v>
      </c>
      <c r="BM169" s="59">
        <f t="shared" si="83"/>
        <v>0</v>
      </c>
      <c r="BN169" s="59">
        <f t="shared" si="83"/>
        <v>0</v>
      </c>
      <c r="BO169" s="59">
        <f t="shared" si="83"/>
        <v>0</v>
      </c>
      <c r="BP169" s="59">
        <f t="shared" si="82"/>
        <v>0</v>
      </c>
      <c r="BQ169" s="59">
        <f t="shared" si="82"/>
        <v>0</v>
      </c>
      <c r="BR169" s="59">
        <f t="shared" si="82"/>
        <v>0</v>
      </c>
      <c r="BS169" s="59">
        <f t="shared" si="82"/>
        <v>0</v>
      </c>
      <c r="BT169" s="59">
        <f t="shared" si="82"/>
        <v>0</v>
      </c>
      <c r="BU169" s="59">
        <f t="shared" si="82"/>
        <v>0</v>
      </c>
      <c r="BV169" s="67">
        <f t="shared" si="75"/>
        <v>367.71923076923071</v>
      </c>
      <c r="BX169" s="54">
        <f t="shared" si="76"/>
        <v>30.907499999999999</v>
      </c>
      <c r="BY169" s="54">
        <f t="shared" si="76"/>
        <v>30.907499999999999</v>
      </c>
      <c r="BZ169" s="54">
        <f t="shared" si="76"/>
        <v>30.907499999999999</v>
      </c>
      <c r="CA169" s="54">
        <f t="shared" si="76"/>
        <v>30.907499999999999</v>
      </c>
      <c r="CB169" s="54">
        <f t="shared" si="76"/>
        <v>30.907499999999999</v>
      </c>
      <c r="CC169" s="54">
        <f t="shared" si="76"/>
        <v>30.907499999999999</v>
      </c>
      <c r="CD169" s="54">
        <f t="shared" si="76"/>
        <v>30.907499999999999</v>
      </c>
      <c r="CE169" s="54">
        <f t="shared" si="76"/>
        <v>30.907499999999999</v>
      </c>
      <c r="CF169" s="54">
        <f t="shared" si="76"/>
        <v>30.907499999999999</v>
      </c>
      <c r="CG169" s="54">
        <f t="shared" si="85"/>
        <v>72.117500000000007</v>
      </c>
      <c r="CH169" s="54">
        <f t="shared" si="85"/>
        <v>30.907499999999999</v>
      </c>
      <c r="CI169" s="54">
        <f t="shared" si="85"/>
        <v>30.907499999999999</v>
      </c>
      <c r="CJ169" s="74">
        <f t="shared" si="69"/>
        <v>412.1</v>
      </c>
      <c r="CK169" s="59">
        <f t="shared" si="80"/>
        <v>20</v>
      </c>
      <c r="CL169" s="9">
        <f t="shared" si="81"/>
        <v>0</v>
      </c>
      <c r="CM169" s="71">
        <f t="shared" si="77"/>
        <v>412.1</v>
      </c>
      <c r="CN169" s="54"/>
      <c r="CO169" s="73"/>
      <c r="CP169" s="56"/>
    </row>
    <row r="170" spans="1:94" ht="20.25" customHeight="1">
      <c r="A170" s="1" t="s">
        <v>458</v>
      </c>
      <c r="B170" s="1" t="s">
        <v>459</v>
      </c>
      <c r="C170" s="1" t="s">
        <v>460</v>
      </c>
      <c r="D170" s="58">
        <f>+VLOOKUP(A170,'[1]BDD-Avk Tx'!B:CE,82,0)</f>
        <v>251</v>
      </c>
      <c r="E170" s="59">
        <v>231.4</v>
      </c>
      <c r="G170" s="4">
        <v>43206</v>
      </c>
      <c r="H170" s="4">
        <f t="shared" si="72"/>
        <v>45647</v>
      </c>
      <c r="I170" s="60" t="str">
        <f>+VLOOKUP(A170,'[1]BDD-Avk Tx'!B:BZ,77,0)</f>
        <v>CDI</v>
      </c>
      <c r="J170" s="4">
        <f t="shared" si="73"/>
        <v>45647</v>
      </c>
      <c r="N170" s="3"/>
      <c r="P170" s="54">
        <f t="shared" si="78"/>
        <v>7.666666666666667</v>
      </c>
      <c r="Q170" s="61">
        <v>17.5</v>
      </c>
      <c r="R170" s="62">
        <f t="shared" si="79"/>
        <v>19</v>
      </c>
      <c r="S170" s="54">
        <f t="shared" si="87"/>
        <v>1.5</v>
      </c>
      <c r="T170" s="54">
        <f t="shared" si="86"/>
        <v>1.5</v>
      </c>
      <c r="U170" s="54">
        <f t="shared" si="86"/>
        <v>1.5</v>
      </c>
      <c r="V170" s="54">
        <f t="shared" si="86"/>
        <v>1.5</v>
      </c>
      <c r="W170" s="54">
        <f t="shared" si="86"/>
        <v>2.5</v>
      </c>
      <c r="X170" s="54">
        <f t="shared" si="86"/>
        <v>1.5</v>
      </c>
      <c r="Y170" s="54">
        <f t="shared" si="86"/>
        <v>1.5</v>
      </c>
      <c r="Z170" s="54">
        <f t="shared" si="86"/>
        <v>1.5</v>
      </c>
      <c r="AA170" s="54">
        <f t="shared" si="86"/>
        <v>1.5</v>
      </c>
      <c r="AB170" s="54">
        <f t="shared" si="86"/>
        <v>1.5</v>
      </c>
      <c r="AC170" s="54">
        <f t="shared" si="86"/>
        <v>1.5</v>
      </c>
      <c r="AD170" s="54">
        <f t="shared" si="86"/>
        <v>1.5</v>
      </c>
      <c r="AF170" s="62">
        <f t="shared" si="84"/>
        <v>19</v>
      </c>
      <c r="AG170" s="64">
        <v>9</v>
      </c>
      <c r="AH170" s="64">
        <v>10</v>
      </c>
      <c r="AI170" s="65">
        <v>0</v>
      </c>
      <c r="AJ170" s="66"/>
      <c r="AK170" s="64"/>
      <c r="AL170" s="64"/>
      <c r="AM170" s="64"/>
      <c r="AN170" s="64"/>
      <c r="AO170" s="64"/>
      <c r="AP170" s="64"/>
      <c r="AQ170" s="64"/>
      <c r="AR170" s="64"/>
      <c r="AS170" s="67">
        <f t="shared" si="74"/>
        <v>17.5</v>
      </c>
      <c r="AT170" s="68"/>
      <c r="AU170" s="69">
        <v>201.33846153846147</v>
      </c>
      <c r="AV170" s="62">
        <f t="shared" si="70"/>
        <v>169.09999999999997</v>
      </c>
      <c r="AW170" s="54">
        <f t="shared" si="65"/>
        <v>13.350000000000001</v>
      </c>
      <c r="AX170" s="54">
        <f t="shared" si="65"/>
        <v>13.350000000000001</v>
      </c>
      <c r="AY170" s="54">
        <f t="shared" si="65"/>
        <v>13.350000000000001</v>
      </c>
      <c r="AZ170" s="54">
        <f t="shared" si="64"/>
        <v>13.350000000000001</v>
      </c>
      <c r="BA170" s="54">
        <f t="shared" si="64"/>
        <v>22.25</v>
      </c>
      <c r="BB170" s="54">
        <f t="shared" si="64"/>
        <v>13.350000000000001</v>
      </c>
      <c r="BC170" s="54">
        <f t="shared" si="64"/>
        <v>13.350000000000001</v>
      </c>
      <c r="BD170" s="54">
        <f t="shared" si="64"/>
        <v>13.350000000000001</v>
      </c>
      <c r="BE170" s="54">
        <f t="shared" si="64"/>
        <v>13.350000000000001</v>
      </c>
      <c r="BF170" s="54">
        <f t="shared" si="71"/>
        <v>13.350000000000001</v>
      </c>
      <c r="BG170" s="54">
        <f t="shared" si="71"/>
        <v>13.350000000000001</v>
      </c>
      <c r="BH170" s="54">
        <f t="shared" si="71"/>
        <v>13.350000000000001</v>
      </c>
      <c r="BI170" s="62">
        <f t="shared" si="68"/>
        <v>-169.10000000000002</v>
      </c>
      <c r="BJ170" s="59">
        <f t="shared" si="83"/>
        <v>-80.100000000000009</v>
      </c>
      <c r="BK170" s="59">
        <f t="shared" si="83"/>
        <v>-89</v>
      </c>
      <c r="BL170" s="59">
        <f t="shared" si="83"/>
        <v>0</v>
      </c>
      <c r="BM170" s="59">
        <f t="shared" si="83"/>
        <v>0</v>
      </c>
      <c r="BN170" s="59">
        <f t="shared" si="83"/>
        <v>0</v>
      </c>
      <c r="BO170" s="59">
        <f t="shared" si="83"/>
        <v>0</v>
      </c>
      <c r="BP170" s="59">
        <f t="shared" si="82"/>
        <v>0</v>
      </c>
      <c r="BQ170" s="59">
        <f t="shared" si="82"/>
        <v>0</v>
      </c>
      <c r="BR170" s="59">
        <f t="shared" si="82"/>
        <v>0</v>
      </c>
      <c r="BS170" s="59">
        <f t="shared" si="82"/>
        <v>0</v>
      </c>
      <c r="BT170" s="59">
        <f t="shared" si="82"/>
        <v>0</v>
      </c>
      <c r="BU170" s="59">
        <f t="shared" si="82"/>
        <v>0</v>
      </c>
      <c r="BV170" s="67">
        <f t="shared" si="75"/>
        <v>201.33846153846139</v>
      </c>
      <c r="BX170" s="54">
        <f t="shared" si="76"/>
        <v>18.268421052631581</v>
      </c>
      <c r="BY170" s="54">
        <f t="shared" si="76"/>
        <v>18.268421052631581</v>
      </c>
      <c r="BZ170" s="54">
        <f t="shared" si="76"/>
        <v>18.268421052631581</v>
      </c>
      <c r="CA170" s="54">
        <f t="shared" si="76"/>
        <v>18.268421052631581</v>
      </c>
      <c r="CB170" s="54">
        <f t="shared" si="76"/>
        <v>30.44736842105263</v>
      </c>
      <c r="CC170" s="54">
        <f t="shared" si="76"/>
        <v>18.268421052631581</v>
      </c>
      <c r="CD170" s="54">
        <f t="shared" si="76"/>
        <v>18.268421052631581</v>
      </c>
      <c r="CE170" s="54">
        <f t="shared" si="76"/>
        <v>18.268421052631581</v>
      </c>
      <c r="CF170" s="54">
        <f t="shared" si="76"/>
        <v>18.268421052631581</v>
      </c>
      <c r="CG170" s="54">
        <f t="shared" si="85"/>
        <v>18.268421052631581</v>
      </c>
      <c r="CH170" s="54">
        <f t="shared" si="85"/>
        <v>18.268421052631581</v>
      </c>
      <c r="CI170" s="54">
        <f t="shared" si="85"/>
        <v>18.268421052631581</v>
      </c>
      <c r="CJ170" s="74">
        <f t="shared" ref="CJ170:CJ188" si="88">SUM(BX170:CI170)</f>
        <v>231.40000000000009</v>
      </c>
      <c r="CK170" s="59">
        <f t="shared" si="80"/>
        <v>19</v>
      </c>
      <c r="CL170" s="9">
        <f t="shared" si="81"/>
        <v>0</v>
      </c>
      <c r="CM170" s="71">
        <f t="shared" si="77"/>
        <v>231.4</v>
      </c>
      <c r="CN170" s="72"/>
      <c r="CO170" s="73"/>
    </row>
    <row r="171" spans="1:94" ht="20.25" customHeight="1">
      <c r="A171" s="1" t="s">
        <v>461</v>
      </c>
      <c r="B171" s="1" t="s">
        <v>462</v>
      </c>
      <c r="C171" s="1" t="s">
        <v>463</v>
      </c>
      <c r="D171" s="58">
        <f>+VLOOKUP(A171,'[1]BDD-Avk Tx'!B:CE,82,0)</f>
        <v>420</v>
      </c>
      <c r="E171" s="59">
        <v>200.2</v>
      </c>
      <c r="G171" s="4">
        <v>43252</v>
      </c>
      <c r="H171" s="4">
        <f t="shared" si="72"/>
        <v>45647</v>
      </c>
      <c r="I171" s="60" t="str">
        <f>+VLOOKUP(A171,'[1]BDD-Avk Tx'!B:BZ,77,0)</f>
        <v>CDI</v>
      </c>
      <c r="J171" s="4">
        <f t="shared" si="73"/>
        <v>45647</v>
      </c>
      <c r="N171" s="3"/>
      <c r="P171" s="54">
        <f t="shared" si="78"/>
        <v>7.5</v>
      </c>
      <c r="Q171" s="61">
        <v>20.5</v>
      </c>
      <c r="R171" s="62">
        <f t="shared" si="79"/>
        <v>19</v>
      </c>
      <c r="S171" s="54">
        <f t="shared" si="87"/>
        <v>1.5</v>
      </c>
      <c r="T171" s="54">
        <f t="shared" si="86"/>
        <v>1.5</v>
      </c>
      <c r="U171" s="54">
        <f t="shared" si="86"/>
        <v>1.5</v>
      </c>
      <c r="V171" s="54">
        <f t="shared" si="86"/>
        <v>1.5</v>
      </c>
      <c r="W171" s="54">
        <f t="shared" si="86"/>
        <v>1.5</v>
      </c>
      <c r="X171" s="54">
        <f t="shared" si="86"/>
        <v>1.5</v>
      </c>
      <c r="Y171" s="54">
        <f t="shared" si="86"/>
        <v>2.5</v>
      </c>
      <c r="Z171" s="54">
        <f t="shared" si="86"/>
        <v>1.5</v>
      </c>
      <c r="AA171" s="54">
        <f t="shared" si="86"/>
        <v>1.5</v>
      </c>
      <c r="AB171" s="54">
        <f t="shared" si="86"/>
        <v>1.5</v>
      </c>
      <c r="AC171" s="54">
        <f t="shared" si="86"/>
        <v>1.5</v>
      </c>
      <c r="AD171" s="54">
        <f t="shared" si="86"/>
        <v>1.5</v>
      </c>
      <c r="AF171" s="62">
        <f t="shared" si="84"/>
        <v>17</v>
      </c>
      <c r="AG171" s="64">
        <v>0</v>
      </c>
      <c r="AH171" s="64">
        <v>3</v>
      </c>
      <c r="AI171" s="65">
        <v>14</v>
      </c>
      <c r="AJ171" s="66"/>
      <c r="AK171" s="64"/>
      <c r="AL171" s="64"/>
      <c r="AM171" s="64"/>
      <c r="AN171" s="64"/>
      <c r="AO171" s="64"/>
      <c r="AP171" s="64"/>
      <c r="AQ171" s="64"/>
      <c r="AR171" s="64"/>
      <c r="AS171" s="67">
        <f t="shared" si="74"/>
        <v>22.5</v>
      </c>
      <c r="AT171" s="68"/>
      <c r="AU171" s="69">
        <v>150.46923076923105</v>
      </c>
      <c r="AV171" s="62">
        <f t="shared" si="70"/>
        <v>146.30000000000001</v>
      </c>
      <c r="AW171" s="54">
        <f t="shared" si="65"/>
        <v>11.549999999999999</v>
      </c>
      <c r="AX171" s="54">
        <f t="shared" si="65"/>
        <v>11.549999999999999</v>
      </c>
      <c r="AY171" s="54">
        <f t="shared" si="65"/>
        <v>11.549999999999999</v>
      </c>
      <c r="AZ171" s="54">
        <f t="shared" si="64"/>
        <v>11.549999999999999</v>
      </c>
      <c r="BA171" s="54">
        <f t="shared" si="64"/>
        <v>11.549999999999999</v>
      </c>
      <c r="BB171" s="54">
        <f t="shared" si="64"/>
        <v>11.549999999999999</v>
      </c>
      <c r="BC171" s="54">
        <f t="shared" ref="BC171:BH233" si="89">+IF($K171="",$E171/26*Y171,IF(MONTH($K171)=MONTH(BC$5),$L171/26*Y171,IF(AND($K171&lt;BC$5,(MONTH($K171)&lt;&gt;MONTH(BC$5))),$L171/26*Y171,$E171/26*Y171)))</f>
        <v>19.25</v>
      </c>
      <c r="BD171" s="54">
        <f t="shared" si="89"/>
        <v>11.549999999999999</v>
      </c>
      <c r="BE171" s="54">
        <f t="shared" si="89"/>
        <v>11.549999999999999</v>
      </c>
      <c r="BF171" s="54">
        <f t="shared" si="71"/>
        <v>11.549999999999999</v>
      </c>
      <c r="BG171" s="54">
        <f t="shared" si="71"/>
        <v>11.549999999999999</v>
      </c>
      <c r="BH171" s="54">
        <f t="shared" si="71"/>
        <v>11.549999999999999</v>
      </c>
      <c r="BI171" s="62">
        <f t="shared" si="68"/>
        <v>-130.89999999999998</v>
      </c>
      <c r="BJ171" s="59">
        <f t="shared" si="83"/>
        <v>0</v>
      </c>
      <c r="BK171" s="59">
        <f t="shared" si="83"/>
        <v>-23.099999999999998</v>
      </c>
      <c r="BL171" s="59">
        <f t="shared" si="83"/>
        <v>-107.79999999999998</v>
      </c>
      <c r="BM171" s="59">
        <f t="shared" si="83"/>
        <v>0</v>
      </c>
      <c r="BN171" s="59">
        <f t="shared" si="83"/>
        <v>0</v>
      </c>
      <c r="BO171" s="59">
        <f t="shared" si="83"/>
        <v>0</v>
      </c>
      <c r="BP171" s="59">
        <f t="shared" si="82"/>
        <v>0</v>
      </c>
      <c r="BQ171" s="59">
        <f t="shared" si="82"/>
        <v>0</v>
      </c>
      <c r="BR171" s="59">
        <f t="shared" si="82"/>
        <v>0</v>
      </c>
      <c r="BS171" s="59">
        <f t="shared" si="82"/>
        <v>0</v>
      </c>
      <c r="BT171" s="59">
        <f t="shared" si="82"/>
        <v>0</v>
      </c>
      <c r="BU171" s="59">
        <f t="shared" si="82"/>
        <v>0</v>
      </c>
      <c r="BV171" s="67">
        <f t="shared" si="75"/>
        <v>165.86923076923108</v>
      </c>
      <c r="BX171" s="54">
        <f t="shared" si="76"/>
        <v>15.805263157894736</v>
      </c>
      <c r="BY171" s="54">
        <f t="shared" si="76"/>
        <v>15.805263157894736</v>
      </c>
      <c r="BZ171" s="54">
        <f t="shared" si="76"/>
        <v>15.805263157894736</v>
      </c>
      <c r="CA171" s="54">
        <f t="shared" si="76"/>
        <v>15.805263157894736</v>
      </c>
      <c r="CB171" s="54">
        <f t="shared" si="76"/>
        <v>15.805263157894736</v>
      </c>
      <c r="CC171" s="54">
        <f t="shared" si="76"/>
        <v>15.805263157894736</v>
      </c>
      <c r="CD171" s="54">
        <f t="shared" si="76"/>
        <v>26.34210526315789</v>
      </c>
      <c r="CE171" s="54">
        <f t="shared" si="76"/>
        <v>15.805263157894736</v>
      </c>
      <c r="CF171" s="54">
        <f t="shared" si="76"/>
        <v>15.805263157894736</v>
      </c>
      <c r="CG171" s="54">
        <f t="shared" si="85"/>
        <v>15.805263157894736</v>
      </c>
      <c r="CH171" s="54">
        <f t="shared" si="85"/>
        <v>15.805263157894736</v>
      </c>
      <c r="CI171" s="54">
        <f t="shared" si="85"/>
        <v>15.805263157894736</v>
      </c>
      <c r="CJ171" s="74">
        <f t="shared" si="88"/>
        <v>200.19999999999993</v>
      </c>
      <c r="CK171" s="59">
        <f t="shared" si="80"/>
        <v>19</v>
      </c>
      <c r="CL171" s="9">
        <f t="shared" si="81"/>
        <v>0</v>
      </c>
      <c r="CM171" s="71">
        <f t="shared" si="77"/>
        <v>200.2</v>
      </c>
      <c r="CN171" s="54"/>
      <c r="CO171" s="73"/>
      <c r="CP171" s="56"/>
    </row>
    <row r="172" spans="1:94" ht="20.25" customHeight="1">
      <c r="A172" s="1" t="s">
        <v>464</v>
      </c>
      <c r="B172" s="1" t="s">
        <v>465</v>
      </c>
      <c r="C172" s="1" t="s">
        <v>403</v>
      </c>
      <c r="D172" s="58">
        <f>+VLOOKUP(A172,'[1]BDD-Avk Tx'!B:CE,82,0)</f>
        <v>650</v>
      </c>
      <c r="E172" s="59">
        <v>150.80000000000001</v>
      </c>
      <c r="G172" s="4">
        <v>43243</v>
      </c>
      <c r="H172" s="4">
        <f t="shared" si="72"/>
        <v>45647</v>
      </c>
      <c r="I172" s="60" t="str">
        <f>+VLOOKUP(A172,'[1]BDD-Avk Tx'!B:BZ,77,0)</f>
        <v>CDI</v>
      </c>
      <c r="J172" s="4">
        <f t="shared" si="73"/>
        <v>45647</v>
      </c>
      <c r="N172" s="3"/>
      <c r="P172" s="54">
        <f t="shared" si="78"/>
        <v>7.5</v>
      </c>
      <c r="Q172" s="61">
        <v>0.5</v>
      </c>
      <c r="R172" s="62">
        <f t="shared" si="79"/>
        <v>19</v>
      </c>
      <c r="S172" s="54">
        <f t="shared" si="87"/>
        <v>1.5</v>
      </c>
      <c r="T172" s="54">
        <f t="shared" si="86"/>
        <v>1.5</v>
      </c>
      <c r="U172" s="54">
        <f t="shared" si="86"/>
        <v>1.5</v>
      </c>
      <c r="V172" s="54">
        <f t="shared" si="86"/>
        <v>1.5</v>
      </c>
      <c r="W172" s="54">
        <f t="shared" si="86"/>
        <v>1.5</v>
      </c>
      <c r="X172" s="54">
        <f t="shared" si="86"/>
        <v>2.5</v>
      </c>
      <c r="Y172" s="54">
        <f t="shared" si="86"/>
        <v>1.5</v>
      </c>
      <c r="Z172" s="54">
        <f t="shared" si="86"/>
        <v>1.5</v>
      </c>
      <c r="AA172" s="54">
        <f t="shared" si="86"/>
        <v>1.5</v>
      </c>
      <c r="AB172" s="54">
        <f t="shared" si="86"/>
        <v>1.5</v>
      </c>
      <c r="AC172" s="54">
        <f t="shared" si="86"/>
        <v>1.5</v>
      </c>
      <c r="AD172" s="54">
        <f t="shared" si="86"/>
        <v>1.5</v>
      </c>
      <c r="AF172" s="62">
        <f t="shared" si="84"/>
        <v>0</v>
      </c>
      <c r="AG172" s="64">
        <v>0</v>
      </c>
      <c r="AH172" s="64">
        <v>0</v>
      </c>
      <c r="AI172" s="65">
        <v>0</v>
      </c>
      <c r="AJ172" s="66"/>
      <c r="AK172" s="64"/>
      <c r="AL172" s="64"/>
      <c r="AM172" s="64"/>
      <c r="AN172" s="64"/>
      <c r="AO172" s="64"/>
      <c r="AP172" s="64"/>
      <c r="AQ172" s="64"/>
      <c r="AR172" s="64"/>
      <c r="AS172" s="67">
        <f t="shared" si="74"/>
        <v>19.5</v>
      </c>
      <c r="AT172" s="68"/>
      <c r="AU172" s="69">
        <v>2.1461538461538794</v>
      </c>
      <c r="AV172" s="62">
        <f t="shared" si="70"/>
        <v>110.20000000000002</v>
      </c>
      <c r="AW172" s="54">
        <f t="shared" si="65"/>
        <v>8.7000000000000011</v>
      </c>
      <c r="AX172" s="54">
        <f t="shared" si="65"/>
        <v>8.7000000000000011</v>
      </c>
      <c r="AY172" s="54">
        <f t="shared" si="65"/>
        <v>8.7000000000000011</v>
      </c>
      <c r="AZ172" s="54">
        <f t="shared" si="65"/>
        <v>8.7000000000000011</v>
      </c>
      <c r="BA172" s="54">
        <f t="shared" si="65"/>
        <v>8.7000000000000011</v>
      </c>
      <c r="BB172" s="54">
        <f t="shared" si="65"/>
        <v>14.500000000000002</v>
      </c>
      <c r="BC172" s="54">
        <f t="shared" si="89"/>
        <v>8.7000000000000011</v>
      </c>
      <c r="BD172" s="54">
        <f t="shared" si="89"/>
        <v>8.7000000000000011</v>
      </c>
      <c r="BE172" s="54">
        <f t="shared" si="89"/>
        <v>8.7000000000000011</v>
      </c>
      <c r="BF172" s="54">
        <f t="shared" si="71"/>
        <v>8.7000000000000011</v>
      </c>
      <c r="BG172" s="54">
        <f t="shared" si="71"/>
        <v>8.7000000000000011</v>
      </c>
      <c r="BH172" s="54">
        <f t="shared" si="71"/>
        <v>8.7000000000000011</v>
      </c>
      <c r="BI172" s="62">
        <f t="shared" si="68"/>
        <v>0</v>
      </c>
      <c r="BJ172" s="59">
        <f t="shared" si="83"/>
        <v>0</v>
      </c>
      <c r="BK172" s="59">
        <f t="shared" si="83"/>
        <v>0</v>
      </c>
      <c r="BL172" s="59">
        <f t="shared" si="83"/>
        <v>0</v>
      </c>
      <c r="BM172" s="59">
        <f t="shared" si="83"/>
        <v>0</v>
      </c>
      <c r="BN172" s="59">
        <f t="shared" si="83"/>
        <v>0</v>
      </c>
      <c r="BO172" s="59">
        <f t="shared" si="83"/>
        <v>0</v>
      </c>
      <c r="BP172" s="59">
        <f t="shared" si="82"/>
        <v>0</v>
      </c>
      <c r="BQ172" s="59">
        <f t="shared" si="82"/>
        <v>0</v>
      </c>
      <c r="BR172" s="59">
        <f t="shared" si="82"/>
        <v>0</v>
      </c>
      <c r="BS172" s="59">
        <f t="shared" si="82"/>
        <v>0</v>
      </c>
      <c r="BT172" s="59">
        <f t="shared" si="82"/>
        <v>0</v>
      </c>
      <c r="BU172" s="59">
        <f t="shared" si="82"/>
        <v>0</v>
      </c>
      <c r="BV172" s="67">
        <f t="shared" si="75"/>
        <v>112.3461538461539</v>
      </c>
      <c r="BX172" s="54">
        <f t="shared" si="76"/>
        <v>11.905263157894737</v>
      </c>
      <c r="BY172" s="54">
        <f t="shared" si="76"/>
        <v>11.905263157894737</v>
      </c>
      <c r="BZ172" s="54">
        <f t="shared" si="76"/>
        <v>11.905263157894737</v>
      </c>
      <c r="CA172" s="54">
        <f t="shared" si="76"/>
        <v>11.905263157894737</v>
      </c>
      <c r="CB172" s="54">
        <f t="shared" si="76"/>
        <v>11.905263157894737</v>
      </c>
      <c r="CC172" s="54">
        <f t="shared" si="76"/>
        <v>19.842105263157897</v>
      </c>
      <c r="CD172" s="54">
        <f t="shared" si="76"/>
        <v>11.905263157894737</v>
      </c>
      <c r="CE172" s="54">
        <f t="shared" si="76"/>
        <v>11.905263157894737</v>
      </c>
      <c r="CF172" s="54">
        <f t="shared" si="76"/>
        <v>11.905263157894737</v>
      </c>
      <c r="CG172" s="54">
        <f t="shared" si="85"/>
        <v>11.905263157894737</v>
      </c>
      <c r="CH172" s="54">
        <f t="shared" si="85"/>
        <v>11.905263157894737</v>
      </c>
      <c r="CI172" s="54">
        <f t="shared" si="85"/>
        <v>11.905263157894737</v>
      </c>
      <c r="CJ172" s="74">
        <f t="shared" si="88"/>
        <v>150.80000000000001</v>
      </c>
      <c r="CK172" s="59">
        <f t="shared" si="80"/>
        <v>19</v>
      </c>
      <c r="CL172" s="9">
        <f t="shared" si="81"/>
        <v>0</v>
      </c>
      <c r="CM172" s="71">
        <f t="shared" si="77"/>
        <v>150.80000000000001</v>
      </c>
      <c r="CN172" s="54"/>
      <c r="CO172" s="73"/>
      <c r="CP172" s="56"/>
    </row>
    <row r="173" spans="1:94" ht="20.25" customHeight="1">
      <c r="A173" s="75" t="s">
        <v>466</v>
      </c>
      <c r="B173" s="1" t="s">
        <v>467</v>
      </c>
      <c r="C173" s="1" t="s">
        <v>403</v>
      </c>
      <c r="D173" s="58">
        <f>+VLOOKUP(A173,'[1]BDD-Avk Tx'!B:CE,82,0)</f>
        <v>650</v>
      </c>
      <c r="E173" s="59">
        <v>150.80000000000001</v>
      </c>
      <c r="G173" s="4">
        <v>43243</v>
      </c>
      <c r="H173" s="4">
        <f t="shared" si="72"/>
        <v>45647</v>
      </c>
      <c r="I173" s="60" t="str">
        <f>+VLOOKUP(A173,'[1]BDD-Avk Tx'!B:BZ,77,0)</f>
        <v>CDI</v>
      </c>
      <c r="J173" s="4">
        <f t="shared" si="73"/>
        <v>45647</v>
      </c>
      <c r="N173" s="3"/>
      <c r="P173" s="54">
        <f t="shared" si="78"/>
        <v>7.5</v>
      </c>
      <c r="Q173" s="61">
        <v>18.5</v>
      </c>
      <c r="R173" s="62">
        <f t="shared" si="79"/>
        <v>19</v>
      </c>
      <c r="S173" s="54">
        <f t="shared" si="87"/>
        <v>1.5</v>
      </c>
      <c r="T173" s="54">
        <f t="shared" si="86"/>
        <v>1.5</v>
      </c>
      <c r="U173" s="54">
        <f t="shared" si="86"/>
        <v>1.5</v>
      </c>
      <c r="V173" s="54">
        <f t="shared" si="86"/>
        <v>1.5</v>
      </c>
      <c r="W173" s="54">
        <f t="shared" si="86"/>
        <v>1.5</v>
      </c>
      <c r="X173" s="54">
        <f t="shared" si="86"/>
        <v>2.5</v>
      </c>
      <c r="Y173" s="54">
        <f t="shared" si="86"/>
        <v>1.5</v>
      </c>
      <c r="Z173" s="54">
        <f t="shared" si="86"/>
        <v>1.5</v>
      </c>
      <c r="AA173" s="54">
        <f t="shared" si="86"/>
        <v>1.5</v>
      </c>
      <c r="AB173" s="54">
        <f t="shared" si="86"/>
        <v>1.5</v>
      </c>
      <c r="AC173" s="54">
        <f t="shared" si="86"/>
        <v>1.5</v>
      </c>
      <c r="AD173" s="54">
        <f t="shared" si="86"/>
        <v>1.5</v>
      </c>
      <c r="AF173" s="62">
        <f t="shared" si="84"/>
        <v>18</v>
      </c>
      <c r="AG173" s="64">
        <v>0</v>
      </c>
      <c r="AH173" s="64">
        <v>15</v>
      </c>
      <c r="AI173" s="65">
        <v>3</v>
      </c>
      <c r="AJ173" s="66"/>
      <c r="AK173" s="64"/>
      <c r="AL173" s="64"/>
      <c r="AM173" s="64"/>
      <c r="AN173" s="64"/>
      <c r="AO173" s="64"/>
      <c r="AP173" s="64"/>
      <c r="AQ173" s="64"/>
      <c r="AR173" s="64"/>
      <c r="AS173" s="67">
        <f t="shared" si="74"/>
        <v>19.5</v>
      </c>
      <c r="AT173" s="68"/>
      <c r="AU173" s="69">
        <v>106.269230769231</v>
      </c>
      <c r="AV173" s="62">
        <f t="shared" si="70"/>
        <v>110.20000000000002</v>
      </c>
      <c r="AW173" s="54">
        <f t="shared" si="65"/>
        <v>8.7000000000000011</v>
      </c>
      <c r="AX173" s="54">
        <f t="shared" si="65"/>
        <v>8.7000000000000011</v>
      </c>
      <c r="AY173" s="54">
        <f t="shared" si="65"/>
        <v>8.7000000000000011</v>
      </c>
      <c r="AZ173" s="54">
        <f t="shared" si="65"/>
        <v>8.7000000000000011</v>
      </c>
      <c r="BA173" s="54">
        <f t="shared" si="65"/>
        <v>8.7000000000000011</v>
      </c>
      <c r="BB173" s="54">
        <f t="shared" si="65"/>
        <v>14.500000000000002</v>
      </c>
      <c r="BC173" s="54">
        <f t="shared" si="89"/>
        <v>8.7000000000000011</v>
      </c>
      <c r="BD173" s="54">
        <f t="shared" si="89"/>
        <v>8.7000000000000011</v>
      </c>
      <c r="BE173" s="54">
        <f t="shared" si="89"/>
        <v>8.7000000000000011</v>
      </c>
      <c r="BF173" s="54">
        <f t="shared" si="71"/>
        <v>8.7000000000000011</v>
      </c>
      <c r="BG173" s="54">
        <f t="shared" si="71"/>
        <v>8.7000000000000011</v>
      </c>
      <c r="BH173" s="54">
        <f t="shared" si="71"/>
        <v>8.7000000000000011</v>
      </c>
      <c r="BI173" s="62">
        <f t="shared" si="68"/>
        <v>-104.40000000000002</v>
      </c>
      <c r="BJ173" s="59">
        <f t="shared" si="83"/>
        <v>0</v>
      </c>
      <c r="BK173" s="59">
        <f t="shared" si="83"/>
        <v>-87.000000000000014</v>
      </c>
      <c r="BL173" s="59">
        <f t="shared" si="83"/>
        <v>-17.400000000000002</v>
      </c>
      <c r="BM173" s="59">
        <f t="shared" si="83"/>
        <v>0</v>
      </c>
      <c r="BN173" s="59">
        <f t="shared" si="83"/>
        <v>0</v>
      </c>
      <c r="BO173" s="59">
        <f t="shared" si="83"/>
        <v>0</v>
      </c>
      <c r="BP173" s="59">
        <f t="shared" si="82"/>
        <v>0</v>
      </c>
      <c r="BQ173" s="59">
        <f t="shared" si="82"/>
        <v>0</v>
      </c>
      <c r="BR173" s="59">
        <f t="shared" si="82"/>
        <v>0</v>
      </c>
      <c r="BS173" s="59">
        <f t="shared" si="82"/>
        <v>0</v>
      </c>
      <c r="BT173" s="59">
        <f t="shared" si="82"/>
        <v>0</v>
      </c>
      <c r="BU173" s="59">
        <f t="shared" si="82"/>
        <v>0</v>
      </c>
      <c r="BV173" s="67">
        <f t="shared" si="75"/>
        <v>112.069230769231</v>
      </c>
      <c r="BX173" s="54">
        <f t="shared" si="76"/>
        <v>11.905263157894737</v>
      </c>
      <c r="BY173" s="54">
        <f t="shared" si="76"/>
        <v>11.905263157894737</v>
      </c>
      <c r="BZ173" s="54">
        <f t="shared" si="76"/>
        <v>11.905263157894737</v>
      </c>
      <c r="CA173" s="54">
        <f t="shared" si="76"/>
        <v>11.905263157894737</v>
      </c>
      <c r="CB173" s="54">
        <f t="shared" si="76"/>
        <v>11.905263157894737</v>
      </c>
      <c r="CC173" s="54">
        <f t="shared" si="76"/>
        <v>19.842105263157897</v>
      </c>
      <c r="CD173" s="54">
        <f t="shared" si="76"/>
        <v>11.905263157894737</v>
      </c>
      <c r="CE173" s="54">
        <f t="shared" si="76"/>
        <v>11.905263157894737</v>
      </c>
      <c r="CF173" s="54">
        <f t="shared" si="76"/>
        <v>11.905263157894737</v>
      </c>
      <c r="CG173" s="54">
        <f t="shared" si="85"/>
        <v>11.905263157894737</v>
      </c>
      <c r="CH173" s="54">
        <f t="shared" si="85"/>
        <v>11.905263157894737</v>
      </c>
      <c r="CI173" s="54">
        <f t="shared" si="85"/>
        <v>11.905263157894737</v>
      </c>
      <c r="CJ173" s="74">
        <f t="shared" si="88"/>
        <v>150.80000000000001</v>
      </c>
      <c r="CK173" s="59">
        <f t="shared" si="80"/>
        <v>19</v>
      </c>
      <c r="CL173" s="9">
        <f t="shared" si="81"/>
        <v>0</v>
      </c>
      <c r="CM173" s="71">
        <f t="shared" si="77"/>
        <v>150.80000000000001</v>
      </c>
      <c r="CN173" s="72"/>
      <c r="CO173" s="73"/>
    </row>
    <row r="174" spans="1:94" ht="20.25" customHeight="1">
      <c r="A174" s="1" t="s">
        <v>468</v>
      </c>
      <c r="B174" s="1" t="s">
        <v>469</v>
      </c>
      <c r="C174" s="1" t="s">
        <v>403</v>
      </c>
      <c r="D174" s="58">
        <f>+VLOOKUP(A174,'[1]BDD-Avk Tx'!B:CE,82,0)</f>
        <v>650</v>
      </c>
      <c r="E174" s="59">
        <v>150.80000000000001</v>
      </c>
      <c r="G174" s="4">
        <v>43369</v>
      </c>
      <c r="H174" s="4">
        <f t="shared" si="72"/>
        <v>45647</v>
      </c>
      <c r="I174" s="60" t="str">
        <f>+VLOOKUP(A174,'[1]BDD-Avk Tx'!B:BZ,77,0)</f>
        <v>CDI</v>
      </c>
      <c r="J174" s="4">
        <f t="shared" si="73"/>
        <v>45647</v>
      </c>
      <c r="N174" s="3"/>
      <c r="P174" s="54">
        <f t="shared" si="78"/>
        <v>7.166666666666667</v>
      </c>
      <c r="Q174" s="61">
        <v>10.5</v>
      </c>
      <c r="R174" s="62">
        <f t="shared" si="79"/>
        <v>19</v>
      </c>
      <c r="S174" s="54">
        <f t="shared" si="87"/>
        <v>1.5</v>
      </c>
      <c r="T174" s="54">
        <f t="shared" si="86"/>
        <v>1.5</v>
      </c>
      <c r="U174" s="54">
        <f t="shared" si="86"/>
        <v>1.5</v>
      </c>
      <c r="V174" s="54">
        <f t="shared" si="86"/>
        <v>1.5</v>
      </c>
      <c r="W174" s="54">
        <f t="shared" si="86"/>
        <v>1.5</v>
      </c>
      <c r="X174" s="54">
        <f t="shared" si="86"/>
        <v>1.5</v>
      </c>
      <c r="Y174" s="54">
        <f t="shared" si="86"/>
        <v>1.5</v>
      </c>
      <c r="Z174" s="54">
        <f t="shared" si="86"/>
        <v>1.5</v>
      </c>
      <c r="AA174" s="54">
        <f t="shared" si="86"/>
        <v>1.5</v>
      </c>
      <c r="AB174" s="54">
        <f t="shared" si="86"/>
        <v>2.5</v>
      </c>
      <c r="AC174" s="54">
        <f t="shared" si="86"/>
        <v>1.5</v>
      </c>
      <c r="AD174" s="54">
        <f t="shared" si="86"/>
        <v>1.5</v>
      </c>
      <c r="AF174" s="62">
        <f t="shared" si="84"/>
        <v>9</v>
      </c>
      <c r="AG174" s="64">
        <v>9</v>
      </c>
      <c r="AH174" s="64">
        <v>0</v>
      </c>
      <c r="AI174" s="65">
        <v>0</v>
      </c>
      <c r="AJ174" s="66"/>
      <c r="AK174" s="64"/>
      <c r="AL174" s="64"/>
      <c r="AM174" s="64"/>
      <c r="AN174" s="64"/>
      <c r="AO174" s="64"/>
      <c r="AP174" s="64"/>
      <c r="AQ174" s="64"/>
      <c r="AR174" s="64"/>
      <c r="AS174" s="67">
        <f t="shared" si="74"/>
        <v>20.5</v>
      </c>
      <c r="AT174" s="68"/>
      <c r="AU174" s="69">
        <v>59.776923076922969</v>
      </c>
      <c r="AV174" s="62">
        <f t="shared" si="70"/>
        <v>110.20000000000002</v>
      </c>
      <c r="AW174" s="54">
        <f t="shared" si="65"/>
        <v>8.7000000000000011</v>
      </c>
      <c r="AX174" s="54">
        <f t="shared" si="65"/>
        <v>8.7000000000000011</v>
      </c>
      <c r="AY174" s="54">
        <f t="shared" si="65"/>
        <v>8.7000000000000011</v>
      </c>
      <c r="AZ174" s="54">
        <f t="shared" si="65"/>
        <v>8.7000000000000011</v>
      </c>
      <c r="BA174" s="54">
        <f t="shared" si="65"/>
        <v>8.7000000000000011</v>
      </c>
      <c r="BB174" s="54">
        <f t="shared" si="65"/>
        <v>8.7000000000000011</v>
      </c>
      <c r="BC174" s="54">
        <f t="shared" si="89"/>
        <v>8.7000000000000011</v>
      </c>
      <c r="BD174" s="54">
        <f t="shared" si="89"/>
        <v>8.7000000000000011</v>
      </c>
      <c r="BE174" s="54">
        <f t="shared" si="89"/>
        <v>8.7000000000000011</v>
      </c>
      <c r="BF174" s="54">
        <f t="shared" si="71"/>
        <v>14.500000000000002</v>
      </c>
      <c r="BG174" s="54">
        <f t="shared" si="71"/>
        <v>8.7000000000000011</v>
      </c>
      <c r="BH174" s="54">
        <f t="shared" si="71"/>
        <v>8.7000000000000011</v>
      </c>
      <c r="BI174" s="62">
        <f t="shared" si="68"/>
        <v>-52.2</v>
      </c>
      <c r="BJ174" s="59">
        <f t="shared" si="83"/>
        <v>-52.2</v>
      </c>
      <c r="BK174" s="59">
        <f t="shared" si="83"/>
        <v>0</v>
      </c>
      <c r="BL174" s="59">
        <f t="shared" si="83"/>
        <v>0</v>
      </c>
      <c r="BM174" s="59">
        <f t="shared" si="83"/>
        <v>0</v>
      </c>
      <c r="BN174" s="59">
        <f t="shared" si="83"/>
        <v>0</v>
      </c>
      <c r="BO174" s="59">
        <f t="shared" si="83"/>
        <v>0</v>
      </c>
      <c r="BP174" s="59">
        <f t="shared" si="82"/>
        <v>0</v>
      </c>
      <c r="BQ174" s="59">
        <f t="shared" si="82"/>
        <v>0</v>
      </c>
      <c r="BR174" s="59">
        <f t="shared" si="82"/>
        <v>0</v>
      </c>
      <c r="BS174" s="59">
        <f t="shared" si="82"/>
        <v>0</v>
      </c>
      <c r="BT174" s="59">
        <f t="shared" si="82"/>
        <v>0</v>
      </c>
      <c r="BU174" s="59">
        <f t="shared" si="82"/>
        <v>0</v>
      </c>
      <c r="BV174" s="67">
        <f t="shared" si="75"/>
        <v>117.77692307692298</v>
      </c>
      <c r="BX174" s="54">
        <f t="shared" si="76"/>
        <v>11.905263157894737</v>
      </c>
      <c r="BY174" s="54">
        <f t="shared" si="76"/>
        <v>11.905263157894737</v>
      </c>
      <c r="BZ174" s="54">
        <f t="shared" si="76"/>
        <v>11.905263157894737</v>
      </c>
      <c r="CA174" s="54">
        <f t="shared" ref="CA174:CF229" si="90">+IF(AND($J174&gt;CA$5,MONTH($J174&lt;&gt;CA$5)),0,+IF(AND($J174&gt;CA$5,MONTH($J174=CA$5)),$E174/$R174*DAY($J174),IF(AND($O174&lt;&gt;"",$O174&lt;CA$5),0,IF($K174="",$E174/$R174*V174,IF(MONTH($K174)=MONTH(CA$5),$L174/$R174*V174,IF(AND($K174&lt;CA$5,(MONTH($K174)&lt;&gt;MONTH(CA$5))),$L174/$R174*V174,$E174/$R174*V174))))))</f>
        <v>11.905263157894737</v>
      </c>
      <c r="CB174" s="54">
        <f t="shared" si="90"/>
        <v>11.905263157894737</v>
      </c>
      <c r="CC174" s="54">
        <f t="shared" si="90"/>
        <v>11.905263157894737</v>
      </c>
      <c r="CD174" s="54">
        <f t="shared" si="90"/>
        <v>11.905263157894737</v>
      </c>
      <c r="CE174" s="54">
        <f t="shared" si="90"/>
        <v>11.905263157894737</v>
      </c>
      <c r="CF174" s="54">
        <f t="shared" si="90"/>
        <v>11.905263157894737</v>
      </c>
      <c r="CG174" s="54">
        <f t="shared" si="85"/>
        <v>19.842105263157897</v>
      </c>
      <c r="CH174" s="54">
        <f t="shared" si="85"/>
        <v>11.905263157894737</v>
      </c>
      <c r="CI174" s="54">
        <f t="shared" si="85"/>
        <v>11.905263157894737</v>
      </c>
      <c r="CJ174" s="74">
        <f t="shared" si="88"/>
        <v>150.80000000000001</v>
      </c>
      <c r="CK174" s="59">
        <f t="shared" si="80"/>
        <v>19</v>
      </c>
      <c r="CL174" s="9">
        <f t="shared" si="81"/>
        <v>0</v>
      </c>
      <c r="CM174" s="71">
        <f t="shared" si="77"/>
        <v>150.80000000000001</v>
      </c>
      <c r="CN174" s="72"/>
      <c r="CO174" s="73"/>
    </row>
    <row r="175" spans="1:94" ht="20.25" customHeight="1">
      <c r="A175" s="75" t="s">
        <v>470</v>
      </c>
      <c r="B175" s="1" t="s">
        <v>471</v>
      </c>
      <c r="C175" s="1" t="s">
        <v>403</v>
      </c>
      <c r="D175" s="58">
        <f>+VLOOKUP(A175,'[1]BDD-Avk Tx'!B:CE,82,0)</f>
        <v>650</v>
      </c>
      <c r="E175" s="59">
        <v>308.10000000000002</v>
      </c>
      <c r="G175" s="4">
        <v>43377</v>
      </c>
      <c r="H175" s="4">
        <f t="shared" si="72"/>
        <v>45647</v>
      </c>
      <c r="I175" s="60" t="str">
        <f>+VLOOKUP(A175,'[1]BDD-Avk Tx'!B:BZ,77,0)</f>
        <v>CDI</v>
      </c>
      <c r="J175" s="4">
        <f t="shared" si="73"/>
        <v>45647</v>
      </c>
      <c r="N175" s="3"/>
      <c r="P175" s="54">
        <f t="shared" si="78"/>
        <v>7.166666666666667</v>
      </c>
      <c r="Q175" s="61">
        <v>0.5</v>
      </c>
      <c r="R175" s="62">
        <f t="shared" si="79"/>
        <v>19</v>
      </c>
      <c r="S175" s="54">
        <f t="shared" si="87"/>
        <v>1.5</v>
      </c>
      <c r="T175" s="54">
        <f t="shared" si="86"/>
        <v>1.5</v>
      </c>
      <c r="U175" s="54">
        <f t="shared" si="86"/>
        <v>1.5</v>
      </c>
      <c r="V175" s="54">
        <f t="shared" si="86"/>
        <v>1.5</v>
      </c>
      <c r="W175" s="54">
        <f t="shared" si="86"/>
        <v>1.5</v>
      </c>
      <c r="X175" s="54">
        <f t="shared" si="86"/>
        <v>1.5</v>
      </c>
      <c r="Y175" s="54">
        <f t="shared" si="86"/>
        <v>1.5</v>
      </c>
      <c r="Z175" s="54">
        <f t="shared" si="86"/>
        <v>1.5</v>
      </c>
      <c r="AA175" s="54">
        <f t="shared" si="86"/>
        <v>1.5</v>
      </c>
      <c r="AB175" s="54">
        <f t="shared" si="86"/>
        <v>1.5</v>
      </c>
      <c r="AC175" s="54">
        <f t="shared" si="86"/>
        <v>2.5</v>
      </c>
      <c r="AD175" s="54">
        <f t="shared" si="86"/>
        <v>1.5</v>
      </c>
      <c r="AF175" s="62">
        <f t="shared" si="84"/>
        <v>0</v>
      </c>
      <c r="AG175" s="64">
        <v>0</v>
      </c>
      <c r="AH175" s="64">
        <v>0</v>
      </c>
      <c r="AI175" s="65">
        <v>0</v>
      </c>
      <c r="AJ175" s="66"/>
      <c r="AK175" s="64"/>
      <c r="AL175" s="64"/>
      <c r="AM175" s="64"/>
      <c r="AN175" s="64"/>
      <c r="AO175" s="64"/>
      <c r="AP175" s="64"/>
      <c r="AQ175" s="64"/>
      <c r="AR175" s="64"/>
      <c r="AS175" s="67">
        <f t="shared" si="74"/>
        <v>19.5</v>
      </c>
      <c r="AT175" s="68"/>
      <c r="AU175" s="69">
        <v>1.9923076923077474</v>
      </c>
      <c r="AV175" s="62">
        <f t="shared" si="70"/>
        <v>225.15000000000003</v>
      </c>
      <c r="AW175" s="54">
        <f t="shared" si="65"/>
        <v>17.775000000000002</v>
      </c>
      <c r="AX175" s="54">
        <f t="shared" si="65"/>
        <v>17.775000000000002</v>
      </c>
      <c r="AY175" s="54">
        <f t="shared" si="65"/>
        <v>17.775000000000002</v>
      </c>
      <c r="AZ175" s="54">
        <f t="shared" si="65"/>
        <v>17.775000000000002</v>
      </c>
      <c r="BA175" s="54">
        <f t="shared" si="65"/>
        <v>17.775000000000002</v>
      </c>
      <c r="BB175" s="54">
        <f t="shared" si="65"/>
        <v>17.775000000000002</v>
      </c>
      <c r="BC175" s="54">
        <f t="shared" si="89"/>
        <v>17.775000000000002</v>
      </c>
      <c r="BD175" s="54">
        <f t="shared" si="89"/>
        <v>17.775000000000002</v>
      </c>
      <c r="BE175" s="54">
        <f t="shared" si="89"/>
        <v>17.775000000000002</v>
      </c>
      <c r="BF175" s="54">
        <f t="shared" si="71"/>
        <v>17.775000000000002</v>
      </c>
      <c r="BG175" s="54">
        <f t="shared" si="71"/>
        <v>29.625000000000004</v>
      </c>
      <c r="BH175" s="54">
        <f t="shared" si="71"/>
        <v>17.775000000000002</v>
      </c>
      <c r="BI175" s="62">
        <f t="shared" si="68"/>
        <v>0</v>
      </c>
      <c r="BJ175" s="59">
        <f t="shared" si="83"/>
        <v>0</v>
      </c>
      <c r="BK175" s="59">
        <f t="shared" si="83"/>
        <v>0</v>
      </c>
      <c r="BL175" s="59">
        <f t="shared" si="83"/>
        <v>0</v>
      </c>
      <c r="BM175" s="59">
        <f t="shared" si="83"/>
        <v>0</v>
      </c>
      <c r="BN175" s="59">
        <f t="shared" si="83"/>
        <v>0</v>
      </c>
      <c r="BO175" s="59">
        <f t="shared" si="83"/>
        <v>0</v>
      </c>
      <c r="BP175" s="59">
        <f t="shared" si="82"/>
        <v>0</v>
      </c>
      <c r="BQ175" s="59">
        <f t="shared" si="82"/>
        <v>0</v>
      </c>
      <c r="BR175" s="59">
        <f t="shared" si="82"/>
        <v>0</v>
      </c>
      <c r="BS175" s="59">
        <f t="shared" si="82"/>
        <v>0</v>
      </c>
      <c r="BT175" s="59">
        <f t="shared" si="82"/>
        <v>0</v>
      </c>
      <c r="BU175" s="59">
        <f t="shared" si="82"/>
        <v>0</v>
      </c>
      <c r="BV175" s="67">
        <f t="shared" si="75"/>
        <v>227.14230769230778</v>
      </c>
      <c r="BX175" s="54">
        <f t="shared" ref="BX175:CC233" si="91">+IF(AND($J175&gt;BX$5,MONTH($J175&lt;&gt;BX$5)),0,+IF(AND($J175&gt;BX$5,MONTH($J175=BX$5)),$E175/$R175*DAY($J175),IF(AND($O175&lt;&gt;"",$O175&lt;BX$5),0,IF($K175="",$E175/$R175*S175,IF(MONTH($K175)=MONTH(BX$5),$L175/$R175*S175,IF(AND($K175&lt;BX$5,(MONTH($K175)&lt;&gt;MONTH(BX$5))),$L175/$R175*S175,$E175/$R175*S175))))))</f>
        <v>24.323684210526316</v>
      </c>
      <c r="BY175" s="54">
        <f t="shared" si="91"/>
        <v>24.323684210526316</v>
      </c>
      <c r="BZ175" s="54">
        <f t="shared" si="91"/>
        <v>24.323684210526316</v>
      </c>
      <c r="CA175" s="54">
        <f t="shared" si="90"/>
        <v>24.323684210526316</v>
      </c>
      <c r="CB175" s="54">
        <f t="shared" si="90"/>
        <v>24.323684210526316</v>
      </c>
      <c r="CC175" s="54">
        <f t="shared" si="90"/>
        <v>24.323684210526316</v>
      </c>
      <c r="CD175" s="54">
        <f t="shared" si="90"/>
        <v>24.323684210526316</v>
      </c>
      <c r="CE175" s="54">
        <f t="shared" si="90"/>
        <v>24.323684210526316</v>
      </c>
      <c r="CF175" s="54">
        <f t="shared" si="90"/>
        <v>24.323684210526316</v>
      </c>
      <c r="CG175" s="54">
        <f t="shared" si="85"/>
        <v>24.323684210526316</v>
      </c>
      <c r="CH175" s="54">
        <f t="shared" si="85"/>
        <v>40.539473684210527</v>
      </c>
      <c r="CI175" s="54">
        <f t="shared" si="85"/>
        <v>24.323684210526316</v>
      </c>
      <c r="CJ175" s="74">
        <f t="shared" si="88"/>
        <v>308.10000000000008</v>
      </c>
      <c r="CK175" s="59">
        <f t="shared" si="80"/>
        <v>19</v>
      </c>
      <c r="CL175" s="9">
        <f t="shared" si="81"/>
        <v>0</v>
      </c>
      <c r="CM175" s="71">
        <f t="shared" si="77"/>
        <v>308.10000000000002</v>
      </c>
      <c r="CN175" s="54"/>
      <c r="CO175" s="73"/>
      <c r="CP175" s="56"/>
    </row>
    <row r="176" spans="1:94" ht="20.25" customHeight="1">
      <c r="A176" s="1" t="s">
        <v>472</v>
      </c>
      <c r="B176" s="1" t="s">
        <v>473</v>
      </c>
      <c r="C176" s="1" t="s">
        <v>474</v>
      </c>
      <c r="D176" s="58">
        <f>+VLOOKUP(A176,'[1]BDD-Avk Tx'!B:CE,82,0)</f>
        <v>216</v>
      </c>
      <c r="E176" s="59">
        <v>231.4</v>
      </c>
      <c r="G176" s="4">
        <v>43521</v>
      </c>
      <c r="H176" s="4">
        <f t="shared" si="72"/>
        <v>45647</v>
      </c>
      <c r="I176" s="60" t="str">
        <f>+VLOOKUP(A176,'[1]BDD-Avk Tx'!B:BZ,77,0)</f>
        <v>CDI</v>
      </c>
      <c r="J176" s="4">
        <f t="shared" si="73"/>
        <v>45647</v>
      </c>
      <c r="N176" s="3"/>
      <c r="P176" s="54">
        <f t="shared" si="78"/>
        <v>6.75</v>
      </c>
      <c r="Q176" s="61">
        <v>0</v>
      </c>
      <c r="R176" s="62">
        <f t="shared" si="79"/>
        <v>19</v>
      </c>
      <c r="S176" s="54">
        <f t="shared" si="87"/>
        <v>1.5</v>
      </c>
      <c r="T176" s="54">
        <f t="shared" si="86"/>
        <v>1.5</v>
      </c>
      <c r="U176" s="54">
        <f t="shared" si="86"/>
        <v>2.5</v>
      </c>
      <c r="V176" s="54">
        <f t="shared" si="86"/>
        <v>1.5</v>
      </c>
      <c r="W176" s="54">
        <f t="shared" si="86"/>
        <v>1.5</v>
      </c>
      <c r="X176" s="54">
        <f t="shared" si="86"/>
        <v>1.5</v>
      </c>
      <c r="Y176" s="54">
        <f t="shared" si="86"/>
        <v>1.5</v>
      </c>
      <c r="Z176" s="54">
        <f t="shared" si="86"/>
        <v>1.5</v>
      </c>
      <c r="AA176" s="54">
        <f t="shared" si="86"/>
        <v>1.5</v>
      </c>
      <c r="AB176" s="54">
        <f t="shared" si="86"/>
        <v>1.5</v>
      </c>
      <c r="AC176" s="54">
        <f t="shared" si="86"/>
        <v>1.5</v>
      </c>
      <c r="AD176" s="54">
        <f t="shared" si="86"/>
        <v>1.5</v>
      </c>
      <c r="AF176" s="62">
        <f t="shared" si="84"/>
        <v>19</v>
      </c>
      <c r="AG176" s="64">
        <v>0</v>
      </c>
      <c r="AH176" s="64">
        <v>17</v>
      </c>
      <c r="AI176" s="65">
        <v>2</v>
      </c>
      <c r="AJ176" s="66"/>
      <c r="AK176" s="64"/>
      <c r="AL176" s="64"/>
      <c r="AM176" s="64"/>
      <c r="AN176" s="64"/>
      <c r="AO176" s="64"/>
      <c r="AP176" s="64"/>
      <c r="AQ176" s="64"/>
      <c r="AR176" s="64"/>
      <c r="AS176" s="67">
        <f t="shared" si="74"/>
        <v>0</v>
      </c>
      <c r="AT176" s="68"/>
      <c r="AU176" s="69">
        <v>1.5403846153845961</v>
      </c>
      <c r="AV176" s="62">
        <f t="shared" si="70"/>
        <v>169.09999999999997</v>
      </c>
      <c r="AW176" s="54">
        <f t="shared" si="65"/>
        <v>13.350000000000001</v>
      </c>
      <c r="AX176" s="54">
        <f t="shared" si="65"/>
        <v>13.350000000000001</v>
      </c>
      <c r="AY176" s="54">
        <f t="shared" si="65"/>
        <v>22.25</v>
      </c>
      <c r="AZ176" s="54">
        <f t="shared" si="65"/>
        <v>13.350000000000001</v>
      </c>
      <c r="BA176" s="54">
        <f t="shared" si="65"/>
        <v>13.350000000000001</v>
      </c>
      <c r="BB176" s="54">
        <f t="shared" si="65"/>
        <v>13.350000000000001</v>
      </c>
      <c r="BC176" s="54">
        <f t="shared" si="89"/>
        <v>13.350000000000001</v>
      </c>
      <c r="BD176" s="54">
        <f t="shared" si="89"/>
        <v>13.350000000000001</v>
      </c>
      <c r="BE176" s="54">
        <f t="shared" si="89"/>
        <v>13.350000000000001</v>
      </c>
      <c r="BF176" s="54">
        <f t="shared" si="71"/>
        <v>13.350000000000001</v>
      </c>
      <c r="BG176" s="54">
        <f t="shared" si="71"/>
        <v>13.350000000000001</v>
      </c>
      <c r="BH176" s="54">
        <f t="shared" si="71"/>
        <v>13.350000000000001</v>
      </c>
      <c r="BI176" s="62">
        <f t="shared" si="68"/>
        <v>-169.10000000000002</v>
      </c>
      <c r="BJ176" s="59">
        <f t="shared" si="83"/>
        <v>0</v>
      </c>
      <c r="BK176" s="59">
        <f t="shared" si="83"/>
        <v>-151.30000000000001</v>
      </c>
      <c r="BL176" s="59">
        <f t="shared" si="83"/>
        <v>-17.8</v>
      </c>
      <c r="BM176" s="59">
        <f t="shared" si="83"/>
        <v>0</v>
      </c>
      <c r="BN176" s="59">
        <f t="shared" si="83"/>
        <v>0</v>
      </c>
      <c r="BO176" s="59">
        <f t="shared" si="83"/>
        <v>0</v>
      </c>
      <c r="BP176" s="59">
        <f t="shared" si="82"/>
        <v>0</v>
      </c>
      <c r="BQ176" s="59">
        <f t="shared" si="82"/>
        <v>0</v>
      </c>
      <c r="BR176" s="59">
        <f t="shared" si="82"/>
        <v>0</v>
      </c>
      <c r="BS176" s="59">
        <f t="shared" si="82"/>
        <v>0</v>
      </c>
      <c r="BT176" s="59">
        <f t="shared" si="82"/>
        <v>0</v>
      </c>
      <c r="BU176" s="59">
        <f t="shared" si="82"/>
        <v>0</v>
      </c>
      <c r="BV176" s="67">
        <f t="shared" si="75"/>
        <v>1.5403846153845393</v>
      </c>
      <c r="BX176" s="54">
        <f t="shared" si="91"/>
        <v>18.268421052631581</v>
      </c>
      <c r="BY176" s="54">
        <f t="shared" si="91"/>
        <v>18.268421052631581</v>
      </c>
      <c r="BZ176" s="54">
        <f t="shared" si="91"/>
        <v>30.44736842105263</v>
      </c>
      <c r="CA176" s="54">
        <f t="shared" si="90"/>
        <v>18.268421052631581</v>
      </c>
      <c r="CB176" s="54">
        <f t="shared" si="90"/>
        <v>18.268421052631581</v>
      </c>
      <c r="CC176" s="54">
        <f t="shared" si="90"/>
        <v>18.268421052631581</v>
      </c>
      <c r="CD176" s="54">
        <f t="shared" si="90"/>
        <v>18.268421052631581</v>
      </c>
      <c r="CE176" s="54">
        <f t="shared" si="90"/>
        <v>18.268421052631581</v>
      </c>
      <c r="CF176" s="54">
        <f t="shared" si="90"/>
        <v>18.268421052631581</v>
      </c>
      <c r="CG176" s="54">
        <f t="shared" si="85"/>
        <v>18.268421052631581</v>
      </c>
      <c r="CH176" s="54">
        <f t="shared" si="85"/>
        <v>18.268421052631581</v>
      </c>
      <c r="CI176" s="54">
        <f t="shared" si="85"/>
        <v>18.268421052631581</v>
      </c>
      <c r="CJ176" s="74">
        <f t="shared" si="88"/>
        <v>231.40000000000009</v>
      </c>
      <c r="CK176" s="59">
        <f t="shared" si="80"/>
        <v>19</v>
      </c>
      <c r="CL176" s="9">
        <f t="shared" si="81"/>
        <v>0</v>
      </c>
      <c r="CM176" s="71">
        <f t="shared" si="77"/>
        <v>231.4</v>
      </c>
      <c r="CN176" s="72"/>
      <c r="CO176" s="73"/>
    </row>
    <row r="177" spans="1:94" ht="20.25" customHeight="1">
      <c r="A177" s="1" t="s">
        <v>475</v>
      </c>
      <c r="B177" s="1" t="s">
        <v>476</v>
      </c>
      <c r="C177" s="1" t="s">
        <v>206</v>
      </c>
      <c r="D177" s="58">
        <f>+VLOOKUP(A177,'[1]BDD-Avk Tx'!B:CE,82,0)</f>
        <v>216</v>
      </c>
      <c r="E177" s="59">
        <v>172.9</v>
      </c>
      <c r="G177" s="4">
        <v>43521</v>
      </c>
      <c r="H177" s="4">
        <f t="shared" si="72"/>
        <v>45647</v>
      </c>
      <c r="I177" s="60" t="str">
        <f>+VLOOKUP(A177,'[1]BDD-Avk Tx'!B:BZ,77,0)</f>
        <v>CDI</v>
      </c>
      <c r="J177" s="4">
        <f t="shared" si="73"/>
        <v>45647</v>
      </c>
      <c r="N177" s="3"/>
      <c r="P177" s="54">
        <f t="shared" si="78"/>
        <v>6.75</v>
      </c>
      <c r="Q177" s="61">
        <v>1</v>
      </c>
      <c r="R177" s="62">
        <f t="shared" si="79"/>
        <v>19</v>
      </c>
      <c r="S177" s="54">
        <f t="shared" si="87"/>
        <v>1.5</v>
      </c>
      <c r="T177" s="54">
        <f t="shared" si="86"/>
        <v>1.5</v>
      </c>
      <c r="U177" s="54">
        <f t="shared" si="86"/>
        <v>2.5</v>
      </c>
      <c r="V177" s="54">
        <f t="shared" si="86"/>
        <v>1.5</v>
      </c>
      <c r="W177" s="54">
        <f t="shared" si="86"/>
        <v>1.5</v>
      </c>
      <c r="X177" s="54">
        <f t="shared" si="86"/>
        <v>1.5</v>
      </c>
      <c r="Y177" s="54">
        <f t="shared" si="86"/>
        <v>1.5</v>
      </c>
      <c r="Z177" s="54">
        <f t="shared" si="86"/>
        <v>1.5</v>
      </c>
      <c r="AA177" s="54">
        <f t="shared" si="86"/>
        <v>1.5</v>
      </c>
      <c r="AB177" s="54">
        <f t="shared" si="86"/>
        <v>1.5</v>
      </c>
      <c r="AC177" s="54">
        <f t="shared" si="86"/>
        <v>1.5</v>
      </c>
      <c r="AD177" s="54">
        <f t="shared" si="86"/>
        <v>1.5</v>
      </c>
      <c r="AF177" s="62">
        <f t="shared" si="84"/>
        <v>0</v>
      </c>
      <c r="AG177" s="64">
        <v>0</v>
      </c>
      <c r="AH177" s="64">
        <v>0</v>
      </c>
      <c r="AI177" s="65">
        <v>0</v>
      </c>
      <c r="AJ177" s="66"/>
      <c r="AK177" s="64"/>
      <c r="AL177" s="64"/>
      <c r="AM177" s="64"/>
      <c r="AN177" s="64"/>
      <c r="AO177" s="64"/>
      <c r="AP177" s="64"/>
      <c r="AQ177" s="64"/>
      <c r="AR177" s="64"/>
      <c r="AS177" s="67">
        <f t="shared" si="74"/>
        <v>20</v>
      </c>
      <c r="AT177" s="68"/>
      <c r="AU177" s="69">
        <v>11.115384615384556</v>
      </c>
      <c r="AV177" s="62">
        <f t="shared" si="70"/>
        <v>126.34999999999997</v>
      </c>
      <c r="AW177" s="54">
        <f t="shared" si="65"/>
        <v>9.9750000000000014</v>
      </c>
      <c r="AX177" s="54">
        <f t="shared" si="65"/>
        <v>9.9750000000000014</v>
      </c>
      <c r="AY177" s="54">
        <f t="shared" si="65"/>
        <v>16.625</v>
      </c>
      <c r="AZ177" s="54">
        <f t="shared" si="65"/>
        <v>9.9750000000000014</v>
      </c>
      <c r="BA177" s="54">
        <f t="shared" si="65"/>
        <v>9.9750000000000014</v>
      </c>
      <c r="BB177" s="54">
        <f t="shared" si="65"/>
        <v>9.9750000000000014</v>
      </c>
      <c r="BC177" s="54">
        <f t="shared" si="89"/>
        <v>9.9750000000000014</v>
      </c>
      <c r="BD177" s="54">
        <f t="shared" si="89"/>
        <v>9.9750000000000014</v>
      </c>
      <c r="BE177" s="54">
        <f t="shared" si="89"/>
        <v>9.9750000000000014</v>
      </c>
      <c r="BF177" s="54">
        <f t="shared" si="71"/>
        <v>9.9750000000000014</v>
      </c>
      <c r="BG177" s="54">
        <f t="shared" si="71"/>
        <v>9.9750000000000014</v>
      </c>
      <c r="BH177" s="54">
        <f t="shared" si="71"/>
        <v>9.9750000000000014</v>
      </c>
      <c r="BI177" s="62">
        <f t="shared" si="68"/>
        <v>0</v>
      </c>
      <c r="BJ177" s="59">
        <f t="shared" si="83"/>
        <v>0</v>
      </c>
      <c r="BK177" s="59">
        <f t="shared" si="83"/>
        <v>0</v>
      </c>
      <c r="BL177" s="59">
        <f t="shared" si="83"/>
        <v>0</v>
      </c>
      <c r="BM177" s="59">
        <f t="shared" si="83"/>
        <v>0</v>
      </c>
      <c r="BN177" s="59">
        <f t="shared" si="83"/>
        <v>0</v>
      </c>
      <c r="BO177" s="59">
        <f t="shared" si="83"/>
        <v>0</v>
      </c>
      <c r="BP177" s="59">
        <f t="shared" si="82"/>
        <v>0</v>
      </c>
      <c r="BQ177" s="59">
        <f t="shared" si="82"/>
        <v>0</v>
      </c>
      <c r="BR177" s="59">
        <f t="shared" si="82"/>
        <v>0</v>
      </c>
      <c r="BS177" s="59">
        <f t="shared" si="82"/>
        <v>0</v>
      </c>
      <c r="BT177" s="59">
        <f t="shared" si="82"/>
        <v>0</v>
      </c>
      <c r="BU177" s="59">
        <f t="shared" si="82"/>
        <v>0</v>
      </c>
      <c r="BV177" s="67">
        <f t="shared" si="75"/>
        <v>137.46538461538452</v>
      </c>
      <c r="BX177" s="54">
        <f t="shared" si="91"/>
        <v>13.649999999999999</v>
      </c>
      <c r="BY177" s="54">
        <f t="shared" si="91"/>
        <v>13.649999999999999</v>
      </c>
      <c r="BZ177" s="54">
        <f t="shared" si="91"/>
        <v>22.75</v>
      </c>
      <c r="CA177" s="54">
        <f t="shared" si="90"/>
        <v>13.649999999999999</v>
      </c>
      <c r="CB177" s="54">
        <f t="shared" si="90"/>
        <v>13.649999999999999</v>
      </c>
      <c r="CC177" s="54">
        <f t="shared" si="90"/>
        <v>13.649999999999999</v>
      </c>
      <c r="CD177" s="54">
        <f t="shared" si="90"/>
        <v>13.649999999999999</v>
      </c>
      <c r="CE177" s="54">
        <f t="shared" si="90"/>
        <v>13.649999999999999</v>
      </c>
      <c r="CF177" s="54">
        <f t="shared" si="90"/>
        <v>13.649999999999999</v>
      </c>
      <c r="CG177" s="54">
        <f t="shared" si="85"/>
        <v>13.649999999999999</v>
      </c>
      <c r="CH177" s="54">
        <f t="shared" si="85"/>
        <v>13.649999999999999</v>
      </c>
      <c r="CI177" s="54">
        <f t="shared" si="85"/>
        <v>13.649999999999999</v>
      </c>
      <c r="CJ177" s="74">
        <f t="shared" si="88"/>
        <v>172.90000000000003</v>
      </c>
      <c r="CK177" s="59">
        <f t="shared" si="80"/>
        <v>19</v>
      </c>
      <c r="CL177" s="9">
        <f t="shared" si="81"/>
        <v>0</v>
      </c>
      <c r="CM177" s="71">
        <f t="shared" si="77"/>
        <v>172.9</v>
      </c>
      <c r="CN177" s="72"/>
      <c r="CO177" s="73"/>
    </row>
    <row r="178" spans="1:94" ht="20.25" customHeight="1">
      <c r="A178" s="1" t="s">
        <v>477</v>
      </c>
      <c r="B178" s="1" t="s">
        <v>478</v>
      </c>
      <c r="C178" s="1" t="s">
        <v>206</v>
      </c>
      <c r="D178" s="58">
        <f>+VLOOKUP(A178,'[1]BDD-Avk Tx'!B:CE,82,0)</f>
        <v>251</v>
      </c>
      <c r="E178" s="59">
        <v>172.9</v>
      </c>
      <c r="G178" s="4">
        <v>43538</v>
      </c>
      <c r="H178" s="4">
        <f t="shared" si="72"/>
        <v>45647</v>
      </c>
      <c r="I178" s="60" t="str">
        <f>+VLOOKUP(A178,'[1]BDD-Avk Tx'!B:BZ,77,0)</f>
        <v>CDI</v>
      </c>
      <c r="J178" s="4">
        <f t="shared" si="73"/>
        <v>45647</v>
      </c>
      <c r="N178" s="3"/>
      <c r="P178" s="54">
        <f t="shared" si="78"/>
        <v>6.75</v>
      </c>
      <c r="Q178" s="61">
        <v>16.5</v>
      </c>
      <c r="R178" s="62">
        <f t="shared" si="79"/>
        <v>19</v>
      </c>
      <c r="S178" s="54">
        <f t="shared" si="87"/>
        <v>1.5</v>
      </c>
      <c r="T178" s="54">
        <f t="shared" si="86"/>
        <v>1.5</v>
      </c>
      <c r="U178" s="54">
        <f t="shared" si="86"/>
        <v>1.5</v>
      </c>
      <c r="V178" s="54">
        <f t="shared" si="86"/>
        <v>2.5</v>
      </c>
      <c r="W178" s="54">
        <f t="shared" si="86"/>
        <v>1.5</v>
      </c>
      <c r="X178" s="54">
        <f t="shared" si="86"/>
        <v>1.5</v>
      </c>
      <c r="Y178" s="54">
        <f t="shared" si="86"/>
        <v>1.5</v>
      </c>
      <c r="Z178" s="54">
        <f t="shared" si="86"/>
        <v>1.5</v>
      </c>
      <c r="AA178" s="54">
        <f t="shared" si="86"/>
        <v>1.5</v>
      </c>
      <c r="AB178" s="54">
        <f t="shared" si="86"/>
        <v>1.5</v>
      </c>
      <c r="AC178" s="54">
        <f t="shared" si="86"/>
        <v>1.5</v>
      </c>
      <c r="AD178" s="54">
        <f t="shared" si="86"/>
        <v>1.5</v>
      </c>
      <c r="AF178" s="62">
        <f t="shared" si="84"/>
        <v>19</v>
      </c>
      <c r="AG178" s="64">
        <v>9</v>
      </c>
      <c r="AH178" s="64">
        <v>10</v>
      </c>
      <c r="AI178" s="65">
        <v>0</v>
      </c>
      <c r="AJ178" s="66"/>
      <c r="AK178" s="64"/>
      <c r="AL178" s="64"/>
      <c r="AM178" s="64"/>
      <c r="AN178" s="64"/>
      <c r="AO178" s="64"/>
      <c r="AP178" s="64"/>
      <c r="AQ178" s="64"/>
      <c r="AR178" s="64"/>
      <c r="AS178" s="67">
        <f t="shared" si="74"/>
        <v>16.5</v>
      </c>
      <c r="AT178" s="68"/>
      <c r="AU178" s="69">
        <v>106.99615384615376</v>
      </c>
      <c r="AV178" s="62">
        <f t="shared" si="70"/>
        <v>126.34999999999997</v>
      </c>
      <c r="AW178" s="54">
        <f t="shared" si="65"/>
        <v>9.9750000000000014</v>
      </c>
      <c r="AX178" s="54">
        <f t="shared" si="65"/>
        <v>9.9750000000000014</v>
      </c>
      <c r="AY178" s="54">
        <f t="shared" si="65"/>
        <v>9.9750000000000014</v>
      </c>
      <c r="AZ178" s="54">
        <f t="shared" si="65"/>
        <v>16.625</v>
      </c>
      <c r="BA178" s="54">
        <f t="shared" si="65"/>
        <v>9.9750000000000014</v>
      </c>
      <c r="BB178" s="54">
        <f t="shared" si="65"/>
        <v>9.9750000000000014</v>
      </c>
      <c r="BC178" s="54">
        <f t="shared" si="89"/>
        <v>9.9750000000000014</v>
      </c>
      <c r="BD178" s="54">
        <f t="shared" si="89"/>
        <v>9.9750000000000014</v>
      </c>
      <c r="BE178" s="54">
        <f t="shared" si="89"/>
        <v>9.9750000000000014</v>
      </c>
      <c r="BF178" s="54">
        <f t="shared" si="71"/>
        <v>9.9750000000000014</v>
      </c>
      <c r="BG178" s="54">
        <f t="shared" si="71"/>
        <v>9.9750000000000014</v>
      </c>
      <c r="BH178" s="54">
        <f t="shared" si="71"/>
        <v>9.9750000000000014</v>
      </c>
      <c r="BI178" s="62">
        <f t="shared" si="68"/>
        <v>-126.35</v>
      </c>
      <c r="BJ178" s="59">
        <f t="shared" si="83"/>
        <v>-59.85</v>
      </c>
      <c r="BK178" s="59">
        <f t="shared" si="83"/>
        <v>-66.5</v>
      </c>
      <c r="BL178" s="59">
        <f t="shared" si="83"/>
        <v>0</v>
      </c>
      <c r="BM178" s="59">
        <f t="shared" si="83"/>
        <v>0</v>
      </c>
      <c r="BN178" s="59">
        <f t="shared" si="83"/>
        <v>0</v>
      </c>
      <c r="BO178" s="59">
        <f t="shared" si="83"/>
        <v>0</v>
      </c>
      <c r="BP178" s="59">
        <f t="shared" si="82"/>
        <v>0</v>
      </c>
      <c r="BQ178" s="59">
        <f t="shared" si="82"/>
        <v>0</v>
      </c>
      <c r="BR178" s="59">
        <f t="shared" si="82"/>
        <v>0</v>
      </c>
      <c r="BS178" s="59">
        <f t="shared" ref="BP178:BU220" si="92">(+IF($K178="",$E178/26*AP178,IF(MONTH($K178)=MONTH(BS$5),$L178/26*AP178,IF(AND($K178&lt;BS$5,(MONTH($K178)&lt;&gt;MONTH(BS$5))),$L178/26*AP178,$E178/26*AP178))))*-1</f>
        <v>0</v>
      </c>
      <c r="BT178" s="59">
        <f t="shared" si="92"/>
        <v>0</v>
      </c>
      <c r="BU178" s="59">
        <f t="shared" si="92"/>
        <v>0</v>
      </c>
      <c r="BV178" s="67">
        <f t="shared" si="75"/>
        <v>106.99615384615373</v>
      </c>
      <c r="BX178" s="54">
        <f t="shared" si="91"/>
        <v>13.649999999999999</v>
      </c>
      <c r="BY178" s="54">
        <f t="shared" si="91"/>
        <v>13.649999999999999</v>
      </c>
      <c r="BZ178" s="54">
        <f t="shared" si="91"/>
        <v>13.649999999999999</v>
      </c>
      <c r="CA178" s="54">
        <f t="shared" si="90"/>
        <v>22.75</v>
      </c>
      <c r="CB178" s="54">
        <f t="shared" si="90"/>
        <v>13.649999999999999</v>
      </c>
      <c r="CC178" s="54">
        <f t="shared" si="90"/>
        <v>13.649999999999999</v>
      </c>
      <c r="CD178" s="54">
        <f t="shared" si="90"/>
        <v>13.649999999999999</v>
      </c>
      <c r="CE178" s="54">
        <f t="shared" si="90"/>
        <v>13.649999999999999</v>
      </c>
      <c r="CF178" s="54">
        <f t="shared" si="90"/>
        <v>13.649999999999999</v>
      </c>
      <c r="CG178" s="54">
        <f t="shared" si="85"/>
        <v>13.649999999999999</v>
      </c>
      <c r="CH178" s="54">
        <f t="shared" si="85"/>
        <v>13.649999999999999</v>
      </c>
      <c r="CI178" s="54">
        <f t="shared" si="85"/>
        <v>13.649999999999999</v>
      </c>
      <c r="CJ178" s="74">
        <f t="shared" si="88"/>
        <v>172.90000000000003</v>
      </c>
      <c r="CK178" s="59">
        <f t="shared" si="80"/>
        <v>19</v>
      </c>
      <c r="CL178" s="9">
        <f t="shared" si="81"/>
        <v>0</v>
      </c>
      <c r="CM178" s="71">
        <f t="shared" si="77"/>
        <v>172.9</v>
      </c>
      <c r="CN178" s="54"/>
      <c r="CO178" s="73"/>
      <c r="CP178" s="56"/>
    </row>
    <row r="179" spans="1:94" ht="20.25" customHeight="1">
      <c r="A179" s="75" t="s">
        <v>479</v>
      </c>
      <c r="B179" s="1" t="s">
        <v>480</v>
      </c>
      <c r="C179" s="1" t="s">
        <v>312</v>
      </c>
      <c r="D179" s="58">
        <f>+VLOOKUP(A179,'[1]BDD-Avk Tx'!B:CE,82,0)</f>
        <v>251</v>
      </c>
      <c r="E179" s="59">
        <v>172.9</v>
      </c>
      <c r="G179" s="4">
        <v>43542</v>
      </c>
      <c r="H179" s="4">
        <f t="shared" si="72"/>
        <v>45647</v>
      </c>
      <c r="I179" s="60" t="str">
        <f>+VLOOKUP(A179,'[1]BDD-Avk Tx'!B:BZ,77,0)</f>
        <v>CDI</v>
      </c>
      <c r="J179" s="4">
        <f t="shared" si="73"/>
        <v>45647</v>
      </c>
      <c r="N179" s="3"/>
      <c r="P179" s="54">
        <f t="shared" si="78"/>
        <v>6.75</v>
      </c>
      <c r="Q179" s="61">
        <v>1.5</v>
      </c>
      <c r="R179" s="62">
        <f t="shared" si="79"/>
        <v>19</v>
      </c>
      <c r="S179" s="54">
        <f t="shared" si="87"/>
        <v>1.5</v>
      </c>
      <c r="T179" s="54">
        <f t="shared" si="86"/>
        <v>1.5</v>
      </c>
      <c r="U179" s="54">
        <f t="shared" si="86"/>
        <v>1.5</v>
      </c>
      <c r="V179" s="54">
        <f t="shared" si="86"/>
        <v>2.5</v>
      </c>
      <c r="W179" s="54">
        <f t="shared" si="86"/>
        <v>1.5</v>
      </c>
      <c r="X179" s="54">
        <f t="shared" si="86"/>
        <v>1.5</v>
      </c>
      <c r="Y179" s="54">
        <f t="shared" si="86"/>
        <v>1.5</v>
      </c>
      <c r="Z179" s="54">
        <f t="shared" si="86"/>
        <v>1.5</v>
      </c>
      <c r="AA179" s="54">
        <f t="shared" si="86"/>
        <v>1.5</v>
      </c>
      <c r="AB179" s="54">
        <f t="shared" si="86"/>
        <v>1.5</v>
      </c>
      <c r="AC179" s="54">
        <f t="shared" si="86"/>
        <v>1.5</v>
      </c>
      <c r="AD179" s="54">
        <f t="shared" si="86"/>
        <v>1.5</v>
      </c>
      <c r="AF179" s="62">
        <f t="shared" si="84"/>
        <v>0</v>
      </c>
      <c r="AG179" s="64">
        <v>0</v>
      </c>
      <c r="AH179" s="64">
        <v>0</v>
      </c>
      <c r="AI179" s="65">
        <v>0</v>
      </c>
      <c r="AJ179" s="66"/>
      <c r="AK179" s="64"/>
      <c r="AL179" s="64"/>
      <c r="AM179" s="64"/>
      <c r="AN179" s="64"/>
      <c r="AO179" s="64"/>
      <c r="AP179" s="64"/>
      <c r="AQ179" s="64"/>
      <c r="AR179" s="64"/>
      <c r="AS179" s="67">
        <f t="shared" si="74"/>
        <v>20.5</v>
      </c>
      <c r="AT179" s="68"/>
      <c r="AU179" s="69">
        <v>7.2461538461537742</v>
      </c>
      <c r="AV179" s="62">
        <f t="shared" si="70"/>
        <v>126.34999999999997</v>
      </c>
      <c r="AW179" s="54">
        <f t="shared" si="65"/>
        <v>9.9750000000000014</v>
      </c>
      <c r="AX179" s="54">
        <f t="shared" si="65"/>
        <v>9.9750000000000014</v>
      </c>
      <c r="AY179" s="54">
        <f t="shared" si="65"/>
        <v>9.9750000000000014</v>
      </c>
      <c r="AZ179" s="54">
        <f t="shared" si="65"/>
        <v>16.625</v>
      </c>
      <c r="BA179" s="54">
        <f t="shared" si="65"/>
        <v>9.9750000000000014</v>
      </c>
      <c r="BB179" s="54">
        <f t="shared" si="65"/>
        <v>9.9750000000000014</v>
      </c>
      <c r="BC179" s="54">
        <f t="shared" si="89"/>
        <v>9.9750000000000014</v>
      </c>
      <c r="BD179" s="54">
        <f t="shared" si="89"/>
        <v>9.9750000000000014</v>
      </c>
      <c r="BE179" s="54">
        <f t="shared" si="89"/>
        <v>9.9750000000000014</v>
      </c>
      <c r="BF179" s="54">
        <f t="shared" si="71"/>
        <v>9.9750000000000014</v>
      </c>
      <c r="BG179" s="54">
        <f t="shared" si="71"/>
        <v>9.9750000000000014</v>
      </c>
      <c r="BH179" s="54">
        <f t="shared" si="71"/>
        <v>9.9750000000000014</v>
      </c>
      <c r="BI179" s="62">
        <f t="shared" si="68"/>
        <v>0</v>
      </c>
      <c r="BJ179" s="59">
        <f t="shared" si="83"/>
        <v>0</v>
      </c>
      <c r="BK179" s="59">
        <f t="shared" si="83"/>
        <v>0</v>
      </c>
      <c r="BL179" s="59">
        <f t="shared" si="83"/>
        <v>0</v>
      </c>
      <c r="BM179" s="59">
        <f t="shared" si="83"/>
        <v>0</v>
      </c>
      <c r="BN179" s="59">
        <f t="shared" si="83"/>
        <v>0</v>
      </c>
      <c r="BO179" s="59">
        <f t="shared" si="83"/>
        <v>0</v>
      </c>
      <c r="BP179" s="59">
        <f t="shared" si="92"/>
        <v>0</v>
      </c>
      <c r="BQ179" s="59">
        <f t="shared" si="92"/>
        <v>0</v>
      </c>
      <c r="BR179" s="59">
        <f t="shared" si="92"/>
        <v>0</v>
      </c>
      <c r="BS179" s="59">
        <f t="shared" si="92"/>
        <v>0</v>
      </c>
      <c r="BT179" s="59">
        <f t="shared" si="92"/>
        <v>0</v>
      </c>
      <c r="BU179" s="59">
        <f t="shared" si="92"/>
        <v>0</v>
      </c>
      <c r="BV179" s="67">
        <f t="shared" si="75"/>
        <v>133.59615384615375</v>
      </c>
      <c r="BX179" s="54">
        <f t="shared" si="91"/>
        <v>13.649999999999999</v>
      </c>
      <c r="BY179" s="54">
        <f t="shared" si="91"/>
        <v>13.649999999999999</v>
      </c>
      <c r="BZ179" s="54">
        <f t="shared" si="91"/>
        <v>13.649999999999999</v>
      </c>
      <c r="CA179" s="54">
        <f t="shared" si="90"/>
        <v>22.75</v>
      </c>
      <c r="CB179" s="54">
        <f t="shared" si="90"/>
        <v>13.649999999999999</v>
      </c>
      <c r="CC179" s="54">
        <f t="shared" si="90"/>
        <v>13.649999999999999</v>
      </c>
      <c r="CD179" s="54">
        <f t="shared" si="90"/>
        <v>13.649999999999999</v>
      </c>
      <c r="CE179" s="54">
        <f t="shared" si="90"/>
        <v>13.649999999999999</v>
      </c>
      <c r="CF179" s="54">
        <f t="shared" si="90"/>
        <v>13.649999999999999</v>
      </c>
      <c r="CG179" s="54">
        <f t="shared" si="85"/>
        <v>13.649999999999999</v>
      </c>
      <c r="CH179" s="54">
        <f t="shared" si="85"/>
        <v>13.649999999999999</v>
      </c>
      <c r="CI179" s="54">
        <f t="shared" si="85"/>
        <v>13.649999999999999</v>
      </c>
      <c r="CJ179" s="74">
        <f t="shared" si="88"/>
        <v>172.90000000000003</v>
      </c>
      <c r="CK179" s="59">
        <f t="shared" si="80"/>
        <v>19</v>
      </c>
      <c r="CL179" s="9">
        <f t="shared" si="81"/>
        <v>0</v>
      </c>
      <c r="CM179" s="71">
        <f t="shared" si="77"/>
        <v>172.9</v>
      </c>
      <c r="CN179" s="72"/>
      <c r="CO179" s="73"/>
    </row>
    <row r="180" spans="1:94" ht="20.25" customHeight="1">
      <c r="A180" s="1" t="s">
        <v>481</v>
      </c>
      <c r="B180" s="1" t="s">
        <v>482</v>
      </c>
      <c r="C180" s="1" t="s">
        <v>483</v>
      </c>
      <c r="D180" s="58">
        <f>+VLOOKUP(A180,'[1]BDD-Avk Tx'!B:CE,82,0)</f>
        <v>215</v>
      </c>
      <c r="E180" s="59">
        <v>200.2</v>
      </c>
      <c r="G180" s="4">
        <v>43559</v>
      </c>
      <c r="H180" s="4">
        <f t="shared" si="72"/>
        <v>45647</v>
      </c>
      <c r="I180" s="60" t="str">
        <f>+VLOOKUP(A180,'[1]BDD-Avk Tx'!B:BZ,77,0)</f>
        <v>CDI</v>
      </c>
      <c r="J180" s="4">
        <f t="shared" si="73"/>
        <v>45647</v>
      </c>
      <c r="N180" s="3"/>
      <c r="P180" s="54">
        <f t="shared" si="78"/>
        <v>6.666666666666667</v>
      </c>
      <c r="Q180" s="61">
        <v>0</v>
      </c>
      <c r="R180" s="62">
        <f t="shared" si="79"/>
        <v>19</v>
      </c>
      <c r="S180" s="54">
        <f t="shared" si="87"/>
        <v>1.5</v>
      </c>
      <c r="T180" s="54">
        <f t="shared" si="86"/>
        <v>1.5</v>
      </c>
      <c r="U180" s="54">
        <f t="shared" si="86"/>
        <v>1.5</v>
      </c>
      <c r="V180" s="54">
        <f t="shared" si="86"/>
        <v>1.5</v>
      </c>
      <c r="W180" s="54">
        <f t="shared" si="86"/>
        <v>2.5</v>
      </c>
      <c r="X180" s="54">
        <f t="shared" si="86"/>
        <v>1.5</v>
      </c>
      <c r="Y180" s="54">
        <f t="shared" si="86"/>
        <v>1.5</v>
      </c>
      <c r="Z180" s="54">
        <f t="shared" si="86"/>
        <v>1.5</v>
      </c>
      <c r="AA180" s="54">
        <f t="shared" si="86"/>
        <v>1.5</v>
      </c>
      <c r="AB180" s="54">
        <f t="shared" si="86"/>
        <v>1.5</v>
      </c>
      <c r="AC180" s="54">
        <f t="shared" si="86"/>
        <v>1.5</v>
      </c>
      <c r="AD180" s="54">
        <f t="shared" si="86"/>
        <v>1.5</v>
      </c>
      <c r="AF180" s="62">
        <f t="shared" si="84"/>
        <v>0</v>
      </c>
      <c r="AG180" s="64">
        <v>0</v>
      </c>
      <c r="AH180" s="64">
        <v>0</v>
      </c>
      <c r="AI180" s="65">
        <v>0</v>
      </c>
      <c r="AJ180" s="66"/>
      <c r="AK180" s="64"/>
      <c r="AL180" s="64"/>
      <c r="AM180" s="64"/>
      <c r="AN180" s="64"/>
      <c r="AO180" s="64"/>
      <c r="AP180" s="64"/>
      <c r="AQ180" s="64"/>
      <c r="AR180" s="64"/>
      <c r="AS180" s="67">
        <f t="shared" si="74"/>
        <v>19</v>
      </c>
      <c r="AT180" s="68"/>
      <c r="AU180" s="69">
        <v>-12.430769230769187</v>
      </c>
      <c r="AV180" s="62">
        <f t="shared" si="70"/>
        <v>146.29999999999998</v>
      </c>
      <c r="AW180" s="54">
        <f t="shared" si="65"/>
        <v>11.549999999999999</v>
      </c>
      <c r="AX180" s="54">
        <f t="shared" si="65"/>
        <v>11.549999999999999</v>
      </c>
      <c r="AY180" s="54">
        <f t="shared" si="65"/>
        <v>11.549999999999999</v>
      </c>
      <c r="AZ180" s="54">
        <f t="shared" si="65"/>
        <v>11.549999999999999</v>
      </c>
      <c r="BA180" s="54">
        <f t="shared" si="65"/>
        <v>19.25</v>
      </c>
      <c r="BB180" s="54">
        <f t="shared" si="65"/>
        <v>11.549999999999999</v>
      </c>
      <c r="BC180" s="54">
        <f t="shared" si="89"/>
        <v>11.549999999999999</v>
      </c>
      <c r="BD180" s="54">
        <f t="shared" si="89"/>
        <v>11.549999999999999</v>
      </c>
      <c r="BE180" s="54">
        <f t="shared" si="89"/>
        <v>11.549999999999999</v>
      </c>
      <c r="BF180" s="54">
        <f t="shared" si="71"/>
        <v>11.549999999999999</v>
      </c>
      <c r="BG180" s="54">
        <f t="shared" si="71"/>
        <v>11.549999999999999</v>
      </c>
      <c r="BH180" s="54">
        <f t="shared" si="71"/>
        <v>11.549999999999999</v>
      </c>
      <c r="BI180" s="62">
        <f t="shared" si="68"/>
        <v>0</v>
      </c>
      <c r="BJ180" s="59">
        <f t="shared" si="83"/>
        <v>0</v>
      </c>
      <c r="BK180" s="59">
        <f t="shared" si="83"/>
        <v>0</v>
      </c>
      <c r="BL180" s="59">
        <f t="shared" si="83"/>
        <v>0</v>
      </c>
      <c r="BM180" s="59">
        <f t="shared" si="83"/>
        <v>0</v>
      </c>
      <c r="BN180" s="59">
        <f t="shared" si="83"/>
        <v>0</v>
      </c>
      <c r="BO180" s="59">
        <f t="shared" si="83"/>
        <v>0</v>
      </c>
      <c r="BP180" s="59">
        <f t="shared" si="92"/>
        <v>0</v>
      </c>
      <c r="BQ180" s="59">
        <f t="shared" si="92"/>
        <v>0</v>
      </c>
      <c r="BR180" s="59">
        <f t="shared" si="92"/>
        <v>0</v>
      </c>
      <c r="BS180" s="59">
        <f t="shared" si="92"/>
        <v>0</v>
      </c>
      <c r="BT180" s="59">
        <f t="shared" si="92"/>
        <v>0</v>
      </c>
      <c r="BU180" s="59">
        <f t="shared" si="92"/>
        <v>0</v>
      </c>
      <c r="BV180" s="67">
        <f t="shared" si="75"/>
        <v>133.8692307692308</v>
      </c>
      <c r="BX180" s="54">
        <f t="shared" si="91"/>
        <v>15.805263157894736</v>
      </c>
      <c r="BY180" s="54">
        <f t="shared" si="91"/>
        <v>15.805263157894736</v>
      </c>
      <c r="BZ180" s="54">
        <f t="shared" si="91"/>
        <v>15.805263157894736</v>
      </c>
      <c r="CA180" s="54">
        <f t="shared" si="90"/>
        <v>15.805263157894736</v>
      </c>
      <c r="CB180" s="54">
        <f t="shared" si="90"/>
        <v>26.34210526315789</v>
      </c>
      <c r="CC180" s="54">
        <f t="shared" si="90"/>
        <v>15.805263157894736</v>
      </c>
      <c r="CD180" s="54">
        <f t="shared" si="90"/>
        <v>15.805263157894736</v>
      </c>
      <c r="CE180" s="54">
        <f t="shared" si="90"/>
        <v>15.805263157894736</v>
      </c>
      <c r="CF180" s="54">
        <f t="shared" si="90"/>
        <v>15.805263157894736</v>
      </c>
      <c r="CG180" s="54">
        <f t="shared" si="85"/>
        <v>15.805263157894736</v>
      </c>
      <c r="CH180" s="54">
        <f t="shared" si="85"/>
        <v>15.805263157894736</v>
      </c>
      <c r="CI180" s="54">
        <f t="shared" si="85"/>
        <v>15.805263157894736</v>
      </c>
      <c r="CJ180" s="74">
        <f t="shared" si="88"/>
        <v>200.19999999999993</v>
      </c>
      <c r="CK180" s="59">
        <f t="shared" si="80"/>
        <v>19</v>
      </c>
      <c r="CL180" s="9">
        <f t="shared" si="81"/>
        <v>0</v>
      </c>
      <c r="CM180" s="71">
        <f t="shared" si="77"/>
        <v>200.2</v>
      </c>
      <c r="CN180" s="54"/>
      <c r="CO180" s="73"/>
      <c r="CP180" s="56"/>
    </row>
    <row r="181" spans="1:94" ht="20.25" customHeight="1">
      <c r="A181" s="1" t="s">
        <v>484</v>
      </c>
      <c r="B181" s="1" t="s">
        <v>485</v>
      </c>
      <c r="C181" s="1" t="s">
        <v>486</v>
      </c>
      <c r="D181" s="58">
        <f>+VLOOKUP(A181,'[1]BDD-Avk Tx'!B:CE,82,0)</f>
        <v>160</v>
      </c>
      <c r="E181" s="59">
        <v>308.10000000000002</v>
      </c>
      <c r="G181" s="4">
        <v>43558</v>
      </c>
      <c r="H181" s="4">
        <f t="shared" si="72"/>
        <v>45647</v>
      </c>
      <c r="I181" s="60" t="str">
        <f>+VLOOKUP(A181,'[1]BDD-Avk Tx'!B:BZ,77,0)</f>
        <v>CDI</v>
      </c>
      <c r="J181" s="4">
        <f t="shared" si="73"/>
        <v>45647</v>
      </c>
      <c r="N181" s="3"/>
      <c r="P181" s="54">
        <f t="shared" si="78"/>
        <v>6.666666666666667</v>
      </c>
      <c r="Q181" s="61">
        <v>1</v>
      </c>
      <c r="R181" s="62">
        <f t="shared" si="79"/>
        <v>19</v>
      </c>
      <c r="S181" s="54">
        <f t="shared" si="87"/>
        <v>1.5</v>
      </c>
      <c r="T181" s="54">
        <f t="shared" si="86"/>
        <v>1.5</v>
      </c>
      <c r="U181" s="54">
        <f t="shared" si="86"/>
        <v>1.5</v>
      </c>
      <c r="V181" s="54">
        <f t="shared" si="86"/>
        <v>1.5</v>
      </c>
      <c r="W181" s="54">
        <f t="shared" si="86"/>
        <v>2.5</v>
      </c>
      <c r="X181" s="54">
        <f t="shared" si="86"/>
        <v>1.5</v>
      </c>
      <c r="Y181" s="54">
        <f t="shared" si="86"/>
        <v>1.5</v>
      </c>
      <c r="Z181" s="54">
        <f t="shared" si="86"/>
        <v>1.5</v>
      </c>
      <c r="AA181" s="54">
        <f t="shared" si="86"/>
        <v>1.5</v>
      </c>
      <c r="AB181" s="54">
        <f t="shared" si="86"/>
        <v>1.5</v>
      </c>
      <c r="AC181" s="54">
        <f t="shared" si="86"/>
        <v>1.5</v>
      </c>
      <c r="AD181" s="54">
        <f t="shared" si="86"/>
        <v>1.5</v>
      </c>
      <c r="AF181" s="62">
        <f t="shared" si="84"/>
        <v>0</v>
      </c>
      <c r="AG181" s="64">
        <v>0</v>
      </c>
      <c r="AH181" s="64">
        <v>0</v>
      </c>
      <c r="AI181" s="65">
        <v>0</v>
      </c>
      <c r="AJ181" s="66"/>
      <c r="AK181" s="64"/>
      <c r="AL181" s="64"/>
      <c r="AM181" s="64"/>
      <c r="AN181" s="64"/>
      <c r="AO181" s="64"/>
      <c r="AP181" s="64"/>
      <c r="AQ181" s="64"/>
      <c r="AR181" s="64"/>
      <c r="AS181" s="67">
        <f t="shared" si="74"/>
        <v>20</v>
      </c>
      <c r="AT181" s="68"/>
      <c r="AU181" s="69">
        <v>5</v>
      </c>
      <c r="AV181" s="62">
        <f t="shared" si="70"/>
        <v>225.15000000000003</v>
      </c>
      <c r="AW181" s="54">
        <f t="shared" si="65"/>
        <v>17.775000000000002</v>
      </c>
      <c r="AX181" s="54">
        <f t="shared" si="65"/>
        <v>17.775000000000002</v>
      </c>
      <c r="AY181" s="54">
        <f t="shared" si="65"/>
        <v>17.775000000000002</v>
      </c>
      <c r="AZ181" s="54">
        <f t="shared" si="65"/>
        <v>17.775000000000002</v>
      </c>
      <c r="BA181" s="54">
        <f t="shared" si="65"/>
        <v>29.625000000000004</v>
      </c>
      <c r="BB181" s="54">
        <f t="shared" si="65"/>
        <v>17.775000000000002</v>
      </c>
      <c r="BC181" s="54">
        <f t="shared" si="89"/>
        <v>17.775000000000002</v>
      </c>
      <c r="BD181" s="54">
        <f t="shared" si="89"/>
        <v>17.775000000000002</v>
      </c>
      <c r="BE181" s="54">
        <f t="shared" si="89"/>
        <v>17.775000000000002</v>
      </c>
      <c r="BF181" s="54">
        <f t="shared" si="71"/>
        <v>17.775000000000002</v>
      </c>
      <c r="BG181" s="54">
        <f t="shared" si="71"/>
        <v>17.775000000000002</v>
      </c>
      <c r="BH181" s="54">
        <f t="shared" si="71"/>
        <v>17.775000000000002</v>
      </c>
      <c r="BI181" s="62">
        <f t="shared" si="68"/>
        <v>0</v>
      </c>
      <c r="BJ181" s="59">
        <f t="shared" si="83"/>
        <v>0</v>
      </c>
      <c r="BK181" s="59">
        <f t="shared" si="83"/>
        <v>0</v>
      </c>
      <c r="BL181" s="59">
        <f t="shared" si="83"/>
        <v>0</v>
      </c>
      <c r="BM181" s="59">
        <f t="shared" si="83"/>
        <v>0</v>
      </c>
      <c r="BN181" s="59">
        <f t="shared" si="83"/>
        <v>0</v>
      </c>
      <c r="BO181" s="59">
        <f t="shared" si="83"/>
        <v>0</v>
      </c>
      <c r="BP181" s="59">
        <f t="shared" si="92"/>
        <v>0</v>
      </c>
      <c r="BQ181" s="59">
        <f t="shared" si="92"/>
        <v>0</v>
      </c>
      <c r="BR181" s="59">
        <f t="shared" si="92"/>
        <v>0</v>
      </c>
      <c r="BS181" s="59">
        <f t="shared" si="92"/>
        <v>0</v>
      </c>
      <c r="BT181" s="59">
        <f t="shared" si="92"/>
        <v>0</v>
      </c>
      <c r="BU181" s="59">
        <f t="shared" si="92"/>
        <v>0</v>
      </c>
      <c r="BV181" s="67">
        <f t="shared" si="75"/>
        <v>230.15000000000003</v>
      </c>
      <c r="BX181" s="54">
        <f t="shared" si="91"/>
        <v>24.323684210526316</v>
      </c>
      <c r="BY181" s="54">
        <f t="shared" si="91"/>
        <v>24.323684210526316</v>
      </c>
      <c r="BZ181" s="54">
        <f t="shared" si="91"/>
        <v>24.323684210526316</v>
      </c>
      <c r="CA181" s="54">
        <f t="shared" si="90"/>
        <v>24.323684210526316</v>
      </c>
      <c r="CB181" s="54">
        <f t="shared" si="90"/>
        <v>40.539473684210527</v>
      </c>
      <c r="CC181" s="54">
        <f t="shared" si="90"/>
        <v>24.323684210526316</v>
      </c>
      <c r="CD181" s="54">
        <f t="shared" si="90"/>
        <v>24.323684210526316</v>
      </c>
      <c r="CE181" s="54">
        <f t="shared" si="90"/>
        <v>24.323684210526316</v>
      </c>
      <c r="CF181" s="54">
        <f t="shared" si="90"/>
        <v>24.323684210526316</v>
      </c>
      <c r="CG181" s="54">
        <f t="shared" si="85"/>
        <v>24.323684210526316</v>
      </c>
      <c r="CH181" s="54">
        <f t="shared" si="85"/>
        <v>24.323684210526316</v>
      </c>
      <c r="CI181" s="54">
        <f t="shared" si="85"/>
        <v>24.323684210526316</v>
      </c>
      <c r="CJ181" s="74">
        <f t="shared" si="88"/>
        <v>308.10000000000002</v>
      </c>
      <c r="CK181" s="59">
        <f t="shared" si="80"/>
        <v>19</v>
      </c>
      <c r="CL181" s="9">
        <f t="shared" si="81"/>
        <v>0</v>
      </c>
      <c r="CM181" s="71">
        <f t="shared" si="77"/>
        <v>308.10000000000002</v>
      </c>
      <c r="CN181" s="72"/>
      <c r="CO181" s="73"/>
    </row>
    <row r="182" spans="1:94" ht="20.25" customHeight="1">
      <c r="A182" s="75" t="s">
        <v>487</v>
      </c>
      <c r="B182" s="1" t="s">
        <v>488</v>
      </c>
      <c r="C182" s="1" t="s">
        <v>91</v>
      </c>
      <c r="D182" s="58">
        <f>+VLOOKUP(A182,'[1]BDD-Avk Tx'!B:CE,82,0)</f>
        <v>160</v>
      </c>
      <c r="E182" s="59">
        <v>308.10000000000002</v>
      </c>
      <c r="G182" s="4">
        <v>43558</v>
      </c>
      <c r="H182" s="4">
        <f t="shared" si="72"/>
        <v>45647</v>
      </c>
      <c r="I182" s="60" t="str">
        <f>+VLOOKUP(A182,'[1]BDD-Avk Tx'!B:BZ,77,0)</f>
        <v>CDI</v>
      </c>
      <c r="J182" s="4">
        <f t="shared" si="73"/>
        <v>45647</v>
      </c>
      <c r="N182" s="3"/>
      <c r="P182" s="54">
        <f t="shared" si="78"/>
        <v>6.666666666666667</v>
      </c>
      <c r="Q182" s="61">
        <v>0</v>
      </c>
      <c r="R182" s="62">
        <f t="shared" si="79"/>
        <v>19</v>
      </c>
      <c r="S182" s="54">
        <f t="shared" si="87"/>
        <v>1.5</v>
      </c>
      <c r="T182" s="54">
        <f t="shared" si="86"/>
        <v>1.5</v>
      </c>
      <c r="U182" s="54">
        <f t="shared" si="86"/>
        <v>1.5</v>
      </c>
      <c r="V182" s="54">
        <f t="shared" si="86"/>
        <v>1.5</v>
      </c>
      <c r="W182" s="54">
        <f t="shared" si="86"/>
        <v>2.5</v>
      </c>
      <c r="X182" s="54">
        <f t="shared" si="86"/>
        <v>1.5</v>
      </c>
      <c r="Y182" s="54">
        <f t="shared" si="86"/>
        <v>1.5</v>
      </c>
      <c r="Z182" s="54">
        <f t="shared" si="86"/>
        <v>1.5</v>
      </c>
      <c r="AA182" s="54">
        <f t="shared" si="86"/>
        <v>1.5</v>
      </c>
      <c r="AB182" s="54">
        <f t="shared" si="86"/>
        <v>1.5</v>
      </c>
      <c r="AC182" s="54">
        <f t="shared" si="86"/>
        <v>1.5</v>
      </c>
      <c r="AD182" s="54">
        <f t="shared" si="86"/>
        <v>1.5</v>
      </c>
      <c r="AF182" s="62">
        <f t="shared" si="84"/>
        <v>0</v>
      </c>
      <c r="AG182" s="64">
        <v>0</v>
      </c>
      <c r="AH182" s="64">
        <v>0</v>
      </c>
      <c r="AI182" s="65">
        <v>0</v>
      </c>
      <c r="AJ182" s="66"/>
      <c r="AK182" s="64"/>
      <c r="AL182" s="64"/>
      <c r="AM182" s="64"/>
      <c r="AN182" s="64"/>
      <c r="AO182" s="64"/>
      <c r="AP182" s="64"/>
      <c r="AQ182" s="64"/>
      <c r="AR182" s="64"/>
      <c r="AS182" s="67">
        <f t="shared" si="74"/>
        <v>19</v>
      </c>
      <c r="AT182" s="68"/>
      <c r="AU182" s="69">
        <v>-4.1769230769230035</v>
      </c>
      <c r="AV182" s="62">
        <f t="shared" si="70"/>
        <v>225.15000000000003</v>
      </c>
      <c r="AW182" s="54">
        <f t="shared" si="65"/>
        <v>17.775000000000002</v>
      </c>
      <c r="AX182" s="54">
        <f t="shared" si="65"/>
        <v>17.775000000000002</v>
      </c>
      <c r="AY182" s="54">
        <f t="shared" si="65"/>
        <v>17.775000000000002</v>
      </c>
      <c r="AZ182" s="54">
        <f t="shared" si="65"/>
        <v>17.775000000000002</v>
      </c>
      <c r="BA182" s="54">
        <f t="shared" si="65"/>
        <v>29.625000000000004</v>
      </c>
      <c r="BB182" s="54">
        <f t="shared" si="65"/>
        <v>17.775000000000002</v>
      </c>
      <c r="BC182" s="54">
        <f t="shared" si="89"/>
        <v>17.775000000000002</v>
      </c>
      <c r="BD182" s="54">
        <f t="shared" si="89"/>
        <v>17.775000000000002</v>
      </c>
      <c r="BE182" s="54">
        <f t="shared" si="89"/>
        <v>17.775000000000002</v>
      </c>
      <c r="BF182" s="54">
        <f t="shared" si="71"/>
        <v>17.775000000000002</v>
      </c>
      <c r="BG182" s="54">
        <f t="shared" si="71"/>
        <v>17.775000000000002</v>
      </c>
      <c r="BH182" s="54">
        <f t="shared" si="71"/>
        <v>17.775000000000002</v>
      </c>
      <c r="BI182" s="62">
        <f t="shared" si="68"/>
        <v>0</v>
      </c>
      <c r="BJ182" s="59">
        <f t="shared" si="83"/>
        <v>0</v>
      </c>
      <c r="BK182" s="59">
        <f t="shared" si="83"/>
        <v>0</v>
      </c>
      <c r="BL182" s="59">
        <f t="shared" si="83"/>
        <v>0</v>
      </c>
      <c r="BM182" s="59">
        <f t="shared" si="83"/>
        <v>0</v>
      </c>
      <c r="BN182" s="59">
        <f t="shared" si="83"/>
        <v>0</v>
      </c>
      <c r="BO182" s="59">
        <f t="shared" si="83"/>
        <v>0</v>
      </c>
      <c r="BP182" s="59">
        <f t="shared" si="92"/>
        <v>0</v>
      </c>
      <c r="BQ182" s="59">
        <f t="shared" si="92"/>
        <v>0</v>
      </c>
      <c r="BR182" s="59">
        <f t="shared" si="92"/>
        <v>0</v>
      </c>
      <c r="BS182" s="59">
        <f t="shared" si="92"/>
        <v>0</v>
      </c>
      <c r="BT182" s="59">
        <f t="shared" si="92"/>
        <v>0</v>
      </c>
      <c r="BU182" s="59">
        <f t="shared" si="92"/>
        <v>0</v>
      </c>
      <c r="BV182" s="67">
        <f t="shared" si="75"/>
        <v>220.97307692307703</v>
      </c>
      <c r="BX182" s="54">
        <f t="shared" si="91"/>
        <v>24.323684210526316</v>
      </c>
      <c r="BY182" s="54">
        <f t="shared" si="91"/>
        <v>24.323684210526316</v>
      </c>
      <c r="BZ182" s="54">
        <f t="shared" si="91"/>
        <v>24.323684210526316</v>
      </c>
      <c r="CA182" s="54">
        <f t="shared" si="90"/>
        <v>24.323684210526316</v>
      </c>
      <c r="CB182" s="54">
        <f t="shared" si="90"/>
        <v>40.539473684210527</v>
      </c>
      <c r="CC182" s="54">
        <f t="shared" si="90"/>
        <v>24.323684210526316</v>
      </c>
      <c r="CD182" s="54">
        <f t="shared" si="90"/>
        <v>24.323684210526316</v>
      </c>
      <c r="CE182" s="54">
        <f t="shared" si="90"/>
        <v>24.323684210526316</v>
      </c>
      <c r="CF182" s="54">
        <f t="shared" si="90"/>
        <v>24.323684210526316</v>
      </c>
      <c r="CG182" s="54">
        <f t="shared" si="85"/>
        <v>24.323684210526316</v>
      </c>
      <c r="CH182" s="54">
        <f t="shared" si="85"/>
        <v>24.323684210526316</v>
      </c>
      <c r="CI182" s="54">
        <f t="shared" si="85"/>
        <v>24.323684210526316</v>
      </c>
      <c r="CJ182" s="74">
        <f t="shared" si="88"/>
        <v>308.10000000000002</v>
      </c>
      <c r="CK182" s="59">
        <f t="shared" si="80"/>
        <v>19</v>
      </c>
      <c r="CL182" s="9">
        <f t="shared" si="81"/>
        <v>0</v>
      </c>
      <c r="CM182" s="71">
        <f t="shared" si="77"/>
        <v>308.10000000000002</v>
      </c>
      <c r="CN182" s="54"/>
      <c r="CO182" s="73"/>
      <c r="CP182" s="56"/>
    </row>
    <row r="183" spans="1:94" ht="20.25" customHeight="1">
      <c r="A183" s="1" t="s">
        <v>489</v>
      </c>
      <c r="B183" s="1" t="s">
        <v>490</v>
      </c>
      <c r="C183" s="1" t="s">
        <v>491</v>
      </c>
      <c r="D183" s="58">
        <f>+VLOOKUP(A183,'[1]BDD-Avk Tx'!B:CE,82,0)</f>
        <v>120</v>
      </c>
      <c r="E183" s="59">
        <v>150.80000000000001</v>
      </c>
      <c r="G183" s="4">
        <v>43588</v>
      </c>
      <c r="H183" s="4">
        <f t="shared" si="72"/>
        <v>45647</v>
      </c>
      <c r="I183" s="60" t="str">
        <f>+VLOOKUP(A183,'[1]BDD-Avk Tx'!B:BZ,77,0)</f>
        <v>CDI</v>
      </c>
      <c r="J183" s="4">
        <f t="shared" si="73"/>
        <v>45647</v>
      </c>
      <c r="N183" s="3"/>
      <c r="P183" s="54">
        <f t="shared" si="78"/>
        <v>6.583333333333333</v>
      </c>
      <c r="Q183" s="61">
        <v>19.5</v>
      </c>
      <c r="R183" s="62">
        <f t="shared" si="79"/>
        <v>19</v>
      </c>
      <c r="S183" s="54">
        <f t="shared" si="87"/>
        <v>1.5</v>
      </c>
      <c r="T183" s="54">
        <f t="shared" si="86"/>
        <v>1.5</v>
      </c>
      <c r="U183" s="54">
        <f t="shared" si="86"/>
        <v>1.5</v>
      </c>
      <c r="V183" s="54">
        <f t="shared" si="86"/>
        <v>1.5</v>
      </c>
      <c r="W183" s="54">
        <f t="shared" si="86"/>
        <v>1.5</v>
      </c>
      <c r="X183" s="54">
        <f t="shared" si="86"/>
        <v>2.5</v>
      </c>
      <c r="Y183" s="54">
        <f t="shared" si="86"/>
        <v>1.5</v>
      </c>
      <c r="Z183" s="54">
        <f t="shared" si="86"/>
        <v>1.5</v>
      </c>
      <c r="AA183" s="54">
        <f t="shared" si="86"/>
        <v>1.5</v>
      </c>
      <c r="AB183" s="54">
        <f t="shared" si="86"/>
        <v>1.5</v>
      </c>
      <c r="AC183" s="54">
        <f t="shared" si="86"/>
        <v>1.5</v>
      </c>
      <c r="AD183" s="54">
        <f t="shared" si="86"/>
        <v>1.5</v>
      </c>
      <c r="AF183" s="62">
        <f t="shared" si="84"/>
        <v>19</v>
      </c>
      <c r="AG183" s="64">
        <v>10</v>
      </c>
      <c r="AH183" s="64">
        <v>7</v>
      </c>
      <c r="AI183" s="65">
        <v>2</v>
      </c>
      <c r="AJ183" s="66"/>
      <c r="AK183" s="64"/>
      <c r="AL183" s="64"/>
      <c r="AM183" s="64"/>
      <c r="AN183" s="64"/>
      <c r="AO183" s="64"/>
      <c r="AP183" s="64"/>
      <c r="AQ183" s="64"/>
      <c r="AR183" s="64"/>
      <c r="AS183" s="67">
        <f t="shared" si="74"/>
        <v>19.5</v>
      </c>
      <c r="AT183" s="68"/>
      <c r="AU183" s="69">
        <v>112.90000000000006</v>
      </c>
      <c r="AV183" s="62">
        <f t="shared" si="70"/>
        <v>110.20000000000002</v>
      </c>
      <c r="AW183" s="54">
        <f t="shared" si="65"/>
        <v>8.7000000000000011</v>
      </c>
      <c r="AX183" s="54">
        <f t="shared" si="65"/>
        <v>8.7000000000000011</v>
      </c>
      <c r="AY183" s="54">
        <f t="shared" si="65"/>
        <v>8.7000000000000011</v>
      </c>
      <c r="AZ183" s="54">
        <f t="shared" si="65"/>
        <v>8.7000000000000011</v>
      </c>
      <c r="BA183" s="54">
        <f t="shared" si="65"/>
        <v>8.7000000000000011</v>
      </c>
      <c r="BB183" s="54">
        <f t="shared" si="65"/>
        <v>14.500000000000002</v>
      </c>
      <c r="BC183" s="54">
        <f t="shared" si="89"/>
        <v>8.7000000000000011</v>
      </c>
      <c r="BD183" s="54">
        <f t="shared" si="89"/>
        <v>8.7000000000000011</v>
      </c>
      <c r="BE183" s="54">
        <f t="shared" si="89"/>
        <v>8.7000000000000011</v>
      </c>
      <c r="BF183" s="54">
        <f t="shared" si="71"/>
        <v>8.7000000000000011</v>
      </c>
      <c r="BG183" s="54">
        <f t="shared" si="71"/>
        <v>8.7000000000000011</v>
      </c>
      <c r="BH183" s="54">
        <f t="shared" si="71"/>
        <v>8.7000000000000011</v>
      </c>
      <c r="BI183" s="62">
        <f t="shared" si="68"/>
        <v>-110.20000000000002</v>
      </c>
      <c r="BJ183" s="59">
        <f t="shared" si="83"/>
        <v>-58.000000000000007</v>
      </c>
      <c r="BK183" s="59">
        <f t="shared" si="83"/>
        <v>-40.600000000000009</v>
      </c>
      <c r="BL183" s="59">
        <f t="shared" si="83"/>
        <v>-11.600000000000001</v>
      </c>
      <c r="BM183" s="59">
        <f t="shared" si="83"/>
        <v>0</v>
      </c>
      <c r="BN183" s="59">
        <f t="shared" si="83"/>
        <v>0</v>
      </c>
      <c r="BO183" s="59">
        <f t="shared" si="83"/>
        <v>0</v>
      </c>
      <c r="BP183" s="59">
        <f t="shared" si="92"/>
        <v>0</v>
      </c>
      <c r="BQ183" s="59">
        <f t="shared" si="92"/>
        <v>0</v>
      </c>
      <c r="BR183" s="59">
        <f t="shared" si="92"/>
        <v>0</v>
      </c>
      <c r="BS183" s="59">
        <f t="shared" si="92"/>
        <v>0</v>
      </c>
      <c r="BT183" s="59">
        <f t="shared" si="92"/>
        <v>0</v>
      </c>
      <c r="BU183" s="59">
        <f t="shared" si="92"/>
        <v>0</v>
      </c>
      <c r="BV183" s="67">
        <f t="shared" si="75"/>
        <v>112.90000000000006</v>
      </c>
      <c r="BX183" s="54">
        <f t="shared" si="91"/>
        <v>11.905263157894737</v>
      </c>
      <c r="BY183" s="54">
        <f t="shared" si="91"/>
        <v>11.905263157894737</v>
      </c>
      <c r="BZ183" s="54">
        <f t="shared" si="91"/>
        <v>11.905263157894737</v>
      </c>
      <c r="CA183" s="54">
        <f t="shared" si="90"/>
        <v>11.905263157894737</v>
      </c>
      <c r="CB183" s="54">
        <f t="shared" si="90"/>
        <v>11.905263157894737</v>
      </c>
      <c r="CC183" s="54">
        <f t="shared" si="90"/>
        <v>19.842105263157897</v>
      </c>
      <c r="CD183" s="54">
        <f t="shared" si="90"/>
        <v>11.905263157894737</v>
      </c>
      <c r="CE183" s="54">
        <f t="shared" si="90"/>
        <v>11.905263157894737</v>
      </c>
      <c r="CF183" s="54">
        <f t="shared" si="90"/>
        <v>11.905263157894737</v>
      </c>
      <c r="CG183" s="54">
        <f t="shared" si="85"/>
        <v>11.905263157894737</v>
      </c>
      <c r="CH183" s="54">
        <f t="shared" si="85"/>
        <v>11.905263157894737</v>
      </c>
      <c r="CI183" s="54">
        <f t="shared" si="85"/>
        <v>11.905263157894737</v>
      </c>
      <c r="CJ183" s="74">
        <f t="shared" si="88"/>
        <v>150.80000000000001</v>
      </c>
      <c r="CK183" s="59">
        <f t="shared" si="80"/>
        <v>19</v>
      </c>
      <c r="CL183" s="9">
        <f t="shared" si="81"/>
        <v>0</v>
      </c>
      <c r="CM183" s="71">
        <f t="shared" si="77"/>
        <v>150.80000000000001</v>
      </c>
      <c r="CN183" s="72"/>
      <c r="CO183" s="73"/>
    </row>
    <row r="184" spans="1:94" ht="20.25" customHeight="1">
      <c r="A184" s="1" t="s">
        <v>492</v>
      </c>
      <c r="B184" s="1" t="s">
        <v>493</v>
      </c>
      <c r="C184" s="1" t="s">
        <v>79</v>
      </c>
      <c r="D184" s="58">
        <f>+VLOOKUP(A184,'[1]BDD-Avk Tx'!B:CE,82,0)</f>
        <v>972</v>
      </c>
      <c r="E184" s="59">
        <v>130</v>
      </c>
      <c r="G184" s="4">
        <v>43636</v>
      </c>
      <c r="H184" s="4">
        <f t="shared" si="72"/>
        <v>45647</v>
      </c>
      <c r="I184" s="60" t="str">
        <f>+VLOOKUP(A184,'[1]BDD-Avk Tx'!B:BZ,77,0)</f>
        <v>CDI</v>
      </c>
      <c r="J184" s="4">
        <f t="shared" si="73"/>
        <v>45647</v>
      </c>
      <c r="N184" s="3"/>
      <c r="P184" s="54">
        <f t="shared" si="78"/>
        <v>6.5</v>
      </c>
      <c r="Q184" s="61">
        <v>1</v>
      </c>
      <c r="R184" s="62">
        <f t="shared" si="79"/>
        <v>19</v>
      </c>
      <c r="S184" s="54">
        <f t="shared" si="87"/>
        <v>1.5</v>
      </c>
      <c r="T184" s="54">
        <f t="shared" si="86"/>
        <v>1.5</v>
      </c>
      <c r="U184" s="54">
        <f t="shared" si="86"/>
        <v>1.5</v>
      </c>
      <c r="V184" s="54">
        <f t="shared" si="86"/>
        <v>1.5</v>
      </c>
      <c r="W184" s="54">
        <f t="shared" si="86"/>
        <v>1.5</v>
      </c>
      <c r="X184" s="54">
        <f t="shared" si="86"/>
        <v>1.5</v>
      </c>
      <c r="Y184" s="54">
        <f t="shared" si="86"/>
        <v>2.5</v>
      </c>
      <c r="Z184" s="54">
        <f t="shared" si="86"/>
        <v>1.5</v>
      </c>
      <c r="AA184" s="54">
        <f t="shared" si="86"/>
        <v>1.5</v>
      </c>
      <c r="AB184" s="54">
        <f t="shared" si="86"/>
        <v>1.5</v>
      </c>
      <c r="AC184" s="54">
        <f t="shared" si="86"/>
        <v>1.5</v>
      </c>
      <c r="AD184" s="54">
        <f t="shared" si="86"/>
        <v>1.5</v>
      </c>
      <c r="AF184" s="62">
        <f t="shared" si="84"/>
        <v>20</v>
      </c>
      <c r="AG184" s="64">
        <v>0</v>
      </c>
      <c r="AH184" s="64">
        <v>16</v>
      </c>
      <c r="AI184" s="65">
        <v>4</v>
      </c>
      <c r="AJ184" s="66"/>
      <c r="AK184" s="64"/>
      <c r="AL184" s="64"/>
      <c r="AM184" s="64"/>
      <c r="AN184" s="64"/>
      <c r="AO184" s="64"/>
      <c r="AP184" s="64"/>
      <c r="AQ184" s="64"/>
      <c r="AR184" s="64"/>
      <c r="AS184" s="67">
        <f t="shared" si="74"/>
        <v>0</v>
      </c>
      <c r="AT184" s="68"/>
      <c r="AU184" s="69">
        <v>5</v>
      </c>
      <c r="AV184" s="62">
        <f t="shared" si="70"/>
        <v>95</v>
      </c>
      <c r="AW184" s="54">
        <f t="shared" si="65"/>
        <v>7.5</v>
      </c>
      <c r="AX184" s="54">
        <f t="shared" si="65"/>
        <v>7.5</v>
      </c>
      <c r="AY184" s="54">
        <f t="shared" si="65"/>
        <v>7.5</v>
      </c>
      <c r="AZ184" s="54">
        <f t="shared" si="65"/>
        <v>7.5</v>
      </c>
      <c r="BA184" s="54">
        <f t="shared" si="65"/>
        <v>7.5</v>
      </c>
      <c r="BB184" s="54">
        <f t="shared" si="65"/>
        <v>7.5</v>
      </c>
      <c r="BC184" s="54">
        <f t="shared" si="89"/>
        <v>12.5</v>
      </c>
      <c r="BD184" s="54">
        <f t="shared" si="89"/>
        <v>7.5</v>
      </c>
      <c r="BE184" s="54">
        <f t="shared" si="89"/>
        <v>7.5</v>
      </c>
      <c r="BF184" s="54">
        <f t="shared" si="71"/>
        <v>7.5</v>
      </c>
      <c r="BG184" s="54">
        <f t="shared" si="71"/>
        <v>7.5</v>
      </c>
      <c r="BH184" s="54">
        <f t="shared" si="71"/>
        <v>7.5</v>
      </c>
      <c r="BI184" s="62">
        <f t="shared" si="68"/>
        <v>-100</v>
      </c>
      <c r="BJ184" s="59">
        <f t="shared" si="83"/>
        <v>0</v>
      </c>
      <c r="BK184" s="59">
        <f t="shared" si="83"/>
        <v>-80</v>
      </c>
      <c r="BL184" s="59">
        <f t="shared" si="83"/>
        <v>-20</v>
      </c>
      <c r="BM184" s="59">
        <f t="shared" si="83"/>
        <v>0</v>
      </c>
      <c r="BN184" s="59">
        <f t="shared" si="83"/>
        <v>0</v>
      </c>
      <c r="BO184" s="59">
        <f t="shared" si="83"/>
        <v>0</v>
      </c>
      <c r="BP184" s="59">
        <f t="shared" si="92"/>
        <v>0</v>
      </c>
      <c r="BQ184" s="59">
        <f t="shared" si="92"/>
        <v>0</v>
      </c>
      <c r="BR184" s="59">
        <f t="shared" si="92"/>
        <v>0</v>
      </c>
      <c r="BS184" s="59">
        <f t="shared" si="92"/>
        <v>0</v>
      </c>
      <c r="BT184" s="59">
        <f t="shared" si="92"/>
        <v>0</v>
      </c>
      <c r="BU184" s="59">
        <f t="shared" si="92"/>
        <v>0</v>
      </c>
      <c r="BV184" s="67">
        <f t="shared" si="75"/>
        <v>0</v>
      </c>
      <c r="BX184" s="54">
        <f t="shared" si="91"/>
        <v>10.263157894736842</v>
      </c>
      <c r="BY184" s="54">
        <f t="shared" si="91"/>
        <v>10.263157894736842</v>
      </c>
      <c r="BZ184" s="54">
        <f t="shared" si="91"/>
        <v>10.263157894736842</v>
      </c>
      <c r="CA184" s="54">
        <f t="shared" si="90"/>
        <v>10.263157894736842</v>
      </c>
      <c r="CB184" s="54">
        <f t="shared" si="90"/>
        <v>10.263157894736842</v>
      </c>
      <c r="CC184" s="54">
        <f t="shared" si="90"/>
        <v>10.263157894736842</v>
      </c>
      <c r="CD184" s="54">
        <f t="shared" si="90"/>
        <v>17.105263157894736</v>
      </c>
      <c r="CE184" s="54">
        <f t="shared" si="90"/>
        <v>10.263157894736842</v>
      </c>
      <c r="CF184" s="54">
        <f t="shared" si="90"/>
        <v>10.263157894736842</v>
      </c>
      <c r="CG184" s="54">
        <f t="shared" si="85"/>
        <v>10.263157894736842</v>
      </c>
      <c r="CH184" s="54">
        <f t="shared" si="85"/>
        <v>10.263157894736842</v>
      </c>
      <c r="CI184" s="54">
        <f t="shared" si="85"/>
        <v>10.263157894736842</v>
      </c>
      <c r="CJ184" s="74">
        <f t="shared" si="88"/>
        <v>130.00000000000003</v>
      </c>
      <c r="CK184" s="59">
        <f t="shared" si="80"/>
        <v>19</v>
      </c>
      <c r="CL184" s="9">
        <f t="shared" si="81"/>
        <v>0</v>
      </c>
      <c r="CM184" s="71">
        <f t="shared" si="77"/>
        <v>130</v>
      </c>
      <c r="CN184" s="54"/>
      <c r="CO184" s="73"/>
      <c r="CP184" s="56"/>
    </row>
    <row r="185" spans="1:94" ht="20.25" customHeight="1">
      <c r="A185" s="75" t="s">
        <v>494</v>
      </c>
      <c r="B185" s="1" t="s">
        <v>495</v>
      </c>
      <c r="C185" s="1" t="s">
        <v>491</v>
      </c>
      <c r="D185" s="58">
        <f>+VLOOKUP(A185,'[1]BDD-Avk Tx'!B:CE,82,0)</f>
        <v>120</v>
      </c>
      <c r="E185" s="59">
        <v>150.80000000000001</v>
      </c>
      <c r="G185" s="4">
        <v>43639</v>
      </c>
      <c r="H185" s="4">
        <f t="shared" si="72"/>
        <v>45647</v>
      </c>
      <c r="I185" s="60" t="str">
        <f>+VLOOKUP(A185,'[1]BDD-Avk Tx'!B:BZ,77,0)</f>
        <v>CDI</v>
      </c>
      <c r="J185" s="4">
        <f t="shared" si="73"/>
        <v>45647</v>
      </c>
      <c r="N185" s="3"/>
      <c r="P185" s="54">
        <f t="shared" si="78"/>
        <v>6.416666666666667</v>
      </c>
      <c r="Q185" s="61">
        <v>0</v>
      </c>
      <c r="R185" s="62">
        <f t="shared" si="79"/>
        <v>19</v>
      </c>
      <c r="S185" s="54">
        <f t="shared" si="87"/>
        <v>1.5</v>
      </c>
      <c r="T185" s="54">
        <f t="shared" si="86"/>
        <v>1.5</v>
      </c>
      <c r="U185" s="54">
        <f t="shared" si="86"/>
        <v>1.5</v>
      </c>
      <c r="V185" s="54">
        <f t="shared" si="86"/>
        <v>1.5</v>
      </c>
      <c r="W185" s="54">
        <f t="shared" si="86"/>
        <v>1.5</v>
      </c>
      <c r="X185" s="54">
        <f t="shared" si="86"/>
        <v>1.5</v>
      </c>
      <c r="Y185" s="54">
        <f t="shared" si="86"/>
        <v>2.5</v>
      </c>
      <c r="Z185" s="54">
        <f t="shared" si="86"/>
        <v>1.5</v>
      </c>
      <c r="AA185" s="54">
        <f t="shared" si="86"/>
        <v>1.5</v>
      </c>
      <c r="AB185" s="54">
        <f t="shared" si="86"/>
        <v>1.5</v>
      </c>
      <c r="AC185" s="54">
        <f t="shared" si="86"/>
        <v>1.5</v>
      </c>
      <c r="AD185" s="54">
        <f t="shared" si="86"/>
        <v>1.5</v>
      </c>
      <c r="AF185" s="62">
        <f t="shared" si="84"/>
        <v>0</v>
      </c>
      <c r="AG185" s="64">
        <v>0</v>
      </c>
      <c r="AH185" s="64">
        <v>0</v>
      </c>
      <c r="AI185" s="65">
        <v>0</v>
      </c>
      <c r="AJ185" s="66"/>
      <c r="AK185" s="64"/>
      <c r="AL185" s="64"/>
      <c r="AM185" s="64"/>
      <c r="AN185" s="64"/>
      <c r="AO185" s="64"/>
      <c r="AP185" s="64"/>
      <c r="AQ185" s="64"/>
      <c r="AR185" s="64"/>
      <c r="AS185" s="67">
        <f t="shared" si="74"/>
        <v>19</v>
      </c>
      <c r="AT185" s="68"/>
      <c r="AU185" s="69">
        <v>-0.15384615384608935</v>
      </c>
      <c r="AV185" s="62">
        <f t="shared" si="70"/>
        <v>110.20000000000003</v>
      </c>
      <c r="AW185" s="54">
        <f t="shared" si="65"/>
        <v>8.7000000000000011</v>
      </c>
      <c r="AX185" s="54">
        <f t="shared" si="65"/>
        <v>8.7000000000000011</v>
      </c>
      <c r="AY185" s="54">
        <f t="shared" si="65"/>
        <v>8.7000000000000011</v>
      </c>
      <c r="AZ185" s="54">
        <f t="shared" si="65"/>
        <v>8.7000000000000011</v>
      </c>
      <c r="BA185" s="54">
        <f t="shared" si="65"/>
        <v>8.7000000000000011</v>
      </c>
      <c r="BB185" s="54">
        <f t="shared" si="65"/>
        <v>8.7000000000000011</v>
      </c>
      <c r="BC185" s="54">
        <f t="shared" si="89"/>
        <v>14.500000000000002</v>
      </c>
      <c r="BD185" s="54">
        <f t="shared" si="89"/>
        <v>8.7000000000000011</v>
      </c>
      <c r="BE185" s="54">
        <f t="shared" si="89"/>
        <v>8.7000000000000011</v>
      </c>
      <c r="BF185" s="54">
        <f t="shared" si="71"/>
        <v>8.7000000000000011</v>
      </c>
      <c r="BG185" s="54">
        <f t="shared" si="71"/>
        <v>8.7000000000000011</v>
      </c>
      <c r="BH185" s="54">
        <f t="shared" si="71"/>
        <v>8.7000000000000011</v>
      </c>
      <c r="BI185" s="62">
        <f t="shared" si="68"/>
        <v>0</v>
      </c>
      <c r="BJ185" s="59">
        <f t="shared" si="83"/>
        <v>0</v>
      </c>
      <c r="BK185" s="59">
        <f t="shared" si="83"/>
        <v>0</v>
      </c>
      <c r="BL185" s="59">
        <f t="shared" si="83"/>
        <v>0</v>
      </c>
      <c r="BM185" s="59">
        <f t="shared" si="83"/>
        <v>0</v>
      </c>
      <c r="BN185" s="59">
        <f t="shared" si="83"/>
        <v>0</v>
      </c>
      <c r="BO185" s="59">
        <f t="shared" si="83"/>
        <v>0</v>
      </c>
      <c r="BP185" s="59">
        <f t="shared" si="92"/>
        <v>0</v>
      </c>
      <c r="BQ185" s="59">
        <f t="shared" si="92"/>
        <v>0</v>
      </c>
      <c r="BR185" s="59">
        <f t="shared" si="92"/>
        <v>0</v>
      </c>
      <c r="BS185" s="59">
        <f t="shared" si="92"/>
        <v>0</v>
      </c>
      <c r="BT185" s="59">
        <f t="shared" si="92"/>
        <v>0</v>
      </c>
      <c r="BU185" s="59">
        <f t="shared" si="92"/>
        <v>0</v>
      </c>
      <c r="BV185" s="67">
        <f t="shared" si="75"/>
        <v>110.04615384615394</v>
      </c>
      <c r="BX185" s="54">
        <f t="shared" si="91"/>
        <v>11.905263157894737</v>
      </c>
      <c r="BY185" s="54">
        <f t="shared" si="91"/>
        <v>11.905263157894737</v>
      </c>
      <c r="BZ185" s="54">
        <f t="shared" si="91"/>
        <v>11.905263157894737</v>
      </c>
      <c r="CA185" s="54">
        <f t="shared" si="90"/>
        <v>11.905263157894737</v>
      </c>
      <c r="CB185" s="54">
        <f t="shared" si="90"/>
        <v>11.905263157894737</v>
      </c>
      <c r="CC185" s="54">
        <f t="shared" si="90"/>
        <v>11.905263157894737</v>
      </c>
      <c r="CD185" s="54">
        <f t="shared" si="90"/>
        <v>19.842105263157897</v>
      </c>
      <c r="CE185" s="54">
        <f t="shared" si="90"/>
        <v>11.905263157894737</v>
      </c>
      <c r="CF185" s="54">
        <f t="shared" si="90"/>
        <v>11.905263157894737</v>
      </c>
      <c r="CG185" s="54">
        <f t="shared" si="85"/>
        <v>11.905263157894737</v>
      </c>
      <c r="CH185" s="54">
        <f t="shared" si="85"/>
        <v>11.905263157894737</v>
      </c>
      <c r="CI185" s="54">
        <f t="shared" si="85"/>
        <v>11.905263157894737</v>
      </c>
      <c r="CJ185" s="74">
        <f t="shared" si="88"/>
        <v>150.80000000000001</v>
      </c>
      <c r="CK185" s="59">
        <f t="shared" si="80"/>
        <v>19</v>
      </c>
      <c r="CL185" s="9">
        <f t="shared" si="81"/>
        <v>0</v>
      </c>
      <c r="CM185" s="71">
        <f t="shared" si="77"/>
        <v>150.80000000000001</v>
      </c>
      <c r="CN185" s="72"/>
      <c r="CO185" s="73"/>
    </row>
    <row r="186" spans="1:94" ht="20.25" customHeight="1">
      <c r="A186" s="1" t="s">
        <v>496</v>
      </c>
      <c r="B186" s="1" t="s">
        <v>497</v>
      </c>
      <c r="C186" s="1" t="s">
        <v>397</v>
      </c>
      <c r="D186" s="58">
        <f>+VLOOKUP(A186,'[1]BDD-Avk Tx'!B:CE,82,0)</f>
        <v>481</v>
      </c>
      <c r="E186" s="59">
        <v>172.9</v>
      </c>
      <c r="G186" s="4">
        <v>43656</v>
      </c>
      <c r="H186" s="4">
        <f t="shared" si="72"/>
        <v>45647</v>
      </c>
      <c r="I186" s="60" t="str">
        <f>+VLOOKUP(A186,'[1]BDD-Avk Tx'!B:BZ,77,0)</f>
        <v>CDI</v>
      </c>
      <c r="J186" s="4">
        <f t="shared" si="73"/>
        <v>45647</v>
      </c>
      <c r="N186" s="3"/>
      <c r="P186" s="54">
        <f t="shared" si="78"/>
        <v>6.416666666666667</v>
      </c>
      <c r="Q186" s="61">
        <v>17</v>
      </c>
      <c r="R186" s="62">
        <f t="shared" si="79"/>
        <v>19</v>
      </c>
      <c r="S186" s="54">
        <f t="shared" si="87"/>
        <v>1.5</v>
      </c>
      <c r="T186" s="54">
        <f t="shared" si="86"/>
        <v>1.5</v>
      </c>
      <c r="U186" s="54">
        <f t="shared" si="86"/>
        <v>1.5</v>
      </c>
      <c r="V186" s="54">
        <f t="shared" si="86"/>
        <v>1.5</v>
      </c>
      <c r="W186" s="54">
        <f t="shared" si="86"/>
        <v>1.5</v>
      </c>
      <c r="X186" s="54">
        <f t="shared" si="86"/>
        <v>1.5</v>
      </c>
      <c r="Y186" s="54">
        <f t="shared" si="86"/>
        <v>1.5</v>
      </c>
      <c r="Z186" s="54">
        <f t="shared" si="86"/>
        <v>2.5</v>
      </c>
      <c r="AA186" s="54">
        <f t="shared" si="86"/>
        <v>1.5</v>
      </c>
      <c r="AB186" s="54">
        <f t="shared" si="86"/>
        <v>1.5</v>
      </c>
      <c r="AC186" s="54">
        <f t="shared" si="86"/>
        <v>1.5</v>
      </c>
      <c r="AD186" s="54">
        <f t="shared" si="86"/>
        <v>1.5</v>
      </c>
      <c r="AF186" s="62">
        <f t="shared" si="84"/>
        <v>18</v>
      </c>
      <c r="AG186" s="64">
        <v>18</v>
      </c>
      <c r="AH186" s="64">
        <v>0</v>
      </c>
      <c r="AI186" s="65">
        <v>0</v>
      </c>
      <c r="AJ186" s="66"/>
      <c r="AK186" s="64"/>
      <c r="AL186" s="64"/>
      <c r="AM186" s="64"/>
      <c r="AN186" s="64"/>
      <c r="AO186" s="64"/>
      <c r="AP186" s="64"/>
      <c r="AQ186" s="64"/>
      <c r="AR186" s="64"/>
      <c r="AS186" s="67">
        <f t="shared" si="74"/>
        <v>18</v>
      </c>
      <c r="AT186" s="68"/>
      <c r="AU186" s="69">
        <v>108.64615384615398</v>
      </c>
      <c r="AV186" s="62">
        <f t="shared" si="70"/>
        <v>126.35</v>
      </c>
      <c r="AW186" s="54">
        <f t="shared" si="65"/>
        <v>9.9750000000000014</v>
      </c>
      <c r="AX186" s="54">
        <f t="shared" si="65"/>
        <v>9.9750000000000014</v>
      </c>
      <c r="AY186" s="54">
        <f t="shared" si="65"/>
        <v>9.9750000000000014</v>
      </c>
      <c r="AZ186" s="54">
        <f t="shared" si="65"/>
        <v>9.9750000000000014</v>
      </c>
      <c r="BA186" s="54">
        <f t="shared" si="65"/>
        <v>9.9750000000000014</v>
      </c>
      <c r="BB186" s="54">
        <f t="shared" si="65"/>
        <v>9.9750000000000014</v>
      </c>
      <c r="BC186" s="54">
        <f t="shared" si="89"/>
        <v>9.9750000000000014</v>
      </c>
      <c r="BD186" s="54">
        <f t="shared" si="89"/>
        <v>16.625</v>
      </c>
      <c r="BE186" s="54">
        <f t="shared" si="89"/>
        <v>9.9750000000000014</v>
      </c>
      <c r="BF186" s="54">
        <f t="shared" si="71"/>
        <v>9.9750000000000014</v>
      </c>
      <c r="BG186" s="54">
        <f t="shared" si="71"/>
        <v>9.9750000000000014</v>
      </c>
      <c r="BH186" s="54">
        <f t="shared" si="71"/>
        <v>9.9750000000000014</v>
      </c>
      <c r="BI186" s="62">
        <f t="shared" si="68"/>
        <v>-119.7</v>
      </c>
      <c r="BJ186" s="59">
        <f t="shared" si="83"/>
        <v>-119.7</v>
      </c>
      <c r="BK186" s="59">
        <f t="shared" si="83"/>
        <v>0</v>
      </c>
      <c r="BL186" s="59">
        <f t="shared" si="83"/>
        <v>0</v>
      </c>
      <c r="BM186" s="59">
        <f t="shared" si="83"/>
        <v>0</v>
      </c>
      <c r="BN186" s="59">
        <f t="shared" si="83"/>
        <v>0</v>
      </c>
      <c r="BO186" s="59">
        <f t="shared" si="83"/>
        <v>0</v>
      </c>
      <c r="BP186" s="59">
        <f t="shared" si="92"/>
        <v>0</v>
      </c>
      <c r="BQ186" s="59">
        <f t="shared" si="92"/>
        <v>0</v>
      </c>
      <c r="BR186" s="59">
        <f t="shared" si="92"/>
        <v>0</v>
      </c>
      <c r="BS186" s="59">
        <f t="shared" si="92"/>
        <v>0</v>
      </c>
      <c r="BT186" s="59">
        <f t="shared" si="92"/>
        <v>0</v>
      </c>
      <c r="BU186" s="59">
        <f t="shared" si="92"/>
        <v>0</v>
      </c>
      <c r="BV186" s="67">
        <f t="shared" si="75"/>
        <v>115.29615384615396</v>
      </c>
      <c r="BX186" s="54">
        <f t="shared" si="91"/>
        <v>13.649999999999999</v>
      </c>
      <c r="BY186" s="54">
        <f t="shared" si="91"/>
        <v>13.649999999999999</v>
      </c>
      <c r="BZ186" s="54">
        <f t="shared" si="91"/>
        <v>13.649999999999999</v>
      </c>
      <c r="CA186" s="54">
        <f t="shared" si="90"/>
        <v>13.649999999999999</v>
      </c>
      <c r="CB186" s="54">
        <f t="shared" si="90"/>
        <v>13.649999999999999</v>
      </c>
      <c r="CC186" s="54">
        <f t="shared" si="90"/>
        <v>13.649999999999999</v>
      </c>
      <c r="CD186" s="54">
        <f t="shared" si="90"/>
        <v>13.649999999999999</v>
      </c>
      <c r="CE186" s="54">
        <f t="shared" si="90"/>
        <v>22.75</v>
      </c>
      <c r="CF186" s="54">
        <f t="shared" si="90"/>
        <v>13.649999999999999</v>
      </c>
      <c r="CG186" s="54">
        <f t="shared" si="85"/>
        <v>13.649999999999999</v>
      </c>
      <c r="CH186" s="54">
        <f t="shared" si="85"/>
        <v>13.649999999999999</v>
      </c>
      <c r="CI186" s="54">
        <f t="shared" si="85"/>
        <v>13.649999999999999</v>
      </c>
      <c r="CJ186" s="74">
        <f t="shared" si="88"/>
        <v>172.90000000000003</v>
      </c>
      <c r="CK186" s="59">
        <f t="shared" si="80"/>
        <v>19</v>
      </c>
      <c r="CL186" s="9">
        <f t="shared" si="81"/>
        <v>0</v>
      </c>
      <c r="CM186" s="71">
        <f t="shared" si="77"/>
        <v>172.9</v>
      </c>
      <c r="CN186" s="54"/>
      <c r="CO186" s="73"/>
      <c r="CP186" s="56"/>
    </row>
    <row r="187" spans="1:94" ht="20.25" customHeight="1">
      <c r="A187" s="75" t="s">
        <v>498</v>
      </c>
      <c r="B187" s="1" t="s">
        <v>499</v>
      </c>
      <c r="C187" s="1" t="s">
        <v>500</v>
      </c>
      <c r="D187" s="58">
        <f>+VLOOKUP(A187,'[1]BDD-Avk Tx'!B:CE,82,0)</f>
        <v>650</v>
      </c>
      <c r="E187" s="59">
        <v>150.80000000000001</v>
      </c>
      <c r="G187" s="4">
        <v>43643</v>
      </c>
      <c r="H187" s="4">
        <f t="shared" si="72"/>
        <v>45647</v>
      </c>
      <c r="I187" s="60" t="str">
        <f>+VLOOKUP(A187,'[1]BDD-Avk Tx'!B:BZ,77,0)</f>
        <v>CDI</v>
      </c>
      <c r="J187" s="4">
        <f t="shared" si="73"/>
        <v>45647</v>
      </c>
      <c r="N187" s="3"/>
      <c r="P187" s="54">
        <f t="shared" si="78"/>
        <v>6.416666666666667</v>
      </c>
      <c r="Q187" s="61">
        <v>0</v>
      </c>
      <c r="R187" s="62">
        <f t="shared" si="79"/>
        <v>19</v>
      </c>
      <c r="S187" s="54">
        <f t="shared" si="87"/>
        <v>1.5</v>
      </c>
      <c r="T187" s="54">
        <f t="shared" si="86"/>
        <v>1.5</v>
      </c>
      <c r="U187" s="54">
        <f t="shared" si="86"/>
        <v>1.5</v>
      </c>
      <c r="V187" s="54">
        <f t="shared" si="86"/>
        <v>1.5</v>
      </c>
      <c r="W187" s="54">
        <f t="shared" si="86"/>
        <v>1.5</v>
      </c>
      <c r="X187" s="54">
        <f t="shared" si="86"/>
        <v>1.5</v>
      </c>
      <c r="Y187" s="54">
        <f t="shared" si="86"/>
        <v>2.5</v>
      </c>
      <c r="Z187" s="54">
        <f t="shared" si="86"/>
        <v>1.5</v>
      </c>
      <c r="AA187" s="54">
        <f t="shared" si="86"/>
        <v>1.5</v>
      </c>
      <c r="AB187" s="54">
        <f t="shared" si="86"/>
        <v>1.5</v>
      </c>
      <c r="AC187" s="54">
        <f t="shared" si="86"/>
        <v>1.5</v>
      </c>
      <c r="AD187" s="54">
        <f t="shared" si="86"/>
        <v>1.5</v>
      </c>
      <c r="AF187" s="62">
        <f t="shared" si="84"/>
        <v>0</v>
      </c>
      <c r="AG187" s="64">
        <v>0</v>
      </c>
      <c r="AH187" s="64">
        <v>0</v>
      </c>
      <c r="AI187" s="65">
        <v>0</v>
      </c>
      <c r="AJ187" s="66"/>
      <c r="AK187" s="64"/>
      <c r="AL187" s="64"/>
      <c r="AM187" s="64"/>
      <c r="AN187" s="64"/>
      <c r="AO187" s="64"/>
      <c r="AP187" s="64"/>
      <c r="AQ187" s="64"/>
      <c r="AR187" s="64"/>
      <c r="AS187" s="67">
        <f t="shared" si="74"/>
        <v>19</v>
      </c>
      <c r="AT187" s="68"/>
      <c r="AU187" s="69">
        <v>-0.76923076923074518</v>
      </c>
      <c r="AV187" s="62">
        <f t="shared" si="70"/>
        <v>110.20000000000003</v>
      </c>
      <c r="AW187" s="54">
        <f t="shared" ref="AW187:BH249" si="93">+IF($K187="",$E187/26*S187,IF(MONTH($K187)=MONTH(AW$5),$L187/26*S187,IF(AND($K187&lt;AW$5,(MONTH($K187)&lt;&gt;MONTH(AW$5))),$L187/26*S187,$E187/26*S187)))</f>
        <v>8.7000000000000011</v>
      </c>
      <c r="AX187" s="54">
        <f t="shared" si="93"/>
        <v>8.7000000000000011</v>
      </c>
      <c r="AY187" s="54">
        <f t="shared" si="93"/>
        <v>8.7000000000000011</v>
      </c>
      <c r="AZ187" s="54">
        <f t="shared" si="93"/>
        <v>8.7000000000000011</v>
      </c>
      <c r="BA187" s="54">
        <f t="shared" si="93"/>
        <v>8.7000000000000011</v>
      </c>
      <c r="BB187" s="54">
        <f t="shared" si="93"/>
        <v>8.7000000000000011</v>
      </c>
      <c r="BC187" s="54">
        <f t="shared" si="89"/>
        <v>14.500000000000002</v>
      </c>
      <c r="BD187" s="54">
        <f t="shared" si="89"/>
        <v>8.7000000000000011</v>
      </c>
      <c r="BE187" s="54">
        <f t="shared" si="89"/>
        <v>8.7000000000000011</v>
      </c>
      <c r="BF187" s="54">
        <f t="shared" si="71"/>
        <v>8.7000000000000011</v>
      </c>
      <c r="BG187" s="54">
        <f t="shared" si="71"/>
        <v>8.7000000000000011</v>
      </c>
      <c r="BH187" s="54">
        <f t="shared" si="71"/>
        <v>8.7000000000000011</v>
      </c>
      <c r="BI187" s="62">
        <f t="shared" si="68"/>
        <v>0</v>
      </c>
      <c r="BJ187" s="59">
        <f t="shared" si="83"/>
        <v>0</v>
      </c>
      <c r="BK187" s="59">
        <f t="shared" si="83"/>
        <v>0</v>
      </c>
      <c r="BL187" s="59">
        <f t="shared" si="83"/>
        <v>0</v>
      </c>
      <c r="BM187" s="59">
        <f t="shared" si="83"/>
        <v>0</v>
      </c>
      <c r="BN187" s="59">
        <f t="shared" si="83"/>
        <v>0</v>
      </c>
      <c r="BO187" s="59">
        <f t="shared" si="83"/>
        <v>0</v>
      </c>
      <c r="BP187" s="59">
        <f t="shared" si="92"/>
        <v>0</v>
      </c>
      <c r="BQ187" s="59">
        <f t="shared" si="92"/>
        <v>0</v>
      </c>
      <c r="BR187" s="59">
        <f t="shared" si="92"/>
        <v>0</v>
      </c>
      <c r="BS187" s="59">
        <f t="shared" si="92"/>
        <v>0</v>
      </c>
      <c r="BT187" s="59">
        <f t="shared" si="92"/>
        <v>0</v>
      </c>
      <c r="BU187" s="59">
        <f t="shared" si="92"/>
        <v>0</v>
      </c>
      <c r="BV187" s="67">
        <f t="shared" si="75"/>
        <v>109.43076923076929</v>
      </c>
      <c r="BX187" s="54">
        <f t="shared" si="91"/>
        <v>11.905263157894737</v>
      </c>
      <c r="BY187" s="54">
        <f t="shared" si="91"/>
        <v>11.905263157894737</v>
      </c>
      <c r="BZ187" s="54">
        <f t="shared" si="91"/>
        <v>11.905263157894737</v>
      </c>
      <c r="CA187" s="54">
        <f t="shared" si="90"/>
        <v>11.905263157894737</v>
      </c>
      <c r="CB187" s="54">
        <f t="shared" si="90"/>
        <v>11.905263157894737</v>
      </c>
      <c r="CC187" s="54">
        <f t="shared" si="90"/>
        <v>11.905263157894737</v>
      </c>
      <c r="CD187" s="54">
        <f t="shared" si="90"/>
        <v>19.842105263157897</v>
      </c>
      <c r="CE187" s="54">
        <f t="shared" si="90"/>
        <v>11.905263157894737</v>
      </c>
      <c r="CF187" s="54">
        <f t="shared" si="90"/>
        <v>11.905263157894737</v>
      </c>
      <c r="CG187" s="54">
        <f t="shared" si="85"/>
        <v>11.905263157894737</v>
      </c>
      <c r="CH187" s="54">
        <f t="shared" si="85"/>
        <v>11.905263157894737</v>
      </c>
      <c r="CI187" s="54">
        <f t="shared" si="85"/>
        <v>11.905263157894737</v>
      </c>
      <c r="CJ187" s="74">
        <f t="shared" si="88"/>
        <v>150.80000000000001</v>
      </c>
      <c r="CK187" s="59">
        <f t="shared" si="80"/>
        <v>19</v>
      </c>
      <c r="CL187" s="9">
        <f t="shared" si="81"/>
        <v>0</v>
      </c>
      <c r="CM187" s="71">
        <f t="shared" si="77"/>
        <v>150.80000000000001</v>
      </c>
      <c r="CN187" s="72"/>
      <c r="CO187" s="73"/>
    </row>
    <row r="188" spans="1:94" ht="20.25" customHeight="1">
      <c r="A188" s="1" t="s">
        <v>501</v>
      </c>
      <c r="B188" s="1" t="s">
        <v>502</v>
      </c>
      <c r="C188" s="1" t="s">
        <v>427</v>
      </c>
      <c r="D188" s="58">
        <f>+VLOOKUP(A188,'[1]BDD-Avk Tx'!B:CE,82,0)</f>
        <v>282</v>
      </c>
      <c r="E188" s="59">
        <v>130</v>
      </c>
      <c r="G188" s="4">
        <v>43654</v>
      </c>
      <c r="H188" s="4">
        <f t="shared" si="72"/>
        <v>45647</v>
      </c>
      <c r="I188" s="60" t="str">
        <f>+VLOOKUP(A188,'[1]BDD-Avk Tx'!B:BZ,77,0)</f>
        <v>CDI</v>
      </c>
      <c r="J188" s="4">
        <f t="shared" si="73"/>
        <v>45647</v>
      </c>
      <c r="N188" s="3"/>
      <c r="P188" s="54">
        <f t="shared" si="78"/>
        <v>6.416666666666667</v>
      </c>
      <c r="Q188" s="61">
        <v>1.5</v>
      </c>
      <c r="R188" s="62">
        <f t="shared" si="79"/>
        <v>19</v>
      </c>
      <c r="S188" s="54">
        <f t="shared" si="87"/>
        <v>1.5</v>
      </c>
      <c r="T188" s="54">
        <f t="shared" si="86"/>
        <v>1.5</v>
      </c>
      <c r="U188" s="54">
        <f t="shared" si="86"/>
        <v>1.5</v>
      </c>
      <c r="V188" s="54">
        <f t="shared" si="86"/>
        <v>1.5</v>
      </c>
      <c r="W188" s="54">
        <f t="shared" si="86"/>
        <v>1.5</v>
      </c>
      <c r="X188" s="54">
        <f t="shared" si="86"/>
        <v>1.5</v>
      </c>
      <c r="Y188" s="54">
        <f t="shared" si="86"/>
        <v>1.5</v>
      </c>
      <c r="Z188" s="54">
        <f t="shared" si="86"/>
        <v>2.5</v>
      </c>
      <c r="AA188" s="54">
        <f t="shared" si="86"/>
        <v>1.5</v>
      </c>
      <c r="AB188" s="54">
        <f t="shared" si="86"/>
        <v>1.5</v>
      </c>
      <c r="AC188" s="54">
        <f t="shared" si="86"/>
        <v>1.5</v>
      </c>
      <c r="AD188" s="54">
        <f t="shared" si="86"/>
        <v>1.5</v>
      </c>
      <c r="AF188" s="62">
        <f t="shared" si="84"/>
        <v>0</v>
      </c>
      <c r="AG188" s="64">
        <v>0</v>
      </c>
      <c r="AH188" s="64">
        <v>0</v>
      </c>
      <c r="AI188" s="65">
        <v>0</v>
      </c>
      <c r="AJ188" s="66"/>
      <c r="AK188" s="64"/>
      <c r="AL188" s="64"/>
      <c r="AM188" s="64"/>
      <c r="AN188" s="64"/>
      <c r="AO188" s="64"/>
      <c r="AP188" s="64"/>
      <c r="AQ188" s="64"/>
      <c r="AR188" s="64"/>
      <c r="AS188" s="67">
        <f t="shared" si="74"/>
        <v>20.5</v>
      </c>
      <c r="AT188" s="68"/>
      <c r="AU188" s="69">
        <v>7.5</v>
      </c>
      <c r="AV188" s="62">
        <f t="shared" si="70"/>
        <v>95</v>
      </c>
      <c r="AW188" s="54">
        <f t="shared" si="93"/>
        <v>7.5</v>
      </c>
      <c r="AX188" s="54">
        <f t="shared" si="93"/>
        <v>7.5</v>
      </c>
      <c r="AY188" s="54">
        <f t="shared" si="93"/>
        <v>7.5</v>
      </c>
      <c r="AZ188" s="54">
        <f t="shared" si="93"/>
        <v>7.5</v>
      </c>
      <c r="BA188" s="54">
        <f t="shared" si="93"/>
        <v>7.5</v>
      </c>
      <c r="BB188" s="54">
        <f t="shared" si="93"/>
        <v>7.5</v>
      </c>
      <c r="BC188" s="54">
        <f t="shared" si="89"/>
        <v>7.5</v>
      </c>
      <c r="BD188" s="54">
        <f t="shared" si="89"/>
        <v>12.5</v>
      </c>
      <c r="BE188" s="54">
        <f t="shared" si="89"/>
        <v>7.5</v>
      </c>
      <c r="BF188" s="54">
        <f t="shared" si="71"/>
        <v>7.5</v>
      </c>
      <c r="BG188" s="54">
        <f t="shared" si="71"/>
        <v>7.5</v>
      </c>
      <c r="BH188" s="54">
        <f t="shared" si="71"/>
        <v>7.5</v>
      </c>
      <c r="BI188" s="62">
        <f t="shared" si="68"/>
        <v>0</v>
      </c>
      <c r="BJ188" s="59">
        <f t="shared" si="83"/>
        <v>0</v>
      </c>
      <c r="BK188" s="59">
        <f t="shared" si="83"/>
        <v>0</v>
      </c>
      <c r="BL188" s="59">
        <f t="shared" si="83"/>
        <v>0</v>
      </c>
      <c r="BM188" s="59">
        <f t="shared" si="83"/>
        <v>0</v>
      </c>
      <c r="BN188" s="59">
        <f t="shared" si="83"/>
        <v>0</v>
      </c>
      <c r="BO188" s="59">
        <f t="shared" si="83"/>
        <v>0</v>
      </c>
      <c r="BP188" s="59">
        <f t="shared" si="92"/>
        <v>0</v>
      </c>
      <c r="BQ188" s="59">
        <f t="shared" si="92"/>
        <v>0</v>
      </c>
      <c r="BR188" s="59">
        <f t="shared" si="92"/>
        <v>0</v>
      </c>
      <c r="BS188" s="59">
        <f t="shared" si="92"/>
        <v>0</v>
      </c>
      <c r="BT188" s="59">
        <f t="shared" si="92"/>
        <v>0</v>
      </c>
      <c r="BU188" s="59">
        <f t="shared" si="92"/>
        <v>0</v>
      </c>
      <c r="BV188" s="67">
        <f t="shared" si="75"/>
        <v>102.5</v>
      </c>
      <c r="BX188" s="54">
        <f t="shared" si="91"/>
        <v>10.263157894736842</v>
      </c>
      <c r="BY188" s="54">
        <f t="shared" si="91"/>
        <v>10.263157894736842</v>
      </c>
      <c r="BZ188" s="54">
        <f t="shared" si="91"/>
        <v>10.263157894736842</v>
      </c>
      <c r="CA188" s="54">
        <f t="shared" si="90"/>
        <v>10.263157894736842</v>
      </c>
      <c r="CB188" s="54">
        <f t="shared" si="90"/>
        <v>10.263157894736842</v>
      </c>
      <c r="CC188" s="54">
        <f t="shared" si="90"/>
        <v>10.263157894736842</v>
      </c>
      <c r="CD188" s="54">
        <f t="shared" si="90"/>
        <v>10.263157894736842</v>
      </c>
      <c r="CE188" s="54">
        <f t="shared" si="90"/>
        <v>17.105263157894736</v>
      </c>
      <c r="CF188" s="54">
        <f t="shared" si="90"/>
        <v>10.263157894736842</v>
      </c>
      <c r="CG188" s="54">
        <f t="shared" si="85"/>
        <v>10.263157894736842</v>
      </c>
      <c r="CH188" s="54">
        <f t="shared" si="85"/>
        <v>10.263157894736842</v>
      </c>
      <c r="CI188" s="54">
        <f t="shared" si="85"/>
        <v>10.263157894736842</v>
      </c>
      <c r="CJ188" s="74">
        <f t="shared" si="88"/>
        <v>130.00000000000003</v>
      </c>
      <c r="CK188" s="59">
        <f t="shared" si="80"/>
        <v>19</v>
      </c>
      <c r="CL188" s="9">
        <f t="shared" si="81"/>
        <v>0</v>
      </c>
      <c r="CM188" s="71">
        <f t="shared" si="77"/>
        <v>130</v>
      </c>
      <c r="CN188" s="54"/>
      <c r="CO188" s="73"/>
      <c r="CP188" s="56"/>
    </row>
    <row r="189" spans="1:94" ht="20.25" customHeight="1">
      <c r="A189" s="75" t="s">
        <v>503</v>
      </c>
      <c r="B189" s="1" t="s">
        <v>504</v>
      </c>
      <c r="C189" s="1" t="s">
        <v>362</v>
      </c>
      <c r="D189" s="58">
        <f>+VLOOKUP(A189,'[1]BDD-Avk Tx'!B:CE,82,0)</f>
        <v>810</v>
      </c>
      <c r="E189" s="59">
        <v>200.2</v>
      </c>
      <c r="G189" s="4">
        <v>43810</v>
      </c>
      <c r="H189" s="4">
        <f t="shared" si="72"/>
        <v>45647</v>
      </c>
      <c r="I189" s="60" t="str">
        <f>+VLOOKUP(A189,'[1]BDD-Avk Tx'!B:BZ,77,0)</f>
        <v>CDI</v>
      </c>
      <c r="J189" s="4">
        <f t="shared" si="73"/>
        <v>45647</v>
      </c>
      <c r="N189" s="3"/>
      <c r="P189" s="54">
        <f t="shared" si="78"/>
        <v>6</v>
      </c>
      <c r="Q189" s="61">
        <v>0</v>
      </c>
      <c r="R189" s="62">
        <f t="shared" si="79"/>
        <v>19</v>
      </c>
      <c r="S189" s="54">
        <f t="shared" si="87"/>
        <v>2.5</v>
      </c>
      <c r="T189" s="54">
        <f t="shared" si="87"/>
        <v>1.5</v>
      </c>
      <c r="U189" s="54">
        <f t="shared" si="87"/>
        <v>1.5</v>
      </c>
      <c r="V189" s="54">
        <f t="shared" si="87"/>
        <v>1.5</v>
      </c>
      <c r="W189" s="54">
        <f t="shared" si="87"/>
        <v>1.5</v>
      </c>
      <c r="X189" s="54">
        <f t="shared" si="87"/>
        <v>1.5</v>
      </c>
      <c r="Y189" s="54">
        <f t="shared" si="87"/>
        <v>1.5</v>
      </c>
      <c r="Z189" s="54">
        <f t="shared" si="87"/>
        <v>1.5</v>
      </c>
      <c r="AA189" s="54">
        <f t="shared" si="87"/>
        <v>1.5</v>
      </c>
      <c r="AB189" s="54">
        <f t="shared" si="87"/>
        <v>1.5</v>
      </c>
      <c r="AC189" s="54">
        <f t="shared" si="87"/>
        <v>1.5</v>
      </c>
      <c r="AD189" s="54">
        <f t="shared" si="87"/>
        <v>1.5</v>
      </c>
      <c r="AF189" s="62">
        <f t="shared" si="84"/>
        <v>0</v>
      </c>
      <c r="AG189" s="64">
        <v>0</v>
      </c>
      <c r="AH189" s="64">
        <v>0</v>
      </c>
      <c r="AI189" s="65">
        <v>0</v>
      </c>
      <c r="AJ189" s="66"/>
      <c r="AK189" s="64"/>
      <c r="AL189" s="64"/>
      <c r="AM189" s="64"/>
      <c r="AN189" s="64"/>
      <c r="AO189" s="64"/>
      <c r="AP189" s="64"/>
      <c r="AQ189" s="64"/>
      <c r="AR189" s="64"/>
      <c r="AS189" s="67">
        <f t="shared" si="74"/>
        <v>19</v>
      </c>
      <c r="AT189" s="68"/>
      <c r="AU189" s="69">
        <v>-4.6615384615384698</v>
      </c>
      <c r="AV189" s="62">
        <f t="shared" si="70"/>
        <v>146.29999999999998</v>
      </c>
      <c r="AW189" s="54">
        <f t="shared" si="93"/>
        <v>19.25</v>
      </c>
      <c r="AX189" s="54">
        <f t="shared" si="93"/>
        <v>11.549999999999999</v>
      </c>
      <c r="AY189" s="54">
        <f t="shared" si="93"/>
        <v>11.549999999999999</v>
      </c>
      <c r="AZ189" s="54">
        <f t="shared" si="93"/>
        <v>11.549999999999999</v>
      </c>
      <c r="BA189" s="54">
        <f t="shared" si="93"/>
        <v>11.549999999999999</v>
      </c>
      <c r="BB189" s="54">
        <f t="shared" si="93"/>
        <v>11.549999999999999</v>
      </c>
      <c r="BC189" s="54">
        <f t="shared" si="89"/>
        <v>11.549999999999999</v>
      </c>
      <c r="BD189" s="54">
        <f t="shared" si="89"/>
        <v>11.549999999999999</v>
      </c>
      <c r="BE189" s="54">
        <f t="shared" si="89"/>
        <v>11.549999999999999</v>
      </c>
      <c r="BF189" s="54">
        <f t="shared" si="71"/>
        <v>11.549999999999999</v>
      </c>
      <c r="BG189" s="54">
        <f t="shared" si="71"/>
        <v>11.549999999999999</v>
      </c>
      <c r="BH189" s="54">
        <f t="shared" si="71"/>
        <v>11.549999999999999</v>
      </c>
      <c r="BI189" s="62">
        <f t="shared" si="68"/>
        <v>0</v>
      </c>
      <c r="BJ189" s="59">
        <f t="shared" ref="BJ189:BU220" si="94">(+IF($K189="",$E189/26*AG189,IF(MONTH($K189)=MONTH(BJ$5),$L189/26*AG189,IF(AND($K189&lt;BJ$5,(MONTH($K189)&lt;&gt;MONTH(BJ$5))),$L189/26*AG189,$E189/26*AG189))))*-1</f>
        <v>0</v>
      </c>
      <c r="BK189" s="59">
        <f t="shared" si="94"/>
        <v>0</v>
      </c>
      <c r="BL189" s="59">
        <f t="shared" si="94"/>
        <v>0</v>
      </c>
      <c r="BM189" s="59">
        <f t="shared" si="94"/>
        <v>0</v>
      </c>
      <c r="BN189" s="59">
        <f t="shared" si="94"/>
        <v>0</v>
      </c>
      <c r="BO189" s="59">
        <f t="shared" si="94"/>
        <v>0</v>
      </c>
      <c r="BP189" s="59">
        <f t="shared" si="92"/>
        <v>0</v>
      </c>
      <c r="BQ189" s="59">
        <f t="shared" si="92"/>
        <v>0</v>
      </c>
      <c r="BR189" s="59">
        <f t="shared" si="92"/>
        <v>0</v>
      </c>
      <c r="BS189" s="59">
        <f t="shared" si="92"/>
        <v>0</v>
      </c>
      <c r="BT189" s="59">
        <f t="shared" si="92"/>
        <v>0</v>
      </c>
      <c r="BU189" s="59">
        <f t="shared" si="92"/>
        <v>0</v>
      </c>
      <c r="BV189" s="67">
        <f t="shared" si="75"/>
        <v>141.63846153846151</v>
      </c>
      <c r="BX189" s="54">
        <f t="shared" si="91"/>
        <v>26.34210526315789</v>
      </c>
      <c r="BY189" s="54">
        <f t="shared" si="91"/>
        <v>15.805263157894736</v>
      </c>
      <c r="BZ189" s="54">
        <f t="shared" si="91"/>
        <v>15.805263157894736</v>
      </c>
      <c r="CA189" s="54">
        <f t="shared" si="90"/>
        <v>15.805263157894736</v>
      </c>
      <c r="CB189" s="54">
        <f t="shared" si="90"/>
        <v>15.805263157894736</v>
      </c>
      <c r="CC189" s="54">
        <f t="shared" si="90"/>
        <v>15.805263157894736</v>
      </c>
      <c r="CD189" s="54">
        <f t="shared" si="90"/>
        <v>15.805263157894736</v>
      </c>
      <c r="CE189" s="54">
        <f t="shared" si="90"/>
        <v>15.805263157894736</v>
      </c>
      <c r="CF189" s="54">
        <f t="shared" si="90"/>
        <v>15.805263157894736</v>
      </c>
      <c r="CG189" s="54">
        <f t="shared" si="85"/>
        <v>15.805263157894736</v>
      </c>
      <c r="CH189" s="54">
        <f t="shared" si="85"/>
        <v>15.805263157894736</v>
      </c>
      <c r="CI189" s="54">
        <f t="shared" si="85"/>
        <v>15.805263157894736</v>
      </c>
      <c r="CJ189" s="74">
        <f t="shared" ref="CJ189:CJ211" si="95">SUM(BX189:CI189)</f>
        <v>200.19999999999993</v>
      </c>
      <c r="CK189" s="59">
        <f t="shared" si="80"/>
        <v>19</v>
      </c>
      <c r="CL189" s="9">
        <f t="shared" si="81"/>
        <v>0</v>
      </c>
      <c r="CM189" s="71">
        <f t="shared" si="77"/>
        <v>200.2</v>
      </c>
      <c r="CN189" s="72"/>
      <c r="CO189" s="73"/>
    </row>
    <row r="190" spans="1:94" ht="20.25" customHeight="1">
      <c r="A190" s="1" t="s">
        <v>505</v>
      </c>
      <c r="B190" s="1" t="s">
        <v>506</v>
      </c>
      <c r="C190" s="1" t="s">
        <v>507</v>
      </c>
      <c r="D190" s="58">
        <f>+VLOOKUP(A190,'[1]BDD-Avk Tx'!B:CE,82,0)</f>
        <v>212</v>
      </c>
      <c r="E190" s="59">
        <v>200.2</v>
      </c>
      <c r="G190" s="4">
        <v>44057</v>
      </c>
      <c r="H190" s="4">
        <f t="shared" si="72"/>
        <v>45647</v>
      </c>
      <c r="I190" s="60" t="str">
        <f>+VLOOKUP(A190,'[1]BDD-Avk Tx'!B:BZ,77,0)</f>
        <v>CDI</v>
      </c>
      <c r="J190" s="4">
        <f t="shared" si="73"/>
        <v>45647</v>
      </c>
      <c r="N190" s="3"/>
      <c r="P190" s="54">
        <f t="shared" si="78"/>
        <v>5.333333333333333</v>
      </c>
      <c r="Q190" s="61">
        <v>0</v>
      </c>
      <c r="R190" s="62">
        <f t="shared" si="79"/>
        <v>19</v>
      </c>
      <c r="S190" s="54">
        <f t="shared" si="87"/>
        <v>1.5</v>
      </c>
      <c r="T190" s="54">
        <f t="shared" si="87"/>
        <v>1.5</v>
      </c>
      <c r="U190" s="54">
        <f t="shared" si="87"/>
        <v>1.5</v>
      </c>
      <c r="V190" s="54">
        <f t="shared" si="87"/>
        <v>1.5</v>
      </c>
      <c r="W190" s="54">
        <f t="shared" si="87"/>
        <v>1.5</v>
      </c>
      <c r="X190" s="54">
        <f t="shared" si="87"/>
        <v>1.5</v>
      </c>
      <c r="Y190" s="54">
        <f t="shared" si="87"/>
        <v>1.5</v>
      </c>
      <c r="Z190" s="54">
        <f t="shared" si="87"/>
        <v>1.5</v>
      </c>
      <c r="AA190" s="54">
        <f t="shared" si="87"/>
        <v>2.5</v>
      </c>
      <c r="AB190" s="54">
        <f t="shared" si="87"/>
        <v>1.5</v>
      </c>
      <c r="AC190" s="54">
        <f t="shared" si="87"/>
        <v>1.5</v>
      </c>
      <c r="AD190" s="54">
        <f t="shared" si="87"/>
        <v>1.5</v>
      </c>
      <c r="AF190" s="62">
        <f t="shared" si="84"/>
        <v>18</v>
      </c>
      <c r="AG190" s="64">
        <v>0</v>
      </c>
      <c r="AH190" s="64">
        <v>18</v>
      </c>
      <c r="AI190" s="65">
        <v>0</v>
      </c>
      <c r="AJ190" s="66"/>
      <c r="AK190" s="64"/>
      <c r="AL190" s="64"/>
      <c r="AM190" s="64"/>
      <c r="AN190" s="64"/>
      <c r="AO190" s="64"/>
      <c r="AP190" s="64"/>
      <c r="AQ190" s="64"/>
      <c r="AR190" s="64"/>
      <c r="AS190" s="67">
        <f t="shared" si="74"/>
        <v>1</v>
      </c>
      <c r="AT190" s="68"/>
      <c r="AU190" s="69">
        <v>9.3230769230769113</v>
      </c>
      <c r="AV190" s="62">
        <f t="shared" si="70"/>
        <v>146.30000000000001</v>
      </c>
      <c r="AW190" s="54">
        <f t="shared" si="93"/>
        <v>11.549999999999999</v>
      </c>
      <c r="AX190" s="54">
        <f t="shared" si="93"/>
        <v>11.549999999999999</v>
      </c>
      <c r="AY190" s="54">
        <f t="shared" si="93"/>
        <v>11.549999999999999</v>
      </c>
      <c r="AZ190" s="54">
        <f t="shared" si="93"/>
        <v>11.549999999999999</v>
      </c>
      <c r="BA190" s="54">
        <f t="shared" si="93"/>
        <v>11.549999999999999</v>
      </c>
      <c r="BB190" s="54">
        <f t="shared" si="93"/>
        <v>11.549999999999999</v>
      </c>
      <c r="BC190" s="54">
        <f t="shared" si="89"/>
        <v>11.549999999999999</v>
      </c>
      <c r="BD190" s="54">
        <f t="shared" si="89"/>
        <v>11.549999999999999</v>
      </c>
      <c r="BE190" s="54">
        <f t="shared" si="89"/>
        <v>19.25</v>
      </c>
      <c r="BF190" s="54">
        <f t="shared" si="71"/>
        <v>11.549999999999999</v>
      </c>
      <c r="BG190" s="54">
        <f t="shared" si="71"/>
        <v>11.549999999999999</v>
      </c>
      <c r="BH190" s="54">
        <f t="shared" si="71"/>
        <v>11.549999999999999</v>
      </c>
      <c r="BI190" s="62">
        <f t="shared" ref="BI190:BI220" si="96">SUM(BJ190:BU190)</f>
        <v>-138.6</v>
      </c>
      <c r="BJ190" s="59">
        <f t="shared" si="94"/>
        <v>0</v>
      </c>
      <c r="BK190" s="59">
        <f t="shared" si="94"/>
        <v>-138.6</v>
      </c>
      <c r="BL190" s="59">
        <f t="shared" si="94"/>
        <v>0</v>
      </c>
      <c r="BM190" s="59">
        <f t="shared" si="94"/>
        <v>0</v>
      </c>
      <c r="BN190" s="59">
        <f t="shared" si="94"/>
        <v>0</v>
      </c>
      <c r="BO190" s="59">
        <f t="shared" si="94"/>
        <v>0</v>
      </c>
      <c r="BP190" s="59">
        <f t="shared" si="92"/>
        <v>0</v>
      </c>
      <c r="BQ190" s="59">
        <f t="shared" si="92"/>
        <v>0</v>
      </c>
      <c r="BR190" s="59">
        <f t="shared" si="92"/>
        <v>0</v>
      </c>
      <c r="BS190" s="59">
        <f t="shared" si="92"/>
        <v>0</v>
      </c>
      <c r="BT190" s="59">
        <f t="shared" si="92"/>
        <v>0</v>
      </c>
      <c r="BU190" s="59">
        <f t="shared" si="92"/>
        <v>0</v>
      </c>
      <c r="BV190" s="67">
        <f t="shared" si="75"/>
        <v>17.023076923076928</v>
      </c>
      <c r="BX190" s="54">
        <f t="shared" si="91"/>
        <v>15.805263157894736</v>
      </c>
      <c r="BY190" s="54">
        <f t="shared" si="91"/>
        <v>15.805263157894736</v>
      </c>
      <c r="BZ190" s="54">
        <f t="shared" si="91"/>
        <v>15.805263157894736</v>
      </c>
      <c r="CA190" s="54">
        <f t="shared" si="90"/>
        <v>15.805263157894736</v>
      </c>
      <c r="CB190" s="54">
        <f t="shared" si="90"/>
        <v>15.805263157894736</v>
      </c>
      <c r="CC190" s="54">
        <f t="shared" si="90"/>
        <v>15.805263157894736</v>
      </c>
      <c r="CD190" s="54">
        <f t="shared" si="90"/>
        <v>15.805263157894736</v>
      </c>
      <c r="CE190" s="54">
        <f t="shared" si="90"/>
        <v>15.805263157894736</v>
      </c>
      <c r="CF190" s="54">
        <f t="shared" si="90"/>
        <v>26.34210526315789</v>
      </c>
      <c r="CG190" s="54">
        <f t="shared" si="85"/>
        <v>15.805263157894736</v>
      </c>
      <c r="CH190" s="54">
        <f t="shared" si="85"/>
        <v>15.805263157894736</v>
      </c>
      <c r="CI190" s="54">
        <f t="shared" si="85"/>
        <v>15.805263157894736</v>
      </c>
      <c r="CJ190" s="74">
        <f t="shared" si="95"/>
        <v>200.19999999999993</v>
      </c>
      <c r="CK190" s="59">
        <f t="shared" si="80"/>
        <v>19</v>
      </c>
      <c r="CL190" s="9">
        <f t="shared" si="81"/>
        <v>0</v>
      </c>
      <c r="CM190" s="71">
        <f t="shared" si="77"/>
        <v>200.2</v>
      </c>
      <c r="CN190" s="54"/>
      <c r="CO190" s="73"/>
      <c r="CP190" s="56"/>
    </row>
    <row r="191" spans="1:94" ht="20.25" customHeight="1">
      <c r="A191" s="75" t="s">
        <v>508</v>
      </c>
      <c r="B191" s="1" t="s">
        <v>509</v>
      </c>
      <c r="C191" s="1" t="s">
        <v>510</v>
      </c>
      <c r="D191" s="58">
        <f>+VLOOKUP(A191,'[1]BDD-Avk Tx'!B:CE,82,0)</f>
        <v>212</v>
      </c>
      <c r="E191" s="59">
        <v>200.2</v>
      </c>
      <c r="G191" s="4">
        <v>44057</v>
      </c>
      <c r="H191" s="4">
        <f t="shared" si="72"/>
        <v>45647</v>
      </c>
      <c r="I191" s="60" t="str">
        <f>+VLOOKUP(A191,'[1]BDD-Avk Tx'!B:BZ,77,0)</f>
        <v>CDI</v>
      </c>
      <c r="J191" s="4">
        <f t="shared" si="73"/>
        <v>45647</v>
      </c>
      <c r="N191" s="3"/>
      <c r="P191" s="54">
        <f t="shared" si="78"/>
        <v>5.333333333333333</v>
      </c>
      <c r="Q191" s="61">
        <v>0.5</v>
      </c>
      <c r="R191" s="62">
        <f t="shared" si="79"/>
        <v>19</v>
      </c>
      <c r="S191" s="54">
        <f t="shared" si="87"/>
        <v>1.5</v>
      </c>
      <c r="T191" s="54">
        <f t="shared" si="87"/>
        <v>1.5</v>
      </c>
      <c r="U191" s="54">
        <f t="shared" si="87"/>
        <v>1.5</v>
      </c>
      <c r="V191" s="54">
        <f t="shared" si="87"/>
        <v>1.5</v>
      </c>
      <c r="W191" s="54">
        <f t="shared" si="87"/>
        <v>1.5</v>
      </c>
      <c r="X191" s="54">
        <f t="shared" si="87"/>
        <v>1.5</v>
      </c>
      <c r="Y191" s="54">
        <f t="shared" si="87"/>
        <v>1.5</v>
      </c>
      <c r="Z191" s="54">
        <f t="shared" si="87"/>
        <v>1.5</v>
      </c>
      <c r="AA191" s="54">
        <f t="shared" si="87"/>
        <v>2.5</v>
      </c>
      <c r="AB191" s="54">
        <f t="shared" si="87"/>
        <v>1.5</v>
      </c>
      <c r="AC191" s="54">
        <f t="shared" si="87"/>
        <v>1.5</v>
      </c>
      <c r="AD191" s="54">
        <f t="shared" si="87"/>
        <v>1.5</v>
      </c>
      <c r="AF191" s="62">
        <f t="shared" si="84"/>
        <v>0</v>
      </c>
      <c r="AG191" s="64">
        <v>0</v>
      </c>
      <c r="AH191" s="64">
        <v>0</v>
      </c>
      <c r="AI191" s="65">
        <v>0</v>
      </c>
      <c r="AJ191" s="66"/>
      <c r="AK191" s="64"/>
      <c r="AL191" s="64"/>
      <c r="AM191" s="64"/>
      <c r="AN191" s="64"/>
      <c r="AO191" s="64"/>
      <c r="AP191" s="64"/>
      <c r="AQ191" s="64"/>
      <c r="AR191" s="66"/>
      <c r="AS191" s="67">
        <f t="shared" si="74"/>
        <v>19.5</v>
      </c>
      <c r="AT191" s="68"/>
      <c r="AU191" s="69">
        <v>-0.42307692307690559</v>
      </c>
      <c r="AV191" s="62">
        <f t="shared" ref="AV191:AV200" si="97">SUM(AW191:BH191)</f>
        <v>146.30000000000001</v>
      </c>
      <c r="AW191" s="54">
        <f t="shared" si="93"/>
        <v>11.549999999999999</v>
      </c>
      <c r="AX191" s="54">
        <f t="shared" si="93"/>
        <v>11.549999999999999</v>
      </c>
      <c r="AY191" s="54">
        <f t="shared" si="93"/>
        <v>11.549999999999999</v>
      </c>
      <c r="AZ191" s="54">
        <f t="shared" si="93"/>
        <v>11.549999999999999</v>
      </c>
      <c r="BA191" s="54">
        <f t="shared" si="93"/>
        <v>11.549999999999999</v>
      </c>
      <c r="BB191" s="54">
        <f t="shared" si="93"/>
        <v>11.549999999999999</v>
      </c>
      <c r="BC191" s="54">
        <f t="shared" si="89"/>
        <v>11.549999999999999</v>
      </c>
      <c r="BD191" s="54">
        <f t="shared" si="89"/>
        <v>11.549999999999999</v>
      </c>
      <c r="BE191" s="54">
        <f t="shared" si="89"/>
        <v>19.25</v>
      </c>
      <c r="BF191" s="54">
        <f t="shared" si="71"/>
        <v>11.549999999999999</v>
      </c>
      <c r="BG191" s="54">
        <f t="shared" si="71"/>
        <v>11.549999999999999</v>
      </c>
      <c r="BH191" s="54">
        <f t="shared" si="71"/>
        <v>11.549999999999999</v>
      </c>
      <c r="BI191" s="62">
        <f t="shared" si="96"/>
        <v>0</v>
      </c>
      <c r="BJ191" s="59">
        <f t="shared" si="94"/>
        <v>0</v>
      </c>
      <c r="BK191" s="59">
        <f t="shared" si="94"/>
        <v>0</v>
      </c>
      <c r="BL191" s="59">
        <f t="shared" si="94"/>
        <v>0</v>
      </c>
      <c r="BM191" s="59">
        <f t="shared" si="94"/>
        <v>0</v>
      </c>
      <c r="BN191" s="59">
        <f t="shared" si="94"/>
        <v>0</v>
      </c>
      <c r="BO191" s="59">
        <f t="shared" si="94"/>
        <v>0</v>
      </c>
      <c r="BP191" s="59">
        <f t="shared" si="92"/>
        <v>0</v>
      </c>
      <c r="BQ191" s="59">
        <f t="shared" si="92"/>
        <v>0</v>
      </c>
      <c r="BR191" s="59">
        <f t="shared" si="92"/>
        <v>0</v>
      </c>
      <c r="BS191" s="59">
        <f t="shared" si="92"/>
        <v>0</v>
      </c>
      <c r="BT191" s="59">
        <f t="shared" si="92"/>
        <v>0</v>
      </c>
      <c r="BU191" s="59">
        <f t="shared" si="92"/>
        <v>0</v>
      </c>
      <c r="BV191" s="67">
        <f t="shared" si="75"/>
        <v>145.87692307692311</v>
      </c>
      <c r="BX191" s="54">
        <f t="shared" si="91"/>
        <v>15.805263157894736</v>
      </c>
      <c r="BY191" s="54">
        <f t="shared" si="91"/>
        <v>15.805263157894736</v>
      </c>
      <c r="BZ191" s="54">
        <f t="shared" si="91"/>
        <v>15.805263157894736</v>
      </c>
      <c r="CA191" s="54">
        <f t="shared" si="90"/>
        <v>15.805263157894736</v>
      </c>
      <c r="CB191" s="54">
        <f t="shared" si="90"/>
        <v>15.805263157894736</v>
      </c>
      <c r="CC191" s="54">
        <f t="shared" si="90"/>
        <v>15.805263157894736</v>
      </c>
      <c r="CD191" s="54">
        <f t="shared" si="90"/>
        <v>15.805263157894736</v>
      </c>
      <c r="CE191" s="54">
        <f t="shared" si="90"/>
        <v>15.805263157894736</v>
      </c>
      <c r="CF191" s="54">
        <f t="shared" si="90"/>
        <v>26.34210526315789</v>
      </c>
      <c r="CG191" s="54">
        <f t="shared" si="85"/>
        <v>15.805263157894736</v>
      </c>
      <c r="CH191" s="54">
        <f t="shared" si="85"/>
        <v>15.805263157894736</v>
      </c>
      <c r="CI191" s="54">
        <f t="shared" si="85"/>
        <v>15.805263157894736</v>
      </c>
      <c r="CJ191" s="74">
        <f t="shared" si="95"/>
        <v>200.19999999999993</v>
      </c>
      <c r="CK191" s="59">
        <f t="shared" si="80"/>
        <v>19</v>
      </c>
      <c r="CL191" s="9">
        <f t="shared" si="81"/>
        <v>0</v>
      </c>
      <c r="CM191" s="71">
        <f t="shared" si="77"/>
        <v>200.2</v>
      </c>
      <c r="CN191" s="54"/>
      <c r="CO191" s="73"/>
      <c r="CP191" s="56"/>
    </row>
    <row r="192" spans="1:94" ht="20.25" customHeight="1">
      <c r="A192" s="1" t="s">
        <v>511</v>
      </c>
      <c r="B192" s="1" t="s">
        <v>512</v>
      </c>
      <c r="C192" s="1" t="s">
        <v>510</v>
      </c>
      <c r="D192" s="58">
        <f>+VLOOKUP(A192,'[1]BDD-Avk Tx'!B:CE,82,0)</f>
        <v>216</v>
      </c>
      <c r="E192" s="59">
        <v>200.2</v>
      </c>
      <c r="G192" s="4">
        <v>44057</v>
      </c>
      <c r="H192" s="4">
        <f t="shared" si="72"/>
        <v>45647</v>
      </c>
      <c r="I192" s="60" t="str">
        <f>+VLOOKUP(A192,'[1]BDD-Avk Tx'!B:BZ,77,0)</f>
        <v>CDI</v>
      </c>
      <c r="J192" s="4">
        <f t="shared" si="73"/>
        <v>45647</v>
      </c>
      <c r="N192" s="3"/>
      <c r="P192" s="54">
        <f t="shared" si="78"/>
        <v>5.333333333333333</v>
      </c>
      <c r="Q192" s="61">
        <v>-1</v>
      </c>
      <c r="R192" s="62">
        <f t="shared" si="79"/>
        <v>19</v>
      </c>
      <c r="S192" s="54">
        <f t="shared" si="87"/>
        <v>1.5</v>
      </c>
      <c r="T192" s="54">
        <f t="shared" si="87"/>
        <v>1.5</v>
      </c>
      <c r="U192" s="54">
        <f t="shared" si="87"/>
        <v>1.5</v>
      </c>
      <c r="V192" s="54">
        <f t="shared" si="87"/>
        <v>1.5</v>
      </c>
      <c r="W192" s="54">
        <f t="shared" si="87"/>
        <v>1.5</v>
      </c>
      <c r="X192" s="54">
        <f t="shared" si="87"/>
        <v>1.5</v>
      </c>
      <c r="Y192" s="54">
        <f t="shared" si="87"/>
        <v>1.5</v>
      </c>
      <c r="Z192" s="54">
        <f t="shared" si="87"/>
        <v>1.5</v>
      </c>
      <c r="AA192" s="54">
        <f t="shared" si="87"/>
        <v>2.5</v>
      </c>
      <c r="AB192" s="54">
        <f t="shared" si="87"/>
        <v>1.5</v>
      </c>
      <c r="AC192" s="54">
        <f t="shared" si="87"/>
        <v>1.5</v>
      </c>
      <c r="AD192" s="54">
        <f t="shared" si="87"/>
        <v>1.5</v>
      </c>
      <c r="AF192" s="62">
        <f t="shared" si="84"/>
        <v>0</v>
      </c>
      <c r="AG192" s="64">
        <v>0</v>
      </c>
      <c r="AH192" s="64">
        <v>0</v>
      </c>
      <c r="AI192" s="65">
        <v>0</v>
      </c>
      <c r="AJ192" s="66"/>
      <c r="AK192" s="64"/>
      <c r="AL192" s="64"/>
      <c r="AM192" s="64"/>
      <c r="AN192" s="64"/>
      <c r="AO192" s="64"/>
      <c r="AP192" s="64"/>
      <c r="AQ192" s="64"/>
      <c r="AR192" s="64"/>
      <c r="AS192" s="67">
        <f t="shared" si="74"/>
        <v>18</v>
      </c>
      <c r="AT192" s="68"/>
      <c r="AU192" s="69">
        <v>-10.030769230769195</v>
      </c>
      <c r="AV192" s="62">
        <f t="shared" si="97"/>
        <v>146.30000000000001</v>
      </c>
      <c r="AW192" s="54">
        <f t="shared" si="93"/>
        <v>11.549999999999999</v>
      </c>
      <c r="AX192" s="54">
        <f t="shared" si="93"/>
        <v>11.549999999999999</v>
      </c>
      <c r="AY192" s="54">
        <f t="shared" si="93"/>
        <v>11.549999999999999</v>
      </c>
      <c r="AZ192" s="54">
        <f t="shared" si="93"/>
        <v>11.549999999999999</v>
      </c>
      <c r="BA192" s="54">
        <f t="shared" si="93"/>
        <v>11.549999999999999</v>
      </c>
      <c r="BB192" s="54">
        <f t="shared" si="93"/>
        <v>11.549999999999999</v>
      </c>
      <c r="BC192" s="54">
        <f t="shared" si="89"/>
        <v>11.549999999999999</v>
      </c>
      <c r="BD192" s="54">
        <f t="shared" si="89"/>
        <v>11.549999999999999</v>
      </c>
      <c r="BE192" s="54">
        <f t="shared" si="89"/>
        <v>19.25</v>
      </c>
      <c r="BF192" s="54">
        <f t="shared" si="71"/>
        <v>11.549999999999999</v>
      </c>
      <c r="BG192" s="54">
        <f t="shared" si="71"/>
        <v>11.549999999999999</v>
      </c>
      <c r="BH192" s="54">
        <f t="shared" si="71"/>
        <v>11.549999999999999</v>
      </c>
      <c r="BI192" s="62">
        <f t="shared" si="96"/>
        <v>0</v>
      </c>
      <c r="BJ192" s="59">
        <f t="shared" si="94"/>
        <v>0</v>
      </c>
      <c r="BK192" s="59">
        <f t="shared" si="94"/>
        <v>0</v>
      </c>
      <c r="BL192" s="59">
        <f t="shared" si="94"/>
        <v>0</v>
      </c>
      <c r="BM192" s="59">
        <f t="shared" si="94"/>
        <v>0</v>
      </c>
      <c r="BN192" s="59">
        <f t="shared" si="94"/>
        <v>0</v>
      </c>
      <c r="BO192" s="59">
        <f t="shared" si="94"/>
        <v>0</v>
      </c>
      <c r="BP192" s="59">
        <f t="shared" si="92"/>
        <v>0</v>
      </c>
      <c r="BQ192" s="59">
        <f t="shared" si="92"/>
        <v>0</v>
      </c>
      <c r="BR192" s="59">
        <f t="shared" si="92"/>
        <v>0</v>
      </c>
      <c r="BS192" s="59">
        <f t="shared" si="92"/>
        <v>0</v>
      </c>
      <c r="BT192" s="59">
        <f t="shared" si="92"/>
        <v>0</v>
      </c>
      <c r="BU192" s="59">
        <f t="shared" si="92"/>
        <v>0</v>
      </c>
      <c r="BV192" s="67">
        <f t="shared" si="75"/>
        <v>136.26923076923083</v>
      </c>
      <c r="BX192" s="54">
        <f t="shared" si="91"/>
        <v>15.805263157894736</v>
      </c>
      <c r="BY192" s="54">
        <f t="shared" si="91"/>
        <v>15.805263157894736</v>
      </c>
      <c r="BZ192" s="54">
        <f t="shared" si="91"/>
        <v>15.805263157894736</v>
      </c>
      <c r="CA192" s="54">
        <f t="shared" si="90"/>
        <v>15.805263157894736</v>
      </c>
      <c r="CB192" s="54">
        <f t="shared" si="90"/>
        <v>15.805263157894736</v>
      </c>
      <c r="CC192" s="54">
        <f t="shared" si="90"/>
        <v>15.805263157894736</v>
      </c>
      <c r="CD192" s="54">
        <f t="shared" si="90"/>
        <v>15.805263157894736</v>
      </c>
      <c r="CE192" s="54">
        <f t="shared" si="90"/>
        <v>15.805263157894736</v>
      </c>
      <c r="CF192" s="54">
        <f t="shared" si="90"/>
        <v>26.34210526315789</v>
      </c>
      <c r="CG192" s="54">
        <f t="shared" si="85"/>
        <v>15.805263157894736</v>
      </c>
      <c r="CH192" s="54">
        <f t="shared" si="85"/>
        <v>15.805263157894736</v>
      </c>
      <c r="CI192" s="54">
        <f t="shared" si="85"/>
        <v>15.805263157894736</v>
      </c>
      <c r="CJ192" s="74">
        <f t="shared" si="95"/>
        <v>200.19999999999993</v>
      </c>
      <c r="CK192" s="59">
        <f t="shared" si="80"/>
        <v>19</v>
      </c>
      <c r="CL192" s="9">
        <f t="shared" si="81"/>
        <v>0</v>
      </c>
      <c r="CM192" s="71">
        <f t="shared" si="77"/>
        <v>200.2</v>
      </c>
      <c r="CN192" s="72"/>
      <c r="CO192" s="73"/>
    </row>
    <row r="193" spans="1:94" ht="20.25" customHeight="1">
      <c r="A193" s="1" t="s">
        <v>513</v>
      </c>
      <c r="B193" s="1" t="s">
        <v>514</v>
      </c>
      <c r="C193" s="1" t="s">
        <v>507</v>
      </c>
      <c r="D193" s="58">
        <f>+VLOOKUP(A193,'[1]BDD-Avk Tx'!B:CE,82,0)</f>
        <v>215</v>
      </c>
      <c r="E193" s="59">
        <v>200.2</v>
      </c>
      <c r="G193" s="4">
        <v>44057</v>
      </c>
      <c r="H193" s="4">
        <f t="shared" si="72"/>
        <v>45647</v>
      </c>
      <c r="I193" s="60" t="str">
        <f>+VLOOKUP(A193,'[1]BDD-Avk Tx'!B:BZ,77,0)</f>
        <v>CDI</v>
      </c>
      <c r="J193" s="4">
        <f t="shared" si="73"/>
        <v>45647</v>
      </c>
      <c r="N193" s="3"/>
      <c r="P193" s="54">
        <f t="shared" si="78"/>
        <v>5.333333333333333</v>
      </c>
      <c r="Q193" s="61">
        <v>-0.5</v>
      </c>
      <c r="R193" s="62">
        <f t="shared" si="79"/>
        <v>19</v>
      </c>
      <c r="S193" s="54">
        <f t="shared" si="87"/>
        <v>1.5</v>
      </c>
      <c r="T193" s="54">
        <f t="shared" si="87"/>
        <v>1.5</v>
      </c>
      <c r="U193" s="54">
        <f t="shared" si="87"/>
        <v>1.5</v>
      </c>
      <c r="V193" s="54">
        <f t="shared" si="87"/>
        <v>1.5</v>
      </c>
      <c r="W193" s="54">
        <f t="shared" si="87"/>
        <v>1.5</v>
      </c>
      <c r="X193" s="54">
        <f t="shared" si="87"/>
        <v>1.5</v>
      </c>
      <c r="Y193" s="54">
        <f t="shared" si="87"/>
        <v>1.5</v>
      </c>
      <c r="Z193" s="54">
        <f t="shared" si="87"/>
        <v>1.5</v>
      </c>
      <c r="AA193" s="54">
        <f t="shared" si="87"/>
        <v>2.5</v>
      </c>
      <c r="AB193" s="54">
        <f t="shared" si="87"/>
        <v>1.5</v>
      </c>
      <c r="AC193" s="54">
        <f t="shared" si="87"/>
        <v>1.5</v>
      </c>
      <c r="AD193" s="54">
        <f t="shared" si="87"/>
        <v>1.5</v>
      </c>
      <c r="AF193" s="62">
        <f t="shared" si="84"/>
        <v>18</v>
      </c>
      <c r="AG193" s="64">
        <v>0</v>
      </c>
      <c r="AH193" s="64">
        <v>0</v>
      </c>
      <c r="AI193" s="65">
        <v>18</v>
      </c>
      <c r="AJ193" s="66"/>
      <c r="AK193" s="64"/>
      <c r="AL193" s="64"/>
      <c r="AM193" s="64"/>
      <c r="AN193" s="64"/>
      <c r="AO193" s="64"/>
      <c r="AP193" s="64"/>
      <c r="AQ193" s="64"/>
      <c r="AR193" s="64"/>
      <c r="AS193" s="67">
        <f t="shared" si="74"/>
        <v>0.5</v>
      </c>
      <c r="AT193" s="68"/>
      <c r="AU193" s="69">
        <v>-10.453846153846143</v>
      </c>
      <c r="AV193" s="62">
        <f t="shared" si="97"/>
        <v>146.30000000000001</v>
      </c>
      <c r="AW193" s="54">
        <f t="shared" si="93"/>
        <v>11.549999999999999</v>
      </c>
      <c r="AX193" s="54">
        <f t="shared" si="93"/>
        <v>11.549999999999999</v>
      </c>
      <c r="AY193" s="54">
        <f t="shared" si="93"/>
        <v>11.549999999999999</v>
      </c>
      <c r="AZ193" s="54">
        <f t="shared" si="93"/>
        <v>11.549999999999999</v>
      </c>
      <c r="BA193" s="54">
        <f t="shared" si="93"/>
        <v>11.549999999999999</v>
      </c>
      <c r="BB193" s="54">
        <f t="shared" si="93"/>
        <v>11.549999999999999</v>
      </c>
      <c r="BC193" s="54">
        <f t="shared" si="89"/>
        <v>11.549999999999999</v>
      </c>
      <c r="BD193" s="54">
        <f t="shared" si="89"/>
        <v>11.549999999999999</v>
      </c>
      <c r="BE193" s="54">
        <f t="shared" si="89"/>
        <v>19.25</v>
      </c>
      <c r="BF193" s="54">
        <f t="shared" si="71"/>
        <v>11.549999999999999</v>
      </c>
      <c r="BG193" s="54">
        <f t="shared" si="71"/>
        <v>11.549999999999999</v>
      </c>
      <c r="BH193" s="54">
        <f t="shared" si="71"/>
        <v>11.549999999999999</v>
      </c>
      <c r="BI193" s="62">
        <f t="shared" si="96"/>
        <v>-138.6</v>
      </c>
      <c r="BJ193" s="59">
        <f t="shared" si="94"/>
        <v>0</v>
      </c>
      <c r="BK193" s="59">
        <f t="shared" si="94"/>
        <v>0</v>
      </c>
      <c r="BL193" s="59">
        <f t="shared" si="94"/>
        <v>-138.6</v>
      </c>
      <c r="BM193" s="59">
        <f t="shared" si="94"/>
        <v>0</v>
      </c>
      <c r="BN193" s="59">
        <f t="shared" si="94"/>
        <v>0</v>
      </c>
      <c r="BO193" s="59">
        <f t="shared" si="94"/>
        <v>0</v>
      </c>
      <c r="BP193" s="59">
        <f t="shared" si="92"/>
        <v>0</v>
      </c>
      <c r="BQ193" s="59">
        <f t="shared" si="92"/>
        <v>0</v>
      </c>
      <c r="BR193" s="59">
        <f t="shared" si="92"/>
        <v>0</v>
      </c>
      <c r="BS193" s="59">
        <f t="shared" si="92"/>
        <v>0</v>
      </c>
      <c r="BT193" s="59">
        <f t="shared" si="92"/>
        <v>0</v>
      </c>
      <c r="BU193" s="59">
        <f t="shared" si="92"/>
        <v>0</v>
      </c>
      <c r="BV193" s="67">
        <f t="shared" si="75"/>
        <v>-2.7538461538461263</v>
      </c>
      <c r="BX193" s="54">
        <f t="shared" si="91"/>
        <v>15.805263157894736</v>
      </c>
      <c r="BY193" s="54">
        <f t="shared" si="91"/>
        <v>15.805263157894736</v>
      </c>
      <c r="BZ193" s="54">
        <f t="shared" si="91"/>
        <v>15.805263157894736</v>
      </c>
      <c r="CA193" s="54">
        <f t="shared" si="90"/>
        <v>15.805263157894736</v>
      </c>
      <c r="CB193" s="54">
        <f t="shared" si="90"/>
        <v>15.805263157894736</v>
      </c>
      <c r="CC193" s="54">
        <f t="shared" si="90"/>
        <v>15.805263157894736</v>
      </c>
      <c r="CD193" s="54">
        <f t="shared" si="90"/>
        <v>15.805263157894736</v>
      </c>
      <c r="CE193" s="54">
        <f t="shared" si="90"/>
        <v>15.805263157894736</v>
      </c>
      <c r="CF193" s="54">
        <f t="shared" si="90"/>
        <v>26.34210526315789</v>
      </c>
      <c r="CG193" s="54">
        <f t="shared" si="85"/>
        <v>15.805263157894736</v>
      </c>
      <c r="CH193" s="54">
        <f t="shared" si="85"/>
        <v>15.805263157894736</v>
      </c>
      <c r="CI193" s="54">
        <f t="shared" si="85"/>
        <v>15.805263157894736</v>
      </c>
      <c r="CJ193" s="74">
        <f t="shared" si="95"/>
        <v>200.19999999999993</v>
      </c>
      <c r="CK193" s="59">
        <f t="shared" si="80"/>
        <v>19</v>
      </c>
      <c r="CL193" s="9">
        <f t="shared" si="81"/>
        <v>0</v>
      </c>
      <c r="CM193" s="71">
        <f t="shared" si="77"/>
        <v>200.2</v>
      </c>
      <c r="CN193" s="72"/>
      <c r="CO193" s="73"/>
    </row>
    <row r="194" spans="1:94" ht="20.25" customHeight="1">
      <c r="A194" s="1" t="s">
        <v>515</v>
      </c>
      <c r="B194" s="1" t="s">
        <v>516</v>
      </c>
      <c r="C194" s="1" t="s">
        <v>517</v>
      </c>
      <c r="D194" s="58">
        <f>+VLOOKUP(A194,'[1]BDD-Avk Tx'!B:CE,82,0)</f>
        <v>720</v>
      </c>
      <c r="E194" s="59">
        <v>733.2</v>
      </c>
      <c r="G194" s="4">
        <v>44237</v>
      </c>
      <c r="H194" s="4">
        <f t="shared" si="72"/>
        <v>45647</v>
      </c>
      <c r="I194" s="60" t="str">
        <f>+VLOOKUP(A194,'[1]BDD-Avk Tx'!B:BZ,77,0)</f>
        <v>CDI</v>
      </c>
      <c r="J194" s="4">
        <f t="shared" si="73"/>
        <v>45647</v>
      </c>
      <c r="N194" s="3"/>
      <c r="P194" s="54">
        <f t="shared" si="78"/>
        <v>4.833333333333333</v>
      </c>
      <c r="Q194" s="61">
        <v>14</v>
      </c>
      <c r="R194" s="62">
        <f t="shared" si="79"/>
        <v>18</v>
      </c>
      <c r="S194" s="54">
        <f t="shared" si="87"/>
        <v>1.5</v>
      </c>
      <c r="T194" s="54">
        <f t="shared" si="87"/>
        <v>1.5</v>
      </c>
      <c r="U194" s="54">
        <f t="shared" si="87"/>
        <v>1.5</v>
      </c>
      <c r="V194" s="54">
        <f t="shared" si="87"/>
        <v>1.5</v>
      </c>
      <c r="W194" s="54">
        <f t="shared" si="87"/>
        <v>1.5</v>
      </c>
      <c r="X194" s="54">
        <f t="shared" si="87"/>
        <v>1.5</v>
      </c>
      <c r="Y194" s="54">
        <f t="shared" si="87"/>
        <v>1.5</v>
      </c>
      <c r="Z194" s="54">
        <f t="shared" si="87"/>
        <v>1.5</v>
      </c>
      <c r="AA194" s="54">
        <f t="shared" si="87"/>
        <v>1.5</v>
      </c>
      <c r="AB194" s="54">
        <f t="shared" si="87"/>
        <v>1.5</v>
      </c>
      <c r="AC194" s="54">
        <f t="shared" si="87"/>
        <v>1.5</v>
      </c>
      <c r="AD194" s="54">
        <f t="shared" si="87"/>
        <v>1.5</v>
      </c>
      <c r="AF194" s="62">
        <f t="shared" si="84"/>
        <v>8</v>
      </c>
      <c r="AG194" s="64">
        <v>0</v>
      </c>
      <c r="AH194" s="64">
        <v>6</v>
      </c>
      <c r="AI194" s="65">
        <v>2</v>
      </c>
      <c r="AJ194" s="66"/>
      <c r="AK194" s="64"/>
      <c r="AL194" s="64"/>
      <c r="AM194" s="64"/>
      <c r="AN194" s="64"/>
      <c r="AO194" s="64"/>
      <c r="AP194" s="64"/>
      <c r="AQ194" s="64"/>
      <c r="AR194" s="64"/>
      <c r="AS194" s="67">
        <f t="shared" si="74"/>
        <v>24</v>
      </c>
      <c r="AT194" s="68"/>
      <c r="AU194" s="69">
        <v>372.58153846153789</v>
      </c>
      <c r="AV194" s="62">
        <f t="shared" si="97"/>
        <v>507.60000000000008</v>
      </c>
      <c r="AW194" s="54">
        <f t="shared" si="93"/>
        <v>42.300000000000004</v>
      </c>
      <c r="AX194" s="54">
        <f t="shared" si="93"/>
        <v>42.300000000000004</v>
      </c>
      <c r="AY194" s="54">
        <f t="shared" si="93"/>
        <v>42.300000000000004</v>
      </c>
      <c r="AZ194" s="54">
        <f t="shared" si="93"/>
        <v>42.300000000000004</v>
      </c>
      <c r="BA194" s="54">
        <f t="shared" si="93"/>
        <v>42.300000000000004</v>
      </c>
      <c r="BB194" s="54">
        <f t="shared" si="93"/>
        <v>42.300000000000004</v>
      </c>
      <c r="BC194" s="54">
        <f t="shared" si="89"/>
        <v>42.300000000000004</v>
      </c>
      <c r="BD194" s="54">
        <f t="shared" si="89"/>
        <v>42.300000000000004</v>
      </c>
      <c r="BE194" s="54">
        <f t="shared" si="89"/>
        <v>42.300000000000004</v>
      </c>
      <c r="BF194" s="54">
        <f t="shared" si="71"/>
        <v>42.300000000000004</v>
      </c>
      <c r="BG194" s="54">
        <f t="shared" si="71"/>
        <v>42.300000000000004</v>
      </c>
      <c r="BH194" s="54">
        <f t="shared" si="71"/>
        <v>42.300000000000004</v>
      </c>
      <c r="BI194" s="62">
        <f t="shared" si="96"/>
        <v>-225.60000000000002</v>
      </c>
      <c r="BJ194" s="59">
        <f t="shared" si="94"/>
        <v>0</v>
      </c>
      <c r="BK194" s="59">
        <f t="shared" si="94"/>
        <v>-169.20000000000002</v>
      </c>
      <c r="BL194" s="59">
        <f t="shared" si="94"/>
        <v>-56.400000000000006</v>
      </c>
      <c r="BM194" s="59">
        <f t="shared" si="94"/>
        <v>0</v>
      </c>
      <c r="BN194" s="59">
        <f t="shared" si="94"/>
        <v>0</v>
      </c>
      <c r="BO194" s="59">
        <f t="shared" si="94"/>
        <v>0</v>
      </c>
      <c r="BP194" s="59">
        <f t="shared" si="94"/>
        <v>0</v>
      </c>
      <c r="BQ194" s="59">
        <f t="shared" si="94"/>
        <v>0</v>
      </c>
      <c r="BR194" s="59">
        <f t="shared" si="94"/>
        <v>0</v>
      </c>
      <c r="BS194" s="59">
        <f t="shared" si="94"/>
        <v>0</v>
      </c>
      <c r="BT194" s="59">
        <f t="shared" si="94"/>
        <v>0</v>
      </c>
      <c r="BU194" s="59">
        <f t="shared" si="94"/>
        <v>0</v>
      </c>
      <c r="BV194" s="67">
        <f t="shared" si="75"/>
        <v>654.58153846153789</v>
      </c>
      <c r="BX194" s="54">
        <f t="shared" si="91"/>
        <v>61.1</v>
      </c>
      <c r="BY194" s="54">
        <f t="shared" si="91"/>
        <v>61.1</v>
      </c>
      <c r="BZ194" s="54">
        <f t="shared" si="91"/>
        <v>61.1</v>
      </c>
      <c r="CA194" s="54">
        <f t="shared" si="90"/>
        <v>61.1</v>
      </c>
      <c r="CB194" s="54">
        <f t="shared" si="90"/>
        <v>61.1</v>
      </c>
      <c r="CC194" s="54">
        <f t="shared" si="90"/>
        <v>61.1</v>
      </c>
      <c r="CD194" s="54">
        <f t="shared" si="90"/>
        <v>61.1</v>
      </c>
      <c r="CE194" s="54">
        <f t="shared" si="90"/>
        <v>61.1</v>
      </c>
      <c r="CF194" s="54">
        <f t="shared" si="90"/>
        <v>61.1</v>
      </c>
      <c r="CG194" s="54">
        <f t="shared" si="85"/>
        <v>61.1</v>
      </c>
      <c r="CH194" s="54">
        <f t="shared" si="85"/>
        <v>61.1</v>
      </c>
      <c r="CI194" s="54">
        <f t="shared" si="85"/>
        <v>61.1</v>
      </c>
      <c r="CJ194" s="74">
        <f t="shared" si="95"/>
        <v>733.20000000000016</v>
      </c>
      <c r="CK194" s="59">
        <f t="shared" si="80"/>
        <v>18</v>
      </c>
      <c r="CL194" s="9">
        <f t="shared" si="81"/>
        <v>0</v>
      </c>
      <c r="CM194" s="71">
        <f t="shared" si="77"/>
        <v>733.2</v>
      </c>
      <c r="CN194" s="54"/>
      <c r="CO194" s="73"/>
      <c r="CP194" s="56"/>
    </row>
    <row r="195" spans="1:94" ht="20.25" customHeight="1">
      <c r="A195" s="75" t="s">
        <v>518</v>
      </c>
      <c r="B195" s="1" t="s">
        <v>519</v>
      </c>
      <c r="C195" s="1" t="s">
        <v>520</v>
      </c>
      <c r="D195" s="58">
        <f>+VLOOKUP(A195,'[1]BDD-Avk Tx'!B:CE,82,0)</f>
        <v>660</v>
      </c>
      <c r="E195" s="59">
        <v>200.2</v>
      </c>
      <c r="G195" s="4">
        <v>44264</v>
      </c>
      <c r="H195" s="4">
        <f t="shared" si="72"/>
        <v>45647</v>
      </c>
      <c r="I195" s="60" t="str">
        <f>+VLOOKUP(A195,'[1]BDD-Avk Tx'!B:BZ,77,0)</f>
        <v>CDI</v>
      </c>
      <c r="J195" s="4">
        <f t="shared" si="73"/>
        <v>45647</v>
      </c>
      <c r="N195" s="3"/>
      <c r="P195" s="54">
        <f t="shared" si="78"/>
        <v>4.75</v>
      </c>
      <c r="Q195" s="61">
        <v>0.5</v>
      </c>
      <c r="R195" s="62">
        <f t="shared" si="79"/>
        <v>18</v>
      </c>
      <c r="S195" s="54">
        <f t="shared" si="87"/>
        <v>1.5</v>
      </c>
      <c r="T195" s="54">
        <f t="shared" si="87"/>
        <v>1.5</v>
      </c>
      <c r="U195" s="54">
        <f t="shared" si="87"/>
        <v>1.5</v>
      </c>
      <c r="V195" s="54">
        <f t="shared" si="87"/>
        <v>1.5</v>
      </c>
      <c r="W195" s="54">
        <f t="shared" si="87"/>
        <v>1.5</v>
      </c>
      <c r="X195" s="54">
        <f t="shared" si="87"/>
        <v>1.5</v>
      </c>
      <c r="Y195" s="54">
        <f t="shared" si="87"/>
        <v>1.5</v>
      </c>
      <c r="Z195" s="54">
        <f t="shared" si="87"/>
        <v>1.5</v>
      </c>
      <c r="AA195" s="54">
        <f t="shared" si="87"/>
        <v>1.5</v>
      </c>
      <c r="AB195" s="54">
        <f t="shared" si="87"/>
        <v>1.5</v>
      </c>
      <c r="AC195" s="54">
        <f t="shared" si="87"/>
        <v>1.5</v>
      </c>
      <c r="AD195" s="54">
        <f t="shared" si="87"/>
        <v>1.5</v>
      </c>
      <c r="AF195" s="62">
        <f t="shared" si="84"/>
        <v>8</v>
      </c>
      <c r="AG195" s="64">
        <v>0</v>
      </c>
      <c r="AH195" s="64">
        <v>1</v>
      </c>
      <c r="AI195" s="65">
        <v>7</v>
      </c>
      <c r="AJ195" s="66"/>
      <c r="AK195" s="64"/>
      <c r="AL195" s="64"/>
      <c r="AM195" s="64"/>
      <c r="AN195" s="64"/>
      <c r="AO195" s="64"/>
      <c r="AP195" s="64"/>
      <c r="AQ195" s="64"/>
      <c r="AR195" s="64"/>
      <c r="AS195" s="67">
        <f t="shared" si="74"/>
        <v>10.5</v>
      </c>
      <c r="AT195" s="68"/>
      <c r="AU195" s="69">
        <v>-3.7315384615385199</v>
      </c>
      <c r="AV195" s="62">
        <f t="shared" si="97"/>
        <v>138.6</v>
      </c>
      <c r="AW195" s="54">
        <f t="shared" si="93"/>
        <v>11.549999999999999</v>
      </c>
      <c r="AX195" s="54">
        <f t="shared" si="93"/>
        <v>11.549999999999999</v>
      </c>
      <c r="AY195" s="54">
        <f t="shared" si="93"/>
        <v>11.549999999999999</v>
      </c>
      <c r="AZ195" s="54">
        <f t="shared" si="93"/>
        <v>11.549999999999999</v>
      </c>
      <c r="BA195" s="54">
        <f t="shared" si="93"/>
        <v>11.549999999999999</v>
      </c>
      <c r="BB195" s="54">
        <f t="shared" si="93"/>
        <v>11.549999999999999</v>
      </c>
      <c r="BC195" s="54">
        <f t="shared" si="89"/>
        <v>11.549999999999999</v>
      </c>
      <c r="BD195" s="54">
        <f t="shared" si="89"/>
        <v>11.549999999999999</v>
      </c>
      <c r="BE195" s="54">
        <f t="shared" si="89"/>
        <v>11.549999999999999</v>
      </c>
      <c r="BF195" s="54">
        <f t="shared" si="71"/>
        <v>11.549999999999999</v>
      </c>
      <c r="BG195" s="54">
        <f t="shared" si="71"/>
        <v>11.549999999999999</v>
      </c>
      <c r="BH195" s="54">
        <f t="shared" si="71"/>
        <v>11.549999999999999</v>
      </c>
      <c r="BI195" s="62">
        <f t="shared" si="96"/>
        <v>-61.599999999999994</v>
      </c>
      <c r="BJ195" s="59">
        <f t="shared" si="94"/>
        <v>0</v>
      </c>
      <c r="BK195" s="59">
        <f t="shared" si="94"/>
        <v>-7.6999999999999993</v>
      </c>
      <c r="BL195" s="59">
        <f t="shared" si="94"/>
        <v>-53.899999999999991</v>
      </c>
      <c r="BM195" s="59">
        <f t="shared" si="94"/>
        <v>0</v>
      </c>
      <c r="BN195" s="59">
        <f t="shared" si="94"/>
        <v>0</v>
      </c>
      <c r="BO195" s="59">
        <f t="shared" si="94"/>
        <v>0</v>
      </c>
      <c r="BP195" s="59">
        <f t="shared" si="94"/>
        <v>0</v>
      </c>
      <c r="BQ195" s="59">
        <f t="shared" si="94"/>
        <v>0</v>
      </c>
      <c r="BR195" s="59">
        <f t="shared" si="94"/>
        <v>0</v>
      </c>
      <c r="BS195" s="59">
        <f t="shared" si="94"/>
        <v>0</v>
      </c>
      <c r="BT195" s="59">
        <f t="shared" si="94"/>
        <v>0</v>
      </c>
      <c r="BU195" s="59">
        <f t="shared" si="94"/>
        <v>0</v>
      </c>
      <c r="BV195" s="67">
        <f t="shared" si="75"/>
        <v>73.26846153846148</v>
      </c>
      <c r="BX195" s="54">
        <f t="shared" si="91"/>
        <v>16.683333333333334</v>
      </c>
      <c r="BY195" s="54">
        <f t="shared" si="91"/>
        <v>16.683333333333334</v>
      </c>
      <c r="BZ195" s="54">
        <f t="shared" si="91"/>
        <v>16.683333333333334</v>
      </c>
      <c r="CA195" s="54">
        <f t="shared" si="90"/>
        <v>16.683333333333334</v>
      </c>
      <c r="CB195" s="54">
        <f t="shared" si="90"/>
        <v>16.683333333333334</v>
      </c>
      <c r="CC195" s="54">
        <f t="shared" si="90"/>
        <v>16.683333333333334</v>
      </c>
      <c r="CD195" s="54">
        <f t="shared" si="90"/>
        <v>16.683333333333334</v>
      </c>
      <c r="CE195" s="54">
        <f t="shared" si="90"/>
        <v>16.683333333333334</v>
      </c>
      <c r="CF195" s="54">
        <f t="shared" si="90"/>
        <v>16.683333333333334</v>
      </c>
      <c r="CG195" s="54">
        <f t="shared" si="85"/>
        <v>16.683333333333334</v>
      </c>
      <c r="CH195" s="54">
        <f t="shared" si="85"/>
        <v>16.683333333333334</v>
      </c>
      <c r="CI195" s="54">
        <f t="shared" si="85"/>
        <v>16.683333333333334</v>
      </c>
      <c r="CJ195" s="74">
        <f t="shared" si="95"/>
        <v>200.20000000000002</v>
      </c>
      <c r="CK195" s="59">
        <f t="shared" si="80"/>
        <v>18</v>
      </c>
      <c r="CL195" s="9">
        <f t="shared" si="81"/>
        <v>0</v>
      </c>
      <c r="CM195" s="71">
        <f t="shared" si="77"/>
        <v>200.2</v>
      </c>
      <c r="CN195" s="72"/>
      <c r="CO195" s="73"/>
    </row>
    <row r="196" spans="1:94" ht="20.25" customHeight="1">
      <c r="A196" s="1" t="s">
        <v>521</v>
      </c>
      <c r="B196" s="1" t="s">
        <v>522</v>
      </c>
      <c r="C196" s="1" t="s">
        <v>523</v>
      </c>
      <c r="D196" s="58">
        <f>+VLOOKUP(A196,'[1]BDD-Avk Tx'!B:CE,82,0)</f>
        <v>630</v>
      </c>
      <c r="E196" s="59">
        <v>548.5</v>
      </c>
      <c r="G196" s="4">
        <v>44427</v>
      </c>
      <c r="H196" s="4">
        <f t="shared" si="72"/>
        <v>45647</v>
      </c>
      <c r="I196" s="60" t="str">
        <f>+VLOOKUP(A196,'[1]BDD-Avk Tx'!B:BZ,77,0)</f>
        <v>CDI</v>
      </c>
      <c r="J196" s="4">
        <f t="shared" si="73"/>
        <v>45647</v>
      </c>
      <c r="N196" s="3"/>
      <c r="P196" s="54">
        <f t="shared" si="78"/>
        <v>4.333333333333333</v>
      </c>
      <c r="Q196" s="61">
        <v>53</v>
      </c>
      <c r="R196" s="62">
        <f t="shared" si="79"/>
        <v>18</v>
      </c>
      <c r="S196" s="54">
        <f t="shared" si="87"/>
        <v>1.5</v>
      </c>
      <c r="T196" s="54">
        <f t="shared" si="87"/>
        <v>1.5</v>
      </c>
      <c r="U196" s="54">
        <f t="shared" si="87"/>
        <v>1.5</v>
      </c>
      <c r="V196" s="54">
        <f t="shared" si="87"/>
        <v>1.5</v>
      </c>
      <c r="W196" s="54">
        <f t="shared" si="87"/>
        <v>1.5</v>
      </c>
      <c r="X196" s="54">
        <f t="shared" si="87"/>
        <v>1.5</v>
      </c>
      <c r="Y196" s="54">
        <f t="shared" si="87"/>
        <v>1.5</v>
      </c>
      <c r="Z196" s="54">
        <f t="shared" si="87"/>
        <v>1.5</v>
      </c>
      <c r="AA196" s="54">
        <f t="shared" si="87"/>
        <v>1.5</v>
      </c>
      <c r="AB196" s="54">
        <f t="shared" si="87"/>
        <v>1.5</v>
      </c>
      <c r="AC196" s="54">
        <f t="shared" si="87"/>
        <v>1.5</v>
      </c>
      <c r="AD196" s="54">
        <f t="shared" si="87"/>
        <v>1.5</v>
      </c>
      <c r="AF196" s="62">
        <f t="shared" si="84"/>
        <v>0</v>
      </c>
      <c r="AG196" s="64">
        <v>0</v>
      </c>
      <c r="AH196" s="64">
        <v>0</v>
      </c>
      <c r="AI196" s="65">
        <v>0</v>
      </c>
      <c r="AJ196" s="66"/>
      <c r="AK196" s="64"/>
      <c r="AL196" s="64"/>
      <c r="AM196" s="64"/>
      <c r="AN196" s="64"/>
      <c r="AO196" s="64"/>
      <c r="AP196" s="64"/>
      <c r="AQ196" s="64"/>
      <c r="AR196" s="64"/>
      <c r="AS196" s="67">
        <f t="shared" si="74"/>
        <v>71</v>
      </c>
      <c r="AT196" s="68"/>
      <c r="AU196" s="69">
        <v>933.30769230769192</v>
      </c>
      <c r="AV196" s="62">
        <f t="shared" si="97"/>
        <v>379.73076923076923</v>
      </c>
      <c r="AW196" s="54">
        <f t="shared" si="93"/>
        <v>31.64423076923077</v>
      </c>
      <c r="AX196" s="54">
        <f t="shared" si="93"/>
        <v>31.64423076923077</v>
      </c>
      <c r="AY196" s="54">
        <f t="shared" si="93"/>
        <v>31.64423076923077</v>
      </c>
      <c r="AZ196" s="54">
        <f t="shared" si="93"/>
        <v>31.64423076923077</v>
      </c>
      <c r="BA196" s="54">
        <f t="shared" si="93"/>
        <v>31.64423076923077</v>
      </c>
      <c r="BB196" s="54">
        <f t="shared" si="93"/>
        <v>31.64423076923077</v>
      </c>
      <c r="BC196" s="54">
        <f t="shared" si="89"/>
        <v>31.64423076923077</v>
      </c>
      <c r="BD196" s="54">
        <f t="shared" si="89"/>
        <v>31.64423076923077</v>
      </c>
      <c r="BE196" s="54">
        <f t="shared" si="89"/>
        <v>31.64423076923077</v>
      </c>
      <c r="BF196" s="54">
        <f t="shared" si="71"/>
        <v>31.64423076923077</v>
      </c>
      <c r="BG196" s="54">
        <f t="shared" si="71"/>
        <v>31.64423076923077</v>
      </c>
      <c r="BH196" s="54">
        <f t="shared" si="71"/>
        <v>31.64423076923077</v>
      </c>
      <c r="BI196" s="62">
        <f t="shared" si="96"/>
        <v>0</v>
      </c>
      <c r="BJ196" s="59">
        <f t="shared" si="94"/>
        <v>0</v>
      </c>
      <c r="BK196" s="59">
        <f t="shared" si="94"/>
        <v>0</v>
      </c>
      <c r="BL196" s="59">
        <f t="shared" si="94"/>
        <v>0</v>
      </c>
      <c r="BM196" s="59">
        <f t="shared" si="94"/>
        <v>0</v>
      </c>
      <c r="BN196" s="59">
        <f t="shared" si="94"/>
        <v>0</v>
      </c>
      <c r="BO196" s="59">
        <f t="shared" si="94"/>
        <v>0</v>
      </c>
      <c r="BP196" s="59">
        <f t="shared" si="94"/>
        <v>0</v>
      </c>
      <c r="BQ196" s="59">
        <f t="shared" si="94"/>
        <v>0</v>
      </c>
      <c r="BR196" s="59">
        <f t="shared" si="94"/>
        <v>0</v>
      </c>
      <c r="BS196" s="59">
        <f t="shared" si="94"/>
        <v>0</v>
      </c>
      <c r="BT196" s="59">
        <f t="shared" si="94"/>
        <v>0</v>
      </c>
      <c r="BU196" s="59">
        <f t="shared" si="94"/>
        <v>0</v>
      </c>
      <c r="BV196" s="67">
        <f t="shared" si="75"/>
        <v>1313.0384615384612</v>
      </c>
      <c r="BX196" s="54">
        <f t="shared" si="91"/>
        <v>45.708333333333329</v>
      </c>
      <c r="BY196" s="54">
        <f t="shared" si="91"/>
        <v>45.708333333333329</v>
      </c>
      <c r="BZ196" s="54">
        <f t="shared" si="91"/>
        <v>45.708333333333329</v>
      </c>
      <c r="CA196" s="54">
        <f t="shared" si="90"/>
        <v>45.708333333333329</v>
      </c>
      <c r="CB196" s="54">
        <f t="shared" si="90"/>
        <v>45.708333333333329</v>
      </c>
      <c r="CC196" s="54">
        <f t="shared" si="90"/>
        <v>45.708333333333329</v>
      </c>
      <c r="CD196" s="54">
        <f t="shared" si="90"/>
        <v>45.708333333333329</v>
      </c>
      <c r="CE196" s="54">
        <f t="shared" si="90"/>
        <v>45.708333333333329</v>
      </c>
      <c r="CF196" s="54">
        <f t="shared" si="90"/>
        <v>45.708333333333329</v>
      </c>
      <c r="CG196" s="54">
        <f t="shared" si="85"/>
        <v>45.708333333333329</v>
      </c>
      <c r="CH196" s="54">
        <f t="shared" si="85"/>
        <v>45.708333333333329</v>
      </c>
      <c r="CI196" s="54">
        <f t="shared" si="85"/>
        <v>45.708333333333329</v>
      </c>
      <c r="CJ196" s="74">
        <f t="shared" si="95"/>
        <v>548.49999999999989</v>
      </c>
      <c r="CK196" s="59">
        <f t="shared" si="80"/>
        <v>18</v>
      </c>
      <c r="CL196" s="9">
        <f t="shared" si="81"/>
        <v>0</v>
      </c>
      <c r="CM196" s="71">
        <f t="shared" si="77"/>
        <v>548.5</v>
      </c>
      <c r="CN196" s="54"/>
      <c r="CO196" s="73"/>
      <c r="CP196" s="56"/>
    </row>
    <row r="197" spans="1:94" ht="20.25" customHeight="1">
      <c r="A197" s="75" t="s">
        <v>524</v>
      </c>
      <c r="B197" s="1" t="s">
        <v>525</v>
      </c>
      <c r="C197" s="1" t="s">
        <v>121</v>
      </c>
      <c r="D197" s="58">
        <f>+VLOOKUP(A197,'[1]BDD-Avk Tx'!B:CE,82,0)</f>
        <v>160</v>
      </c>
      <c r="E197" s="59">
        <v>130</v>
      </c>
      <c r="G197" s="4">
        <v>44441</v>
      </c>
      <c r="H197" s="4">
        <f t="shared" si="72"/>
        <v>45647</v>
      </c>
      <c r="I197" s="60" t="str">
        <f>+VLOOKUP(A197,'[1]BDD-Avk Tx'!B:BZ,77,0)</f>
        <v>CDI</v>
      </c>
      <c r="J197" s="4">
        <f t="shared" si="73"/>
        <v>45647</v>
      </c>
      <c r="N197" s="3"/>
      <c r="P197" s="54">
        <f t="shared" si="78"/>
        <v>4.25</v>
      </c>
      <c r="Q197" s="61">
        <v>-2</v>
      </c>
      <c r="R197" s="62">
        <f t="shared" si="79"/>
        <v>18</v>
      </c>
      <c r="S197" s="54">
        <f t="shared" si="87"/>
        <v>1.5</v>
      </c>
      <c r="T197" s="54">
        <f t="shared" si="87"/>
        <v>1.5</v>
      </c>
      <c r="U197" s="54">
        <f t="shared" si="87"/>
        <v>1.5</v>
      </c>
      <c r="V197" s="54">
        <f t="shared" si="87"/>
        <v>1.5</v>
      </c>
      <c r="W197" s="54">
        <f t="shared" si="87"/>
        <v>1.5</v>
      </c>
      <c r="X197" s="54">
        <f t="shared" si="87"/>
        <v>1.5</v>
      </c>
      <c r="Y197" s="54">
        <f t="shared" si="87"/>
        <v>1.5</v>
      </c>
      <c r="Z197" s="54">
        <f t="shared" si="87"/>
        <v>1.5</v>
      </c>
      <c r="AA197" s="54">
        <f t="shared" si="87"/>
        <v>1.5</v>
      </c>
      <c r="AB197" s="54">
        <f t="shared" si="87"/>
        <v>1.5</v>
      </c>
      <c r="AC197" s="54">
        <f t="shared" si="87"/>
        <v>1.5</v>
      </c>
      <c r="AD197" s="54">
        <f t="shared" si="87"/>
        <v>1.5</v>
      </c>
      <c r="AF197" s="62">
        <f t="shared" si="84"/>
        <v>0</v>
      </c>
      <c r="AG197" s="64">
        <v>0</v>
      </c>
      <c r="AH197" s="64">
        <v>0</v>
      </c>
      <c r="AI197" s="65">
        <v>0</v>
      </c>
      <c r="AJ197" s="66"/>
      <c r="AK197" s="64"/>
      <c r="AL197" s="64"/>
      <c r="AM197" s="64"/>
      <c r="AN197" s="64"/>
      <c r="AO197" s="64"/>
      <c r="AP197" s="64"/>
      <c r="AQ197" s="64"/>
      <c r="AR197" s="66"/>
      <c r="AS197" s="67">
        <f t="shared" si="74"/>
        <v>16</v>
      </c>
      <c r="AT197" s="68"/>
      <c r="AU197" s="69">
        <v>-10</v>
      </c>
      <c r="AV197" s="62">
        <f t="shared" si="97"/>
        <v>90</v>
      </c>
      <c r="AW197" s="54">
        <f t="shared" si="93"/>
        <v>7.5</v>
      </c>
      <c r="AX197" s="54">
        <f t="shared" si="93"/>
        <v>7.5</v>
      </c>
      <c r="AY197" s="54">
        <f t="shared" si="93"/>
        <v>7.5</v>
      </c>
      <c r="AZ197" s="54">
        <f t="shared" si="93"/>
        <v>7.5</v>
      </c>
      <c r="BA197" s="54">
        <f t="shared" si="93"/>
        <v>7.5</v>
      </c>
      <c r="BB197" s="54">
        <f t="shared" si="93"/>
        <v>7.5</v>
      </c>
      <c r="BC197" s="54">
        <f t="shared" si="89"/>
        <v>7.5</v>
      </c>
      <c r="BD197" s="54">
        <f t="shared" si="89"/>
        <v>7.5</v>
      </c>
      <c r="BE197" s="54">
        <f t="shared" si="89"/>
        <v>7.5</v>
      </c>
      <c r="BF197" s="54">
        <f t="shared" si="71"/>
        <v>7.5</v>
      </c>
      <c r="BG197" s="54">
        <f t="shared" si="71"/>
        <v>7.5</v>
      </c>
      <c r="BH197" s="54">
        <f t="shared" si="71"/>
        <v>7.5</v>
      </c>
      <c r="BI197" s="62">
        <f t="shared" si="96"/>
        <v>0</v>
      </c>
      <c r="BJ197" s="59">
        <f t="shared" si="94"/>
        <v>0</v>
      </c>
      <c r="BK197" s="59">
        <f t="shared" si="94"/>
        <v>0</v>
      </c>
      <c r="BL197" s="59">
        <f t="shared" si="94"/>
        <v>0</v>
      </c>
      <c r="BM197" s="59">
        <f t="shared" si="94"/>
        <v>0</v>
      </c>
      <c r="BN197" s="59">
        <f t="shared" si="94"/>
        <v>0</v>
      </c>
      <c r="BO197" s="59">
        <f t="shared" si="94"/>
        <v>0</v>
      </c>
      <c r="BP197" s="59">
        <f t="shared" si="94"/>
        <v>0</v>
      </c>
      <c r="BQ197" s="59">
        <f t="shared" si="94"/>
        <v>0</v>
      </c>
      <c r="BR197" s="59">
        <f t="shared" si="94"/>
        <v>0</v>
      </c>
      <c r="BS197" s="59">
        <f t="shared" si="94"/>
        <v>0</v>
      </c>
      <c r="BT197" s="59">
        <f t="shared" si="94"/>
        <v>0</v>
      </c>
      <c r="BU197" s="59">
        <f t="shared" si="94"/>
        <v>0</v>
      </c>
      <c r="BV197" s="67">
        <f t="shared" si="75"/>
        <v>80</v>
      </c>
      <c r="BX197" s="54">
        <f t="shared" si="91"/>
        <v>10.833333333333334</v>
      </c>
      <c r="BY197" s="54">
        <f t="shared" si="91"/>
        <v>10.833333333333334</v>
      </c>
      <c r="BZ197" s="54">
        <f t="shared" si="91"/>
        <v>10.833333333333334</v>
      </c>
      <c r="CA197" s="54">
        <f t="shared" si="90"/>
        <v>10.833333333333334</v>
      </c>
      <c r="CB197" s="54">
        <f t="shared" si="90"/>
        <v>10.833333333333334</v>
      </c>
      <c r="CC197" s="54">
        <f t="shared" si="90"/>
        <v>10.833333333333334</v>
      </c>
      <c r="CD197" s="54">
        <f t="shared" si="90"/>
        <v>10.833333333333334</v>
      </c>
      <c r="CE197" s="54">
        <f t="shared" si="90"/>
        <v>10.833333333333334</v>
      </c>
      <c r="CF197" s="54">
        <f t="shared" si="90"/>
        <v>10.833333333333334</v>
      </c>
      <c r="CG197" s="54">
        <f t="shared" si="85"/>
        <v>10.833333333333334</v>
      </c>
      <c r="CH197" s="54">
        <f t="shared" si="85"/>
        <v>10.833333333333334</v>
      </c>
      <c r="CI197" s="54">
        <f t="shared" si="85"/>
        <v>10.833333333333334</v>
      </c>
      <c r="CJ197" s="74">
        <f t="shared" si="95"/>
        <v>129.99999999999997</v>
      </c>
      <c r="CK197" s="59">
        <f t="shared" si="80"/>
        <v>18</v>
      </c>
      <c r="CL197" s="9">
        <f t="shared" si="81"/>
        <v>0</v>
      </c>
      <c r="CM197" s="71">
        <f t="shared" si="77"/>
        <v>130</v>
      </c>
      <c r="CN197" s="72"/>
      <c r="CO197" s="73"/>
    </row>
    <row r="198" spans="1:94" ht="20.25" customHeight="1">
      <c r="A198" s="75" t="s">
        <v>526</v>
      </c>
      <c r="B198" s="1" t="s">
        <v>527</v>
      </c>
      <c r="C198" s="1" t="s">
        <v>463</v>
      </c>
      <c r="D198" s="58">
        <f>+VLOOKUP(A198,'[1]BDD-Avk Tx'!B:CE,82,0)</f>
        <v>120</v>
      </c>
      <c r="E198" s="59">
        <v>200.2</v>
      </c>
      <c r="G198" s="4">
        <v>44501</v>
      </c>
      <c r="H198" s="4">
        <f t="shared" si="72"/>
        <v>45647</v>
      </c>
      <c r="I198" s="60" t="str">
        <f>+VLOOKUP(A198,'[1]BDD-Avk Tx'!B:BZ,77,0)</f>
        <v>CDI</v>
      </c>
      <c r="J198" s="4">
        <f t="shared" si="73"/>
        <v>45647</v>
      </c>
      <c r="N198" s="3"/>
      <c r="P198" s="54">
        <f t="shared" si="78"/>
        <v>4.083333333333333</v>
      </c>
      <c r="Q198" s="61">
        <v>0</v>
      </c>
      <c r="R198" s="62">
        <f t="shared" si="79"/>
        <v>18</v>
      </c>
      <c r="S198" s="54">
        <f t="shared" si="87"/>
        <v>1.5</v>
      </c>
      <c r="T198" s="54">
        <f t="shared" si="87"/>
        <v>1.5</v>
      </c>
      <c r="U198" s="54">
        <f t="shared" si="87"/>
        <v>1.5</v>
      </c>
      <c r="V198" s="54">
        <f t="shared" si="87"/>
        <v>1.5</v>
      </c>
      <c r="W198" s="54">
        <f t="shared" si="87"/>
        <v>1.5</v>
      </c>
      <c r="X198" s="54">
        <f t="shared" si="87"/>
        <v>1.5</v>
      </c>
      <c r="Y198" s="54">
        <f t="shared" si="87"/>
        <v>1.5</v>
      </c>
      <c r="Z198" s="54">
        <f t="shared" si="87"/>
        <v>1.5</v>
      </c>
      <c r="AA198" s="54">
        <f t="shared" si="87"/>
        <v>1.5</v>
      </c>
      <c r="AB198" s="54">
        <f t="shared" si="87"/>
        <v>1.5</v>
      </c>
      <c r="AC198" s="54">
        <f t="shared" si="87"/>
        <v>1.5</v>
      </c>
      <c r="AD198" s="54">
        <f t="shared" si="87"/>
        <v>1.5</v>
      </c>
      <c r="AF198" s="62">
        <f t="shared" si="84"/>
        <v>0</v>
      </c>
      <c r="AG198" s="64">
        <v>0</v>
      </c>
      <c r="AH198" s="64">
        <v>0</v>
      </c>
      <c r="AI198" s="65">
        <v>0</v>
      </c>
      <c r="AJ198" s="66"/>
      <c r="AK198" s="64"/>
      <c r="AL198" s="64"/>
      <c r="AM198" s="64"/>
      <c r="AN198" s="64"/>
      <c r="AO198" s="64"/>
      <c r="AP198" s="64"/>
      <c r="AQ198" s="64"/>
      <c r="AR198" s="64"/>
      <c r="AS198" s="67">
        <f t="shared" si="74"/>
        <v>18</v>
      </c>
      <c r="AT198" s="68"/>
      <c r="AU198" s="69">
        <v>-6.9230769230784972E-2</v>
      </c>
      <c r="AV198" s="62">
        <f t="shared" si="97"/>
        <v>138.6</v>
      </c>
      <c r="AW198" s="54">
        <f t="shared" si="93"/>
        <v>11.549999999999999</v>
      </c>
      <c r="AX198" s="54">
        <f t="shared" si="93"/>
        <v>11.549999999999999</v>
      </c>
      <c r="AY198" s="54">
        <f t="shared" si="93"/>
        <v>11.549999999999999</v>
      </c>
      <c r="AZ198" s="54">
        <f t="shared" si="93"/>
        <v>11.549999999999999</v>
      </c>
      <c r="BA198" s="54">
        <f t="shared" si="93"/>
        <v>11.549999999999999</v>
      </c>
      <c r="BB198" s="54">
        <f t="shared" si="93"/>
        <v>11.549999999999999</v>
      </c>
      <c r="BC198" s="54">
        <f t="shared" si="89"/>
        <v>11.549999999999999</v>
      </c>
      <c r="BD198" s="54">
        <f t="shared" si="89"/>
        <v>11.549999999999999</v>
      </c>
      <c r="BE198" s="54">
        <f t="shared" si="89"/>
        <v>11.549999999999999</v>
      </c>
      <c r="BF198" s="54">
        <f t="shared" si="89"/>
        <v>11.549999999999999</v>
      </c>
      <c r="BG198" s="54">
        <f t="shared" si="89"/>
        <v>11.549999999999999</v>
      </c>
      <c r="BH198" s="54">
        <f t="shared" si="89"/>
        <v>11.549999999999999</v>
      </c>
      <c r="BI198" s="62">
        <f t="shared" si="96"/>
        <v>0</v>
      </c>
      <c r="BJ198" s="59">
        <f t="shared" si="94"/>
        <v>0</v>
      </c>
      <c r="BK198" s="59">
        <f t="shared" si="94"/>
        <v>0</v>
      </c>
      <c r="BL198" s="59">
        <f t="shared" si="94"/>
        <v>0</v>
      </c>
      <c r="BM198" s="59">
        <f t="shared" si="94"/>
        <v>0</v>
      </c>
      <c r="BN198" s="59">
        <f t="shared" si="94"/>
        <v>0</v>
      </c>
      <c r="BO198" s="59">
        <f t="shared" si="94"/>
        <v>0</v>
      </c>
      <c r="BP198" s="59">
        <f t="shared" si="94"/>
        <v>0</v>
      </c>
      <c r="BQ198" s="59">
        <f t="shared" si="94"/>
        <v>0</v>
      </c>
      <c r="BR198" s="59">
        <f t="shared" si="94"/>
        <v>0</v>
      </c>
      <c r="BS198" s="59">
        <f t="shared" si="94"/>
        <v>0</v>
      </c>
      <c r="BT198" s="59">
        <f t="shared" si="94"/>
        <v>0</v>
      </c>
      <c r="BU198" s="59">
        <f t="shared" si="94"/>
        <v>0</v>
      </c>
      <c r="BV198" s="67">
        <f t="shared" si="75"/>
        <v>138.53076923076921</v>
      </c>
      <c r="BX198" s="54">
        <f t="shared" si="91"/>
        <v>16.683333333333334</v>
      </c>
      <c r="BY198" s="54">
        <f t="shared" si="91"/>
        <v>16.683333333333334</v>
      </c>
      <c r="BZ198" s="54">
        <f t="shared" si="91"/>
        <v>16.683333333333334</v>
      </c>
      <c r="CA198" s="54">
        <f t="shared" si="90"/>
        <v>16.683333333333334</v>
      </c>
      <c r="CB198" s="54">
        <f t="shared" si="90"/>
        <v>16.683333333333334</v>
      </c>
      <c r="CC198" s="54">
        <f t="shared" si="90"/>
        <v>16.683333333333334</v>
      </c>
      <c r="CD198" s="54">
        <f t="shared" si="90"/>
        <v>16.683333333333334</v>
      </c>
      <c r="CE198" s="54">
        <f t="shared" si="90"/>
        <v>16.683333333333334</v>
      </c>
      <c r="CF198" s="54">
        <f t="shared" si="90"/>
        <v>16.683333333333334</v>
      </c>
      <c r="CG198" s="54">
        <f t="shared" si="85"/>
        <v>16.683333333333334</v>
      </c>
      <c r="CH198" s="54">
        <f t="shared" si="85"/>
        <v>16.683333333333334</v>
      </c>
      <c r="CI198" s="54">
        <f t="shared" si="85"/>
        <v>16.683333333333334</v>
      </c>
      <c r="CJ198" s="74">
        <f t="shared" si="95"/>
        <v>200.20000000000002</v>
      </c>
      <c r="CK198" s="59">
        <f t="shared" si="80"/>
        <v>18</v>
      </c>
      <c r="CL198" s="9">
        <f t="shared" si="81"/>
        <v>0</v>
      </c>
      <c r="CM198" s="71">
        <f t="shared" si="77"/>
        <v>200.2</v>
      </c>
      <c r="CN198" s="54"/>
      <c r="CO198" s="73"/>
      <c r="CP198" s="56"/>
    </row>
    <row r="199" spans="1:94" ht="20.25" customHeight="1">
      <c r="A199" s="1" t="s">
        <v>528</v>
      </c>
      <c r="B199" s="1" t="s">
        <v>529</v>
      </c>
      <c r="C199" s="1" t="s">
        <v>463</v>
      </c>
      <c r="D199" s="58">
        <f>+VLOOKUP(A199,'[1]BDD-Avk Tx'!B:CE,82,0)</f>
        <v>120</v>
      </c>
      <c r="E199" s="59">
        <v>200.2</v>
      </c>
      <c r="G199" s="4">
        <v>44501</v>
      </c>
      <c r="H199" s="4">
        <f t="shared" si="72"/>
        <v>45647</v>
      </c>
      <c r="I199" s="60" t="str">
        <f>+VLOOKUP(A199,'[1]BDD-Avk Tx'!B:BZ,77,0)</f>
        <v>CDI</v>
      </c>
      <c r="J199" s="4">
        <f t="shared" si="73"/>
        <v>45647</v>
      </c>
      <c r="N199" s="3"/>
      <c r="P199" s="54">
        <f t="shared" si="78"/>
        <v>4.083333333333333</v>
      </c>
      <c r="Q199" s="61">
        <v>0</v>
      </c>
      <c r="R199" s="62">
        <f t="shared" si="79"/>
        <v>18</v>
      </c>
      <c r="S199" s="54">
        <f t="shared" si="87"/>
        <v>1.5</v>
      </c>
      <c r="T199" s="54">
        <f t="shared" si="87"/>
        <v>1.5</v>
      </c>
      <c r="U199" s="54">
        <f t="shared" si="87"/>
        <v>1.5</v>
      </c>
      <c r="V199" s="54">
        <f t="shared" si="87"/>
        <v>1.5</v>
      </c>
      <c r="W199" s="54">
        <f t="shared" si="87"/>
        <v>1.5</v>
      </c>
      <c r="X199" s="54">
        <f t="shared" si="87"/>
        <v>1.5</v>
      </c>
      <c r="Y199" s="54">
        <f t="shared" si="87"/>
        <v>1.5</v>
      </c>
      <c r="Z199" s="54">
        <f t="shared" si="87"/>
        <v>1.5</v>
      </c>
      <c r="AA199" s="54">
        <f t="shared" si="87"/>
        <v>1.5</v>
      </c>
      <c r="AB199" s="54">
        <f t="shared" si="87"/>
        <v>1.5</v>
      </c>
      <c r="AC199" s="54">
        <f t="shared" si="87"/>
        <v>1.5</v>
      </c>
      <c r="AD199" s="54">
        <f t="shared" si="87"/>
        <v>1.5</v>
      </c>
      <c r="AF199" s="62">
        <f t="shared" si="84"/>
        <v>1</v>
      </c>
      <c r="AG199" s="64">
        <v>0</v>
      </c>
      <c r="AH199" s="64">
        <v>0</v>
      </c>
      <c r="AI199" s="65">
        <v>1</v>
      </c>
      <c r="AJ199" s="66"/>
      <c r="AK199" s="64"/>
      <c r="AL199" s="64"/>
      <c r="AM199" s="64"/>
      <c r="AN199" s="64"/>
      <c r="AO199" s="64"/>
      <c r="AP199" s="64"/>
      <c r="AQ199" s="64"/>
      <c r="AR199" s="64"/>
      <c r="AS199" s="67">
        <f t="shared" si="74"/>
        <v>17</v>
      </c>
      <c r="AT199" s="68"/>
      <c r="AU199" s="69">
        <v>1.5384615384533618E-2</v>
      </c>
      <c r="AV199" s="62">
        <f t="shared" si="97"/>
        <v>138.6</v>
      </c>
      <c r="AW199" s="54">
        <f t="shared" si="93"/>
        <v>11.549999999999999</v>
      </c>
      <c r="AX199" s="54">
        <f t="shared" si="93"/>
        <v>11.549999999999999</v>
      </c>
      <c r="AY199" s="54">
        <f t="shared" si="93"/>
        <v>11.549999999999999</v>
      </c>
      <c r="AZ199" s="54">
        <f t="shared" si="93"/>
        <v>11.549999999999999</v>
      </c>
      <c r="BA199" s="54">
        <f t="shared" si="93"/>
        <v>11.549999999999999</v>
      </c>
      <c r="BB199" s="54">
        <f t="shared" si="93"/>
        <v>11.549999999999999</v>
      </c>
      <c r="BC199" s="54">
        <f t="shared" si="89"/>
        <v>11.549999999999999</v>
      </c>
      <c r="BD199" s="54">
        <f t="shared" si="89"/>
        <v>11.549999999999999</v>
      </c>
      <c r="BE199" s="54">
        <f t="shared" si="89"/>
        <v>11.549999999999999</v>
      </c>
      <c r="BF199" s="54">
        <f t="shared" si="89"/>
        <v>11.549999999999999</v>
      </c>
      <c r="BG199" s="54">
        <f t="shared" si="89"/>
        <v>11.549999999999999</v>
      </c>
      <c r="BH199" s="54">
        <f t="shared" si="89"/>
        <v>11.549999999999999</v>
      </c>
      <c r="BI199" s="62">
        <f t="shared" si="96"/>
        <v>-7.6999999999999993</v>
      </c>
      <c r="BJ199" s="59">
        <f t="shared" si="94"/>
        <v>0</v>
      </c>
      <c r="BK199" s="59">
        <f t="shared" si="94"/>
        <v>0</v>
      </c>
      <c r="BL199" s="59">
        <f t="shared" si="94"/>
        <v>-7.6999999999999993</v>
      </c>
      <c r="BM199" s="59">
        <f t="shared" si="94"/>
        <v>0</v>
      </c>
      <c r="BN199" s="59">
        <f t="shared" si="94"/>
        <v>0</v>
      </c>
      <c r="BO199" s="59">
        <f t="shared" si="94"/>
        <v>0</v>
      </c>
      <c r="BP199" s="59">
        <f t="shared" si="94"/>
        <v>0</v>
      </c>
      <c r="BQ199" s="59">
        <f t="shared" si="94"/>
        <v>0</v>
      </c>
      <c r="BR199" s="59">
        <f t="shared" si="94"/>
        <v>0</v>
      </c>
      <c r="BS199" s="59">
        <f t="shared" si="94"/>
        <v>0</v>
      </c>
      <c r="BT199" s="59">
        <f t="shared" si="94"/>
        <v>0</v>
      </c>
      <c r="BU199" s="59">
        <f t="shared" si="94"/>
        <v>0</v>
      </c>
      <c r="BV199" s="67">
        <f t="shared" si="75"/>
        <v>130.91538461538454</v>
      </c>
      <c r="BX199" s="54">
        <f t="shared" si="91"/>
        <v>16.683333333333334</v>
      </c>
      <c r="BY199" s="54">
        <f t="shared" si="91"/>
        <v>16.683333333333334</v>
      </c>
      <c r="BZ199" s="54">
        <f t="shared" si="91"/>
        <v>16.683333333333334</v>
      </c>
      <c r="CA199" s="54">
        <f t="shared" si="90"/>
        <v>16.683333333333334</v>
      </c>
      <c r="CB199" s="54">
        <f t="shared" si="90"/>
        <v>16.683333333333334</v>
      </c>
      <c r="CC199" s="54">
        <f t="shared" si="90"/>
        <v>16.683333333333334</v>
      </c>
      <c r="CD199" s="54">
        <f t="shared" si="90"/>
        <v>16.683333333333334</v>
      </c>
      <c r="CE199" s="54">
        <f t="shared" si="90"/>
        <v>16.683333333333334</v>
      </c>
      <c r="CF199" s="54">
        <f t="shared" si="90"/>
        <v>16.683333333333334</v>
      </c>
      <c r="CG199" s="54">
        <f t="shared" si="85"/>
        <v>16.683333333333334</v>
      </c>
      <c r="CH199" s="54">
        <f t="shared" si="85"/>
        <v>16.683333333333334</v>
      </c>
      <c r="CI199" s="54">
        <f t="shared" si="85"/>
        <v>16.683333333333334</v>
      </c>
      <c r="CJ199" s="74">
        <f t="shared" si="95"/>
        <v>200.20000000000002</v>
      </c>
      <c r="CK199" s="59">
        <f t="shared" si="80"/>
        <v>18</v>
      </c>
      <c r="CL199" s="9">
        <f t="shared" si="81"/>
        <v>0</v>
      </c>
      <c r="CM199" s="71">
        <f t="shared" si="77"/>
        <v>200.2</v>
      </c>
      <c r="CN199" s="72"/>
      <c r="CO199" s="73"/>
    </row>
    <row r="200" spans="1:94" ht="20.25" customHeight="1">
      <c r="A200" s="75" t="s">
        <v>530</v>
      </c>
      <c r="B200" s="1" t="s">
        <v>531</v>
      </c>
      <c r="C200" s="1" t="s">
        <v>403</v>
      </c>
      <c r="D200" s="58">
        <f>+VLOOKUP(A200,'[1]BDD-Avk Tx'!B:CE,82,0)</f>
        <v>650</v>
      </c>
      <c r="E200" s="59">
        <v>130</v>
      </c>
      <c r="G200" s="4">
        <v>44652</v>
      </c>
      <c r="H200" s="4">
        <f t="shared" ref="H200:H249" si="98">+IF(YEAR(G200)&lt;YEAR($H$5),$H$4,G200)</f>
        <v>45647</v>
      </c>
      <c r="I200" s="60" t="str">
        <f>+VLOOKUP(A200,'[1]BDD-Avk Tx'!B:BZ,77,0)</f>
        <v>CDI</v>
      </c>
      <c r="J200" s="4">
        <f t="shared" ref="J200:J249" si="99">+IF(I200="CDI",H200,H200+0)</f>
        <v>45647</v>
      </c>
      <c r="N200" s="3"/>
      <c r="P200" s="54">
        <f t="shared" si="78"/>
        <v>3.6666666666666665</v>
      </c>
      <c r="Q200" s="61">
        <v>0</v>
      </c>
      <c r="R200" s="62">
        <f t="shared" si="79"/>
        <v>18</v>
      </c>
      <c r="S200" s="54">
        <f t="shared" si="87"/>
        <v>1.5</v>
      </c>
      <c r="T200" s="54">
        <f t="shared" si="87"/>
        <v>1.5</v>
      </c>
      <c r="U200" s="54">
        <f t="shared" si="87"/>
        <v>1.5</v>
      </c>
      <c r="V200" s="54">
        <f t="shared" si="87"/>
        <v>1.5</v>
      </c>
      <c r="W200" s="54">
        <f t="shared" si="87"/>
        <v>1.5</v>
      </c>
      <c r="X200" s="54">
        <f t="shared" si="87"/>
        <v>1.5</v>
      </c>
      <c r="Y200" s="54">
        <f t="shared" si="87"/>
        <v>1.5</v>
      </c>
      <c r="Z200" s="54">
        <f t="shared" si="87"/>
        <v>1.5</v>
      </c>
      <c r="AA200" s="54">
        <f t="shared" si="87"/>
        <v>1.5</v>
      </c>
      <c r="AB200" s="54">
        <f t="shared" si="87"/>
        <v>1.5</v>
      </c>
      <c r="AC200" s="54">
        <f t="shared" si="87"/>
        <v>1.5</v>
      </c>
      <c r="AD200" s="54">
        <f t="shared" si="87"/>
        <v>1.5</v>
      </c>
      <c r="AF200" s="62">
        <f t="shared" si="84"/>
        <v>0</v>
      </c>
      <c r="AG200" s="64">
        <v>0</v>
      </c>
      <c r="AH200" s="64">
        <v>0</v>
      </c>
      <c r="AI200" s="65">
        <v>0</v>
      </c>
      <c r="AJ200" s="66"/>
      <c r="AK200" s="64"/>
      <c r="AL200" s="64"/>
      <c r="AM200" s="64"/>
      <c r="AN200" s="64"/>
      <c r="AO200" s="64"/>
      <c r="AP200" s="64"/>
      <c r="AQ200" s="64"/>
      <c r="AR200" s="64"/>
      <c r="AS200" s="67">
        <f t="shared" ref="AS200:AS277" si="100">+Q200+R200-AF200</f>
        <v>18</v>
      </c>
      <c r="AT200" s="68"/>
      <c r="AU200" s="69">
        <v>0</v>
      </c>
      <c r="AV200" s="62">
        <f t="shared" si="97"/>
        <v>90</v>
      </c>
      <c r="AW200" s="54">
        <f t="shared" si="93"/>
        <v>7.5</v>
      </c>
      <c r="AX200" s="54">
        <f t="shared" si="93"/>
        <v>7.5</v>
      </c>
      <c r="AY200" s="54">
        <f t="shared" si="93"/>
        <v>7.5</v>
      </c>
      <c r="AZ200" s="54">
        <f t="shared" si="93"/>
        <v>7.5</v>
      </c>
      <c r="BA200" s="54">
        <f t="shared" si="93"/>
        <v>7.5</v>
      </c>
      <c r="BB200" s="54">
        <f t="shared" si="93"/>
        <v>7.5</v>
      </c>
      <c r="BC200" s="54">
        <f t="shared" si="89"/>
        <v>7.5</v>
      </c>
      <c r="BD200" s="54">
        <f t="shared" si="89"/>
        <v>7.5</v>
      </c>
      <c r="BE200" s="54">
        <f t="shared" si="89"/>
        <v>7.5</v>
      </c>
      <c r="BF200" s="54">
        <f t="shared" si="89"/>
        <v>7.5</v>
      </c>
      <c r="BG200" s="54">
        <f t="shared" si="89"/>
        <v>7.5</v>
      </c>
      <c r="BH200" s="54">
        <f t="shared" si="89"/>
        <v>7.5</v>
      </c>
      <c r="BI200" s="62">
        <f t="shared" si="96"/>
        <v>0</v>
      </c>
      <c r="BJ200" s="59">
        <f t="shared" si="94"/>
        <v>0</v>
      </c>
      <c r="BK200" s="59">
        <f t="shared" si="94"/>
        <v>0</v>
      </c>
      <c r="BL200" s="59">
        <f t="shared" si="94"/>
        <v>0</v>
      </c>
      <c r="BM200" s="59">
        <f t="shared" si="94"/>
        <v>0</v>
      </c>
      <c r="BN200" s="59">
        <f t="shared" si="94"/>
        <v>0</v>
      </c>
      <c r="BO200" s="59">
        <f t="shared" si="94"/>
        <v>0</v>
      </c>
      <c r="BP200" s="59">
        <f t="shared" si="94"/>
        <v>0</v>
      </c>
      <c r="BQ200" s="59">
        <f t="shared" si="94"/>
        <v>0</v>
      </c>
      <c r="BR200" s="59">
        <f t="shared" si="94"/>
        <v>0</v>
      </c>
      <c r="BS200" s="59">
        <f t="shared" si="94"/>
        <v>0</v>
      </c>
      <c r="BT200" s="59">
        <f t="shared" si="94"/>
        <v>0</v>
      </c>
      <c r="BU200" s="59">
        <f t="shared" si="94"/>
        <v>0</v>
      </c>
      <c r="BV200" s="67">
        <f t="shared" ref="BV200:BV242" si="101">+AU200+AV200+BI200</f>
        <v>90</v>
      </c>
      <c r="BX200" s="54">
        <f t="shared" si="91"/>
        <v>10.833333333333334</v>
      </c>
      <c r="BY200" s="54">
        <f t="shared" si="91"/>
        <v>10.833333333333334</v>
      </c>
      <c r="BZ200" s="54">
        <f t="shared" si="91"/>
        <v>10.833333333333334</v>
      </c>
      <c r="CA200" s="54">
        <f t="shared" si="90"/>
        <v>10.833333333333334</v>
      </c>
      <c r="CB200" s="54">
        <f t="shared" si="90"/>
        <v>10.833333333333334</v>
      </c>
      <c r="CC200" s="54">
        <f t="shared" si="90"/>
        <v>10.833333333333334</v>
      </c>
      <c r="CD200" s="54">
        <f t="shared" si="90"/>
        <v>10.833333333333334</v>
      </c>
      <c r="CE200" s="54">
        <f t="shared" si="90"/>
        <v>10.833333333333334</v>
      </c>
      <c r="CF200" s="54">
        <f t="shared" si="90"/>
        <v>10.833333333333334</v>
      </c>
      <c r="CG200" s="54">
        <f t="shared" si="85"/>
        <v>10.833333333333334</v>
      </c>
      <c r="CH200" s="54">
        <f t="shared" si="85"/>
        <v>10.833333333333334</v>
      </c>
      <c r="CI200" s="54">
        <f t="shared" si="85"/>
        <v>10.833333333333334</v>
      </c>
      <c r="CJ200" s="74">
        <f t="shared" si="95"/>
        <v>129.99999999999997</v>
      </c>
      <c r="CK200" s="59">
        <f t="shared" si="80"/>
        <v>18</v>
      </c>
      <c r="CL200" s="9">
        <f t="shared" si="81"/>
        <v>0</v>
      </c>
      <c r="CM200" s="71">
        <f t="shared" ref="CM200:CM250" si="102">IF(L200=0,E200,(L200-E200+E200))</f>
        <v>130</v>
      </c>
      <c r="CN200" s="54"/>
      <c r="CO200" s="73"/>
      <c r="CP200" s="56"/>
    </row>
    <row r="201" spans="1:94" ht="20.25" customHeight="1">
      <c r="A201" s="75" t="s">
        <v>532</v>
      </c>
      <c r="B201" s="1" t="s">
        <v>533</v>
      </c>
      <c r="C201" s="1" t="s">
        <v>391</v>
      </c>
      <c r="D201" s="58">
        <f>+VLOOKUP(A201,'[1]BDD-Avk Tx'!B:CE,82,0)</f>
        <v>710</v>
      </c>
      <c r="E201" s="59">
        <v>548.6</v>
      </c>
      <c r="G201" s="4">
        <v>44725</v>
      </c>
      <c r="H201" s="4">
        <f t="shared" si="98"/>
        <v>45647</v>
      </c>
      <c r="I201" s="60" t="str">
        <f>+VLOOKUP(A201,'[1]BDD-Avk Tx'!B:BZ,77,0)</f>
        <v>CDI</v>
      </c>
      <c r="J201" s="4">
        <f t="shared" si="99"/>
        <v>45647</v>
      </c>
      <c r="N201" s="3"/>
      <c r="P201" s="54">
        <f t="shared" ref="P201:P244" si="103">DATEDIF(G201,$AD$6,"m")/12</f>
        <v>3.5</v>
      </c>
      <c r="Q201" s="61">
        <v>8</v>
      </c>
      <c r="R201" s="62">
        <f t="shared" ref="R201:R250" si="104">SUM(S201:AD201)</f>
        <v>18</v>
      </c>
      <c r="S201" s="54">
        <f t="shared" si="87"/>
        <v>1.5</v>
      </c>
      <c r="T201" s="54">
        <f t="shared" si="87"/>
        <v>1.5</v>
      </c>
      <c r="U201" s="54">
        <f t="shared" si="87"/>
        <v>1.5</v>
      </c>
      <c r="V201" s="54">
        <f t="shared" si="87"/>
        <v>1.5</v>
      </c>
      <c r="W201" s="54">
        <f t="shared" si="87"/>
        <v>1.5</v>
      </c>
      <c r="X201" s="54">
        <f t="shared" si="87"/>
        <v>1.5</v>
      </c>
      <c r="Y201" s="54">
        <f t="shared" si="87"/>
        <v>1.5</v>
      </c>
      <c r="Z201" s="54">
        <f t="shared" si="87"/>
        <v>1.5</v>
      </c>
      <c r="AA201" s="54">
        <f t="shared" si="87"/>
        <v>1.5</v>
      </c>
      <c r="AB201" s="54">
        <f t="shared" si="87"/>
        <v>1.5</v>
      </c>
      <c r="AC201" s="54">
        <f t="shared" si="87"/>
        <v>1.5</v>
      </c>
      <c r="AD201" s="54">
        <f t="shared" si="87"/>
        <v>1.5</v>
      </c>
      <c r="AF201" s="62">
        <f t="shared" si="84"/>
        <v>4</v>
      </c>
      <c r="AG201" s="64">
        <v>4</v>
      </c>
      <c r="AH201" s="64">
        <v>0</v>
      </c>
      <c r="AI201" s="65">
        <v>0</v>
      </c>
      <c r="AJ201" s="66"/>
      <c r="AK201" s="64"/>
      <c r="AL201" s="64"/>
      <c r="AM201" s="64"/>
      <c r="AN201" s="64"/>
      <c r="AO201" s="64"/>
      <c r="AP201" s="64"/>
      <c r="AQ201" s="64"/>
      <c r="AR201" s="64"/>
      <c r="AS201" s="67">
        <f t="shared" si="100"/>
        <v>22</v>
      </c>
      <c r="AT201" s="68"/>
      <c r="AU201" s="69">
        <v>89.862115384615038</v>
      </c>
      <c r="AV201" s="62">
        <f t="shared" ref="AV201:AV207" si="105">SUM(AW201:BH201)</f>
        <v>379.79999999999995</v>
      </c>
      <c r="AW201" s="54">
        <f t="shared" si="93"/>
        <v>31.650000000000002</v>
      </c>
      <c r="AX201" s="54">
        <f t="shared" si="93"/>
        <v>31.650000000000002</v>
      </c>
      <c r="AY201" s="54">
        <f t="shared" si="93"/>
        <v>31.650000000000002</v>
      </c>
      <c r="AZ201" s="54">
        <f t="shared" si="93"/>
        <v>31.650000000000002</v>
      </c>
      <c r="BA201" s="54">
        <f t="shared" si="93"/>
        <v>31.650000000000002</v>
      </c>
      <c r="BB201" s="54">
        <f t="shared" si="93"/>
        <v>31.650000000000002</v>
      </c>
      <c r="BC201" s="54">
        <f t="shared" si="89"/>
        <v>31.650000000000002</v>
      </c>
      <c r="BD201" s="54">
        <f t="shared" si="89"/>
        <v>31.650000000000002</v>
      </c>
      <c r="BE201" s="54">
        <f t="shared" si="89"/>
        <v>31.650000000000002</v>
      </c>
      <c r="BF201" s="54">
        <f t="shared" si="89"/>
        <v>31.650000000000002</v>
      </c>
      <c r="BG201" s="54">
        <f t="shared" si="89"/>
        <v>31.650000000000002</v>
      </c>
      <c r="BH201" s="54">
        <f t="shared" si="89"/>
        <v>31.650000000000002</v>
      </c>
      <c r="BI201" s="62">
        <f t="shared" ref="BI201:BI218" si="106">SUM(BJ201:BU201)</f>
        <v>-84.4</v>
      </c>
      <c r="BJ201" s="59">
        <f t="shared" si="94"/>
        <v>-84.4</v>
      </c>
      <c r="BK201" s="59">
        <f t="shared" si="94"/>
        <v>0</v>
      </c>
      <c r="BL201" s="59">
        <f t="shared" si="94"/>
        <v>0</v>
      </c>
      <c r="BM201" s="59">
        <f t="shared" si="94"/>
        <v>0</v>
      </c>
      <c r="BN201" s="59">
        <f t="shared" si="94"/>
        <v>0</v>
      </c>
      <c r="BO201" s="59">
        <f t="shared" si="94"/>
        <v>0</v>
      </c>
      <c r="BP201" s="59">
        <f t="shared" si="94"/>
        <v>0</v>
      </c>
      <c r="BQ201" s="59">
        <f t="shared" si="94"/>
        <v>0</v>
      </c>
      <c r="BR201" s="59">
        <f t="shared" si="94"/>
        <v>0</v>
      </c>
      <c r="BS201" s="59">
        <f t="shared" si="94"/>
        <v>0</v>
      </c>
      <c r="BT201" s="59">
        <f t="shared" si="94"/>
        <v>0</v>
      </c>
      <c r="BU201" s="59">
        <f t="shared" si="94"/>
        <v>0</v>
      </c>
      <c r="BV201" s="67">
        <f t="shared" si="101"/>
        <v>385.26211538461496</v>
      </c>
      <c r="BX201" s="54">
        <f t="shared" si="91"/>
        <v>45.716666666666669</v>
      </c>
      <c r="BY201" s="54">
        <f t="shared" si="91"/>
        <v>45.716666666666669</v>
      </c>
      <c r="BZ201" s="54">
        <f t="shared" si="91"/>
        <v>45.716666666666669</v>
      </c>
      <c r="CA201" s="54">
        <f t="shared" si="90"/>
        <v>45.716666666666669</v>
      </c>
      <c r="CB201" s="54">
        <f t="shared" si="90"/>
        <v>45.716666666666669</v>
      </c>
      <c r="CC201" s="54">
        <f t="shared" si="90"/>
        <v>45.716666666666669</v>
      </c>
      <c r="CD201" s="54">
        <f t="shared" si="90"/>
        <v>45.716666666666669</v>
      </c>
      <c r="CE201" s="54">
        <f t="shared" si="90"/>
        <v>45.716666666666669</v>
      </c>
      <c r="CF201" s="54">
        <f t="shared" si="90"/>
        <v>45.716666666666669</v>
      </c>
      <c r="CG201" s="54">
        <f t="shared" si="85"/>
        <v>45.716666666666669</v>
      </c>
      <c r="CH201" s="54">
        <f t="shared" si="85"/>
        <v>45.716666666666669</v>
      </c>
      <c r="CI201" s="54">
        <f t="shared" si="85"/>
        <v>45.716666666666669</v>
      </c>
      <c r="CJ201" s="74">
        <f t="shared" si="95"/>
        <v>548.60000000000014</v>
      </c>
      <c r="CK201" s="59">
        <f t="shared" ref="CK201:CK245" si="107">+IF(P201&lt;5,18,IF(AND(P201&gt;=5,P201&lt;10),19,IF(AND(P201&gt;=10,P201&lt;15),20,IF(AND(P201&gt;=15,P201&lt;20),21,0))))</f>
        <v>18</v>
      </c>
      <c r="CL201" s="9">
        <f t="shared" si="81"/>
        <v>0</v>
      </c>
      <c r="CM201" s="71">
        <f t="shared" si="102"/>
        <v>548.6</v>
      </c>
      <c r="CN201" s="54"/>
      <c r="CO201" s="73"/>
      <c r="CP201" s="56"/>
    </row>
    <row r="202" spans="1:94" ht="20.25" customHeight="1">
      <c r="A202" s="75" t="s">
        <v>534</v>
      </c>
      <c r="B202" s="1" t="s">
        <v>535</v>
      </c>
      <c r="C202" s="1" t="s">
        <v>206</v>
      </c>
      <c r="D202" s="58">
        <f>+VLOOKUP(A202,'[1]BDD-Avk Tx'!B:CE,82,0)</f>
        <v>216</v>
      </c>
      <c r="E202" s="59">
        <v>130</v>
      </c>
      <c r="G202" s="4">
        <v>44727</v>
      </c>
      <c r="H202" s="4">
        <f t="shared" si="98"/>
        <v>45647</v>
      </c>
      <c r="I202" s="60" t="str">
        <f>+VLOOKUP(A202,'[1]BDD-Avk Tx'!B:BZ,77,0)</f>
        <v>CDI</v>
      </c>
      <c r="J202" s="4">
        <f t="shared" si="99"/>
        <v>45647</v>
      </c>
      <c r="N202" s="3"/>
      <c r="P202" s="54">
        <f t="shared" si="103"/>
        <v>3.5</v>
      </c>
      <c r="Q202" s="61">
        <v>3</v>
      </c>
      <c r="R202" s="62">
        <f t="shared" si="104"/>
        <v>18</v>
      </c>
      <c r="S202" s="54">
        <f t="shared" si="87"/>
        <v>1.5</v>
      </c>
      <c r="T202" s="54">
        <f t="shared" si="87"/>
        <v>1.5</v>
      </c>
      <c r="U202" s="54">
        <f t="shared" si="87"/>
        <v>1.5</v>
      </c>
      <c r="V202" s="54">
        <f t="shared" si="87"/>
        <v>1.5</v>
      </c>
      <c r="W202" s="54">
        <f t="shared" si="87"/>
        <v>1.5</v>
      </c>
      <c r="X202" s="54">
        <f t="shared" si="87"/>
        <v>1.5</v>
      </c>
      <c r="Y202" s="54">
        <f t="shared" si="87"/>
        <v>1.5</v>
      </c>
      <c r="Z202" s="54">
        <f t="shared" si="87"/>
        <v>1.5</v>
      </c>
      <c r="AA202" s="54">
        <f t="shared" si="87"/>
        <v>1.5</v>
      </c>
      <c r="AB202" s="54">
        <f t="shared" si="87"/>
        <v>1.5</v>
      </c>
      <c r="AC202" s="54">
        <f t="shared" si="87"/>
        <v>1.5</v>
      </c>
      <c r="AD202" s="54">
        <f t="shared" si="87"/>
        <v>1.5</v>
      </c>
      <c r="AF202" s="62">
        <f t="shared" si="84"/>
        <v>18</v>
      </c>
      <c r="AG202" s="64">
        <v>12</v>
      </c>
      <c r="AH202" s="64">
        <v>6</v>
      </c>
      <c r="AI202" s="65">
        <v>0</v>
      </c>
      <c r="AJ202" s="66"/>
      <c r="AK202" s="64"/>
      <c r="AL202" s="64"/>
      <c r="AM202" s="64"/>
      <c r="AN202" s="64"/>
      <c r="AO202" s="64"/>
      <c r="AP202" s="64"/>
      <c r="AQ202" s="64"/>
      <c r="AR202" s="64"/>
      <c r="AS202" s="67">
        <f t="shared" si="100"/>
        <v>3</v>
      </c>
      <c r="AT202" s="68"/>
      <c r="AU202" s="69">
        <v>15</v>
      </c>
      <c r="AV202" s="62">
        <f t="shared" si="105"/>
        <v>90</v>
      </c>
      <c r="AW202" s="54">
        <f t="shared" si="93"/>
        <v>7.5</v>
      </c>
      <c r="AX202" s="54">
        <f t="shared" si="93"/>
        <v>7.5</v>
      </c>
      <c r="AY202" s="54">
        <f t="shared" si="93"/>
        <v>7.5</v>
      </c>
      <c r="AZ202" s="54">
        <f t="shared" si="93"/>
        <v>7.5</v>
      </c>
      <c r="BA202" s="54">
        <f t="shared" si="93"/>
        <v>7.5</v>
      </c>
      <c r="BB202" s="54">
        <f t="shared" si="93"/>
        <v>7.5</v>
      </c>
      <c r="BC202" s="54">
        <f t="shared" si="89"/>
        <v>7.5</v>
      </c>
      <c r="BD202" s="54">
        <f t="shared" si="89"/>
        <v>7.5</v>
      </c>
      <c r="BE202" s="54">
        <f t="shared" si="89"/>
        <v>7.5</v>
      </c>
      <c r="BF202" s="54">
        <f t="shared" si="89"/>
        <v>7.5</v>
      </c>
      <c r="BG202" s="54">
        <f t="shared" si="89"/>
        <v>7.5</v>
      </c>
      <c r="BH202" s="54">
        <f t="shared" si="89"/>
        <v>7.5</v>
      </c>
      <c r="BI202" s="62">
        <f t="shared" si="106"/>
        <v>-90</v>
      </c>
      <c r="BJ202" s="59">
        <f t="shared" si="94"/>
        <v>-60</v>
      </c>
      <c r="BK202" s="59">
        <f t="shared" si="94"/>
        <v>-30</v>
      </c>
      <c r="BL202" s="59">
        <f t="shared" si="94"/>
        <v>0</v>
      </c>
      <c r="BM202" s="59">
        <f t="shared" si="94"/>
        <v>0</v>
      </c>
      <c r="BN202" s="59">
        <f t="shared" si="94"/>
        <v>0</v>
      </c>
      <c r="BO202" s="59">
        <f t="shared" si="94"/>
        <v>0</v>
      </c>
      <c r="BP202" s="59">
        <f t="shared" si="94"/>
        <v>0</v>
      </c>
      <c r="BQ202" s="59">
        <f t="shared" si="94"/>
        <v>0</v>
      </c>
      <c r="BR202" s="59">
        <f t="shared" si="94"/>
        <v>0</v>
      </c>
      <c r="BS202" s="59">
        <f t="shared" si="94"/>
        <v>0</v>
      </c>
      <c r="BT202" s="59">
        <f t="shared" si="94"/>
        <v>0</v>
      </c>
      <c r="BU202" s="59">
        <f t="shared" si="94"/>
        <v>0</v>
      </c>
      <c r="BV202" s="67">
        <f t="shared" si="101"/>
        <v>15</v>
      </c>
      <c r="BX202" s="54">
        <f t="shared" si="91"/>
        <v>10.833333333333334</v>
      </c>
      <c r="BY202" s="54">
        <f t="shared" si="91"/>
        <v>10.833333333333334</v>
      </c>
      <c r="BZ202" s="54">
        <f t="shared" si="91"/>
        <v>10.833333333333334</v>
      </c>
      <c r="CA202" s="54">
        <f t="shared" si="90"/>
        <v>10.833333333333334</v>
      </c>
      <c r="CB202" s="54">
        <f t="shared" si="90"/>
        <v>10.833333333333334</v>
      </c>
      <c r="CC202" s="54">
        <f t="shared" si="90"/>
        <v>10.833333333333334</v>
      </c>
      <c r="CD202" s="54">
        <f t="shared" si="90"/>
        <v>10.833333333333334</v>
      </c>
      <c r="CE202" s="54">
        <f t="shared" si="90"/>
        <v>10.833333333333334</v>
      </c>
      <c r="CF202" s="54">
        <f t="shared" si="90"/>
        <v>10.833333333333334</v>
      </c>
      <c r="CG202" s="54">
        <f t="shared" si="85"/>
        <v>10.833333333333334</v>
      </c>
      <c r="CH202" s="54">
        <f t="shared" si="85"/>
        <v>10.833333333333334</v>
      </c>
      <c r="CI202" s="54">
        <f t="shared" si="85"/>
        <v>10.833333333333334</v>
      </c>
      <c r="CJ202" s="74">
        <f t="shared" si="95"/>
        <v>129.99999999999997</v>
      </c>
      <c r="CK202" s="59">
        <f t="shared" si="107"/>
        <v>18</v>
      </c>
      <c r="CL202" s="9">
        <f t="shared" ref="CL202:CL279" si="108">+CM202-CJ202</f>
        <v>0</v>
      </c>
      <c r="CM202" s="71">
        <f t="shared" si="102"/>
        <v>130</v>
      </c>
      <c r="CN202" s="72"/>
      <c r="CO202" s="73"/>
    </row>
    <row r="203" spans="1:94" ht="20.25" customHeight="1">
      <c r="A203" s="75" t="s">
        <v>536</v>
      </c>
      <c r="B203" s="1" t="s">
        <v>537</v>
      </c>
      <c r="C203" s="1" t="s">
        <v>206</v>
      </c>
      <c r="D203" s="58">
        <f>+VLOOKUP(A203,'[1]BDD-Avk Tx'!B:CE,82,0)</f>
        <v>216</v>
      </c>
      <c r="E203" s="59">
        <v>130</v>
      </c>
      <c r="G203" s="4">
        <v>44727</v>
      </c>
      <c r="H203" s="4">
        <f t="shared" si="98"/>
        <v>45647</v>
      </c>
      <c r="I203" s="60" t="str">
        <f>+VLOOKUP(A203,'[1]BDD-Avk Tx'!B:BZ,77,0)</f>
        <v>CDI</v>
      </c>
      <c r="J203" s="4">
        <f t="shared" si="99"/>
        <v>45647</v>
      </c>
      <c r="N203" s="3"/>
      <c r="P203" s="54">
        <f t="shared" si="103"/>
        <v>3.5</v>
      </c>
      <c r="Q203" s="61">
        <v>4</v>
      </c>
      <c r="R203" s="62">
        <f t="shared" si="104"/>
        <v>18</v>
      </c>
      <c r="S203" s="54">
        <f t="shared" si="87"/>
        <v>1.5</v>
      </c>
      <c r="T203" s="54">
        <f t="shared" si="87"/>
        <v>1.5</v>
      </c>
      <c r="U203" s="54">
        <f t="shared" si="87"/>
        <v>1.5</v>
      </c>
      <c r="V203" s="54">
        <f t="shared" si="87"/>
        <v>1.5</v>
      </c>
      <c r="W203" s="54">
        <f t="shared" si="87"/>
        <v>1.5</v>
      </c>
      <c r="X203" s="54">
        <f t="shared" si="87"/>
        <v>1.5</v>
      </c>
      <c r="Y203" s="54">
        <f t="shared" si="87"/>
        <v>1.5</v>
      </c>
      <c r="Z203" s="54">
        <f t="shared" si="87"/>
        <v>1.5</v>
      </c>
      <c r="AA203" s="54">
        <f t="shared" si="87"/>
        <v>1.5</v>
      </c>
      <c r="AB203" s="54">
        <f t="shared" si="87"/>
        <v>1.5</v>
      </c>
      <c r="AC203" s="54">
        <f t="shared" si="87"/>
        <v>1.5</v>
      </c>
      <c r="AD203" s="54">
        <f t="shared" si="87"/>
        <v>1.5</v>
      </c>
      <c r="AF203" s="62">
        <f t="shared" si="84"/>
        <v>0</v>
      </c>
      <c r="AG203" s="64">
        <v>0</v>
      </c>
      <c r="AH203" s="64">
        <v>0</v>
      </c>
      <c r="AI203" s="65">
        <v>0</v>
      </c>
      <c r="AJ203" s="66"/>
      <c r="AK203" s="64"/>
      <c r="AL203" s="64"/>
      <c r="AM203" s="64"/>
      <c r="AN203" s="64"/>
      <c r="AO203" s="64"/>
      <c r="AP203" s="64"/>
      <c r="AQ203" s="64"/>
      <c r="AR203" s="64"/>
      <c r="AS203" s="67">
        <f t="shared" si="100"/>
        <v>22</v>
      </c>
      <c r="AT203" s="68"/>
      <c r="AU203" s="69">
        <v>20</v>
      </c>
      <c r="AV203" s="62">
        <f t="shared" si="105"/>
        <v>90</v>
      </c>
      <c r="AW203" s="54">
        <f t="shared" si="93"/>
        <v>7.5</v>
      </c>
      <c r="AX203" s="54">
        <f t="shared" si="93"/>
        <v>7.5</v>
      </c>
      <c r="AY203" s="54">
        <f t="shared" si="93"/>
        <v>7.5</v>
      </c>
      <c r="AZ203" s="54">
        <f t="shared" si="93"/>
        <v>7.5</v>
      </c>
      <c r="BA203" s="54">
        <f t="shared" si="93"/>
        <v>7.5</v>
      </c>
      <c r="BB203" s="54">
        <f t="shared" si="93"/>
        <v>7.5</v>
      </c>
      <c r="BC203" s="54">
        <f t="shared" si="89"/>
        <v>7.5</v>
      </c>
      <c r="BD203" s="54">
        <f t="shared" si="89"/>
        <v>7.5</v>
      </c>
      <c r="BE203" s="54">
        <f t="shared" si="89"/>
        <v>7.5</v>
      </c>
      <c r="BF203" s="54">
        <f t="shared" si="89"/>
        <v>7.5</v>
      </c>
      <c r="BG203" s="54">
        <f t="shared" si="89"/>
        <v>7.5</v>
      </c>
      <c r="BH203" s="54">
        <f t="shared" si="89"/>
        <v>7.5</v>
      </c>
      <c r="BI203" s="62">
        <f t="shared" si="106"/>
        <v>0</v>
      </c>
      <c r="BJ203" s="59">
        <f t="shared" si="94"/>
        <v>0</v>
      </c>
      <c r="BK203" s="59">
        <f t="shared" si="94"/>
        <v>0</v>
      </c>
      <c r="BL203" s="59">
        <f t="shared" si="94"/>
        <v>0</v>
      </c>
      <c r="BM203" s="59">
        <f t="shared" si="94"/>
        <v>0</v>
      </c>
      <c r="BN203" s="59">
        <f t="shared" si="94"/>
        <v>0</v>
      </c>
      <c r="BO203" s="59">
        <f t="shared" si="94"/>
        <v>0</v>
      </c>
      <c r="BP203" s="59">
        <f t="shared" si="94"/>
        <v>0</v>
      </c>
      <c r="BQ203" s="59">
        <f t="shared" si="94"/>
        <v>0</v>
      </c>
      <c r="BR203" s="59">
        <f t="shared" si="94"/>
        <v>0</v>
      </c>
      <c r="BS203" s="59">
        <f t="shared" si="94"/>
        <v>0</v>
      </c>
      <c r="BT203" s="59">
        <f t="shared" si="94"/>
        <v>0</v>
      </c>
      <c r="BU203" s="59">
        <f t="shared" si="94"/>
        <v>0</v>
      </c>
      <c r="BV203" s="67">
        <f t="shared" si="101"/>
        <v>110</v>
      </c>
      <c r="BX203" s="54">
        <f t="shared" si="91"/>
        <v>10.833333333333334</v>
      </c>
      <c r="BY203" s="54">
        <f t="shared" si="91"/>
        <v>10.833333333333334</v>
      </c>
      <c r="BZ203" s="54">
        <f t="shared" si="91"/>
        <v>10.833333333333334</v>
      </c>
      <c r="CA203" s="54">
        <f t="shared" si="90"/>
        <v>10.833333333333334</v>
      </c>
      <c r="CB203" s="54">
        <f t="shared" si="90"/>
        <v>10.833333333333334</v>
      </c>
      <c r="CC203" s="54">
        <f t="shared" si="90"/>
        <v>10.833333333333334</v>
      </c>
      <c r="CD203" s="54">
        <f t="shared" si="90"/>
        <v>10.833333333333334</v>
      </c>
      <c r="CE203" s="54">
        <f t="shared" si="90"/>
        <v>10.833333333333334</v>
      </c>
      <c r="CF203" s="54">
        <f t="shared" si="90"/>
        <v>10.833333333333334</v>
      </c>
      <c r="CG203" s="54">
        <f t="shared" si="85"/>
        <v>10.833333333333334</v>
      </c>
      <c r="CH203" s="54">
        <f t="shared" si="85"/>
        <v>10.833333333333334</v>
      </c>
      <c r="CI203" s="54">
        <f t="shared" si="85"/>
        <v>10.833333333333334</v>
      </c>
      <c r="CJ203" s="74">
        <f t="shared" si="95"/>
        <v>129.99999999999997</v>
      </c>
      <c r="CK203" s="59">
        <f t="shared" si="107"/>
        <v>18</v>
      </c>
      <c r="CL203" s="9">
        <f t="shared" si="108"/>
        <v>0</v>
      </c>
      <c r="CM203" s="71">
        <f t="shared" si="102"/>
        <v>130</v>
      </c>
      <c r="CN203" s="54"/>
      <c r="CO203" s="73"/>
      <c r="CP203" s="56"/>
    </row>
    <row r="204" spans="1:94" ht="20.25" customHeight="1">
      <c r="A204" s="75" t="s">
        <v>538</v>
      </c>
      <c r="B204" s="1" t="s">
        <v>539</v>
      </c>
      <c r="C204" s="1" t="s">
        <v>206</v>
      </c>
      <c r="D204" s="58">
        <f>+VLOOKUP(A204,'[1]BDD-Avk Tx'!B:CE,82,0)</f>
        <v>216</v>
      </c>
      <c r="E204" s="59">
        <v>130</v>
      </c>
      <c r="G204" s="4">
        <v>44727</v>
      </c>
      <c r="H204" s="4">
        <f t="shared" si="98"/>
        <v>45647</v>
      </c>
      <c r="I204" s="60" t="str">
        <f>+VLOOKUP(A204,'[1]BDD-Avk Tx'!B:BZ,77,0)</f>
        <v>CDI</v>
      </c>
      <c r="J204" s="4">
        <f t="shared" si="99"/>
        <v>45647</v>
      </c>
      <c r="N204" s="3"/>
      <c r="P204" s="54">
        <f t="shared" si="103"/>
        <v>3.5</v>
      </c>
      <c r="Q204" s="61">
        <v>9</v>
      </c>
      <c r="R204" s="62">
        <f t="shared" si="104"/>
        <v>18</v>
      </c>
      <c r="S204" s="54">
        <f t="shared" si="87"/>
        <v>1.5</v>
      </c>
      <c r="T204" s="54">
        <f t="shared" si="87"/>
        <v>1.5</v>
      </c>
      <c r="U204" s="54">
        <f t="shared" si="87"/>
        <v>1.5</v>
      </c>
      <c r="V204" s="54">
        <f t="shared" si="87"/>
        <v>1.5</v>
      </c>
      <c r="W204" s="54">
        <f t="shared" si="87"/>
        <v>1.5</v>
      </c>
      <c r="X204" s="54">
        <f t="shared" si="87"/>
        <v>1.5</v>
      </c>
      <c r="Y204" s="54">
        <f t="shared" si="87"/>
        <v>1.5</v>
      </c>
      <c r="Z204" s="54">
        <f t="shared" si="87"/>
        <v>1.5</v>
      </c>
      <c r="AA204" s="54">
        <f t="shared" si="87"/>
        <v>1.5</v>
      </c>
      <c r="AB204" s="54">
        <f t="shared" si="87"/>
        <v>1.5</v>
      </c>
      <c r="AC204" s="54">
        <f t="shared" si="87"/>
        <v>1.5</v>
      </c>
      <c r="AD204" s="54">
        <f t="shared" si="87"/>
        <v>1.5</v>
      </c>
      <c r="AF204" s="62">
        <f t="shared" si="84"/>
        <v>27</v>
      </c>
      <c r="AG204" s="64">
        <v>13</v>
      </c>
      <c r="AH204" s="64">
        <v>14</v>
      </c>
      <c r="AI204" s="65">
        <v>0</v>
      </c>
      <c r="AJ204" s="66"/>
      <c r="AK204" s="64"/>
      <c r="AL204" s="64"/>
      <c r="AM204" s="64"/>
      <c r="AN204" s="64"/>
      <c r="AO204" s="64"/>
      <c r="AP204" s="64"/>
      <c r="AQ204" s="64"/>
      <c r="AR204" s="64"/>
      <c r="AS204" s="67">
        <f t="shared" si="100"/>
        <v>0</v>
      </c>
      <c r="AT204" s="68"/>
      <c r="AU204" s="69">
        <v>45</v>
      </c>
      <c r="AV204" s="62">
        <f t="shared" si="105"/>
        <v>90</v>
      </c>
      <c r="AW204" s="54">
        <f t="shared" si="93"/>
        <v>7.5</v>
      </c>
      <c r="AX204" s="54">
        <f t="shared" si="93"/>
        <v>7.5</v>
      </c>
      <c r="AY204" s="54">
        <f t="shared" si="93"/>
        <v>7.5</v>
      </c>
      <c r="AZ204" s="54">
        <f t="shared" si="93"/>
        <v>7.5</v>
      </c>
      <c r="BA204" s="54">
        <f t="shared" si="93"/>
        <v>7.5</v>
      </c>
      <c r="BB204" s="54">
        <f t="shared" si="93"/>
        <v>7.5</v>
      </c>
      <c r="BC204" s="54">
        <f t="shared" si="89"/>
        <v>7.5</v>
      </c>
      <c r="BD204" s="54">
        <f t="shared" si="89"/>
        <v>7.5</v>
      </c>
      <c r="BE204" s="54">
        <f t="shared" si="89"/>
        <v>7.5</v>
      </c>
      <c r="BF204" s="54">
        <f t="shared" si="89"/>
        <v>7.5</v>
      </c>
      <c r="BG204" s="54">
        <f t="shared" si="89"/>
        <v>7.5</v>
      </c>
      <c r="BH204" s="54">
        <f t="shared" si="89"/>
        <v>7.5</v>
      </c>
      <c r="BI204" s="62">
        <f t="shared" si="106"/>
        <v>-135</v>
      </c>
      <c r="BJ204" s="59">
        <f t="shared" si="94"/>
        <v>-65</v>
      </c>
      <c r="BK204" s="59">
        <f t="shared" si="94"/>
        <v>-70</v>
      </c>
      <c r="BL204" s="59">
        <f t="shared" si="94"/>
        <v>0</v>
      </c>
      <c r="BM204" s="59">
        <f t="shared" si="94"/>
        <v>0</v>
      </c>
      <c r="BN204" s="59">
        <f t="shared" si="94"/>
        <v>0</v>
      </c>
      <c r="BO204" s="59">
        <f t="shared" si="94"/>
        <v>0</v>
      </c>
      <c r="BP204" s="59">
        <f t="shared" si="94"/>
        <v>0</v>
      </c>
      <c r="BQ204" s="59">
        <f t="shared" si="94"/>
        <v>0</v>
      </c>
      <c r="BR204" s="59">
        <f t="shared" si="94"/>
        <v>0</v>
      </c>
      <c r="BS204" s="59">
        <f t="shared" si="94"/>
        <v>0</v>
      </c>
      <c r="BT204" s="59">
        <f t="shared" si="94"/>
        <v>0</v>
      </c>
      <c r="BU204" s="59">
        <f t="shared" si="94"/>
        <v>0</v>
      </c>
      <c r="BV204" s="67">
        <f t="shared" si="101"/>
        <v>0</v>
      </c>
      <c r="BX204" s="54">
        <f t="shared" si="91"/>
        <v>10.833333333333334</v>
      </c>
      <c r="BY204" s="54">
        <f t="shared" si="91"/>
        <v>10.833333333333334</v>
      </c>
      <c r="BZ204" s="54">
        <f t="shared" si="91"/>
        <v>10.833333333333334</v>
      </c>
      <c r="CA204" s="54">
        <f t="shared" si="90"/>
        <v>10.833333333333334</v>
      </c>
      <c r="CB204" s="54">
        <f t="shared" si="90"/>
        <v>10.833333333333334</v>
      </c>
      <c r="CC204" s="54">
        <f t="shared" si="90"/>
        <v>10.833333333333334</v>
      </c>
      <c r="CD204" s="54">
        <f t="shared" si="90"/>
        <v>10.833333333333334</v>
      </c>
      <c r="CE204" s="54">
        <f t="shared" si="90"/>
        <v>10.833333333333334</v>
      </c>
      <c r="CF204" s="54">
        <f t="shared" si="90"/>
        <v>10.833333333333334</v>
      </c>
      <c r="CG204" s="54">
        <f t="shared" si="85"/>
        <v>10.833333333333334</v>
      </c>
      <c r="CH204" s="54">
        <f t="shared" si="85"/>
        <v>10.833333333333334</v>
      </c>
      <c r="CI204" s="54">
        <f t="shared" si="85"/>
        <v>10.833333333333334</v>
      </c>
      <c r="CJ204" s="74">
        <f t="shared" si="95"/>
        <v>129.99999999999997</v>
      </c>
      <c r="CK204" s="59">
        <f t="shared" si="107"/>
        <v>18</v>
      </c>
      <c r="CL204" s="9">
        <f t="shared" si="108"/>
        <v>0</v>
      </c>
      <c r="CM204" s="71">
        <f t="shared" si="102"/>
        <v>130</v>
      </c>
      <c r="CN204" s="72"/>
      <c r="CO204" s="73"/>
    </row>
    <row r="205" spans="1:94" ht="20.25" customHeight="1">
      <c r="A205" s="75" t="s">
        <v>540</v>
      </c>
      <c r="B205" s="1" t="s">
        <v>541</v>
      </c>
      <c r="C205" s="1" t="s">
        <v>542</v>
      </c>
      <c r="D205" s="58">
        <f>+VLOOKUP(A205,'[1]BDD-Avk Tx'!B:CE,82,0)</f>
        <v>216</v>
      </c>
      <c r="E205" s="59">
        <v>130</v>
      </c>
      <c r="G205" s="4">
        <v>44727</v>
      </c>
      <c r="H205" s="4">
        <f t="shared" si="98"/>
        <v>45647</v>
      </c>
      <c r="I205" s="60" t="str">
        <f>+VLOOKUP(A205,'[1]BDD-Avk Tx'!B:BZ,77,0)</f>
        <v>CDI</v>
      </c>
      <c r="J205" s="4">
        <f t="shared" si="99"/>
        <v>45647</v>
      </c>
      <c r="N205" s="3"/>
      <c r="P205" s="54">
        <f t="shared" si="103"/>
        <v>3.5</v>
      </c>
      <c r="Q205" s="61">
        <v>27</v>
      </c>
      <c r="R205" s="62">
        <f t="shared" si="104"/>
        <v>18</v>
      </c>
      <c r="S205" s="54">
        <f t="shared" si="87"/>
        <v>1.5</v>
      </c>
      <c r="T205" s="54">
        <f t="shared" si="87"/>
        <v>1.5</v>
      </c>
      <c r="U205" s="54">
        <f t="shared" si="87"/>
        <v>1.5</v>
      </c>
      <c r="V205" s="54">
        <f t="shared" si="87"/>
        <v>1.5</v>
      </c>
      <c r="W205" s="54">
        <f t="shared" si="87"/>
        <v>1.5</v>
      </c>
      <c r="X205" s="54">
        <f t="shared" si="87"/>
        <v>1.5</v>
      </c>
      <c r="Y205" s="54">
        <f t="shared" si="87"/>
        <v>1.5</v>
      </c>
      <c r="Z205" s="54">
        <f t="shared" si="87"/>
        <v>1.5</v>
      </c>
      <c r="AA205" s="54">
        <f t="shared" si="87"/>
        <v>1.5</v>
      </c>
      <c r="AB205" s="54">
        <f t="shared" si="87"/>
        <v>1.5</v>
      </c>
      <c r="AC205" s="54">
        <f t="shared" si="87"/>
        <v>1.5</v>
      </c>
      <c r="AD205" s="54">
        <f t="shared" si="87"/>
        <v>1.5</v>
      </c>
      <c r="AF205" s="62">
        <f t="shared" si="84"/>
        <v>41</v>
      </c>
      <c r="AG205" s="64">
        <v>0</v>
      </c>
      <c r="AH205" s="64">
        <v>17</v>
      </c>
      <c r="AI205" s="65">
        <v>24</v>
      </c>
      <c r="AJ205" s="66"/>
      <c r="AK205" s="64"/>
      <c r="AL205" s="64"/>
      <c r="AM205" s="64"/>
      <c r="AN205" s="64"/>
      <c r="AO205" s="64"/>
      <c r="AP205" s="64"/>
      <c r="AQ205" s="64"/>
      <c r="AR205" s="64"/>
      <c r="AS205" s="67">
        <f t="shared" si="100"/>
        <v>4</v>
      </c>
      <c r="AT205" s="68"/>
      <c r="AU205" s="69">
        <v>135</v>
      </c>
      <c r="AV205" s="62">
        <f t="shared" si="105"/>
        <v>90</v>
      </c>
      <c r="AW205" s="54">
        <f t="shared" si="93"/>
        <v>7.5</v>
      </c>
      <c r="AX205" s="54">
        <f t="shared" si="93"/>
        <v>7.5</v>
      </c>
      <c r="AY205" s="54">
        <f t="shared" si="93"/>
        <v>7.5</v>
      </c>
      <c r="AZ205" s="54">
        <f t="shared" si="93"/>
        <v>7.5</v>
      </c>
      <c r="BA205" s="54">
        <f t="shared" si="93"/>
        <v>7.5</v>
      </c>
      <c r="BB205" s="54">
        <f t="shared" si="93"/>
        <v>7.5</v>
      </c>
      <c r="BC205" s="54">
        <f t="shared" si="89"/>
        <v>7.5</v>
      </c>
      <c r="BD205" s="54">
        <f t="shared" si="89"/>
        <v>7.5</v>
      </c>
      <c r="BE205" s="54">
        <f t="shared" si="89"/>
        <v>7.5</v>
      </c>
      <c r="BF205" s="54">
        <f t="shared" si="89"/>
        <v>7.5</v>
      </c>
      <c r="BG205" s="54">
        <f t="shared" si="89"/>
        <v>7.5</v>
      </c>
      <c r="BH205" s="54">
        <f t="shared" si="89"/>
        <v>7.5</v>
      </c>
      <c r="BI205" s="62">
        <f t="shared" si="106"/>
        <v>-205</v>
      </c>
      <c r="BJ205" s="59">
        <f t="shared" si="94"/>
        <v>0</v>
      </c>
      <c r="BK205" s="59">
        <f t="shared" si="94"/>
        <v>-85</v>
      </c>
      <c r="BL205" s="59">
        <f t="shared" si="94"/>
        <v>-120</v>
      </c>
      <c r="BM205" s="59">
        <f t="shared" si="94"/>
        <v>0</v>
      </c>
      <c r="BN205" s="59">
        <f t="shared" si="94"/>
        <v>0</v>
      </c>
      <c r="BO205" s="59">
        <f t="shared" si="94"/>
        <v>0</v>
      </c>
      <c r="BP205" s="59">
        <f t="shared" si="94"/>
        <v>0</v>
      </c>
      <c r="BQ205" s="59">
        <f t="shared" si="94"/>
        <v>0</v>
      </c>
      <c r="BR205" s="59">
        <f t="shared" si="94"/>
        <v>0</v>
      </c>
      <c r="BS205" s="59">
        <f t="shared" si="94"/>
        <v>0</v>
      </c>
      <c r="BT205" s="59">
        <f t="shared" si="94"/>
        <v>0</v>
      </c>
      <c r="BU205" s="59">
        <f t="shared" si="94"/>
        <v>0</v>
      </c>
      <c r="BV205" s="67">
        <f t="shared" si="101"/>
        <v>20</v>
      </c>
      <c r="BX205" s="54">
        <f t="shared" si="91"/>
        <v>10.833333333333334</v>
      </c>
      <c r="BY205" s="54">
        <f t="shared" si="91"/>
        <v>10.833333333333334</v>
      </c>
      <c r="BZ205" s="54">
        <f t="shared" si="91"/>
        <v>10.833333333333334</v>
      </c>
      <c r="CA205" s="54">
        <f t="shared" si="90"/>
        <v>10.833333333333334</v>
      </c>
      <c r="CB205" s="54">
        <f t="shared" si="90"/>
        <v>10.833333333333334</v>
      </c>
      <c r="CC205" s="54">
        <f t="shared" si="90"/>
        <v>10.833333333333334</v>
      </c>
      <c r="CD205" s="54">
        <f t="shared" si="90"/>
        <v>10.833333333333334</v>
      </c>
      <c r="CE205" s="54">
        <f t="shared" si="90"/>
        <v>10.833333333333334</v>
      </c>
      <c r="CF205" s="54">
        <f t="shared" si="90"/>
        <v>10.833333333333334</v>
      </c>
      <c r="CG205" s="54">
        <f t="shared" si="85"/>
        <v>10.833333333333334</v>
      </c>
      <c r="CH205" s="54">
        <f t="shared" si="85"/>
        <v>10.833333333333334</v>
      </c>
      <c r="CI205" s="54">
        <f t="shared" si="85"/>
        <v>10.833333333333334</v>
      </c>
      <c r="CJ205" s="74">
        <f t="shared" si="95"/>
        <v>129.99999999999997</v>
      </c>
      <c r="CK205" s="59">
        <f t="shared" si="107"/>
        <v>18</v>
      </c>
      <c r="CL205" s="9">
        <f t="shared" si="108"/>
        <v>0</v>
      </c>
      <c r="CM205" s="71">
        <f t="shared" si="102"/>
        <v>130</v>
      </c>
      <c r="CN205" s="54"/>
      <c r="CO205" s="73"/>
      <c r="CP205" s="56"/>
    </row>
    <row r="206" spans="1:94" ht="20.25" customHeight="1">
      <c r="A206" s="75" t="s">
        <v>543</v>
      </c>
      <c r="B206" s="1" t="s">
        <v>544</v>
      </c>
      <c r="C206" s="1" t="s">
        <v>545</v>
      </c>
      <c r="D206" s="58">
        <f>+VLOOKUP(A206,'[1]BDD-Avk Tx'!B:CE,82,0)</f>
        <v>212</v>
      </c>
      <c r="E206" s="59">
        <v>200.2</v>
      </c>
      <c r="G206" s="4">
        <v>44733</v>
      </c>
      <c r="H206" s="4">
        <f t="shared" si="98"/>
        <v>45647</v>
      </c>
      <c r="I206" s="60" t="str">
        <f>+VLOOKUP(A206,'[1]BDD-Avk Tx'!B:BZ,77,0)</f>
        <v>CDI</v>
      </c>
      <c r="J206" s="4">
        <f t="shared" si="99"/>
        <v>45647</v>
      </c>
      <c r="N206" s="3"/>
      <c r="P206" s="54">
        <f t="shared" si="103"/>
        <v>3.4166666666666665</v>
      </c>
      <c r="Q206" s="61">
        <v>1</v>
      </c>
      <c r="R206" s="62">
        <f t="shared" si="104"/>
        <v>18</v>
      </c>
      <c r="S206" s="54">
        <f t="shared" si="87"/>
        <v>1.5</v>
      </c>
      <c r="T206" s="54">
        <f t="shared" si="87"/>
        <v>1.5</v>
      </c>
      <c r="U206" s="54">
        <f t="shared" si="87"/>
        <v>1.5</v>
      </c>
      <c r="V206" s="54">
        <f t="shared" si="87"/>
        <v>1.5</v>
      </c>
      <c r="W206" s="54">
        <f t="shared" si="87"/>
        <v>1.5</v>
      </c>
      <c r="X206" s="54">
        <f t="shared" si="87"/>
        <v>1.5</v>
      </c>
      <c r="Y206" s="54">
        <f t="shared" si="87"/>
        <v>1.5</v>
      </c>
      <c r="Z206" s="54">
        <f t="shared" si="87"/>
        <v>1.5</v>
      </c>
      <c r="AA206" s="54">
        <f t="shared" si="87"/>
        <v>1.5</v>
      </c>
      <c r="AB206" s="54">
        <f t="shared" si="87"/>
        <v>1.5</v>
      </c>
      <c r="AC206" s="54">
        <f t="shared" si="87"/>
        <v>1.5</v>
      </c>
      <c r="AD206" s="54">
        <f t="shared" si="87"/>
        <v>1.5</v>
      </c>
      <c r="AF206" s="62">
        <f t="shared" si="84"/>
        <v>0</v>
      </c>
      <c r="AG206" s="64">
        <v>0</v>
      </c>
      <c r="AH206" s="64">
        <v>0</v>
      </c>
      <c r="AI206" s="65">
        <v>0</v>
      </c>
      <c r="AJ206" s="66"/>
      <c r="AK206" s="64"/>
      <c r="AL206" s="64"/>
      <c r="AM206" s="64"/>
      <c r="AN206" s="64"/>
      <c r="AO206" s="64"/>
      <c r="AP206" s="64"/>
      <c r="AQ206" s="64"/>
      <c r="AR206" s="64"/>
      <c r="AS206" s="67">
        <f t="shared" si="100"/>
        <v>19</v>
      </c>
      <c r="AT206" s="68"/>
      <c r="AU206" s="69">
        <v>-4.4499999999999886</v>
      </c>
      <c r="AV206" s="62">
        <f t="shared" si="105"/>
        <v>138.6</v>
      </c>
      <c r="AW206" s="54">
        <f t="shared" si="93"/>
        <v>11.549999999999999</v>
      </c>
      <c r="AX206" s="54">
        <f t="shared" si="93"/>
        <v>11.549999999999999</v>
      </c>
      <c r="AY206" s="54">
        <f t="shared" si="93"/>
        <v>11.549999999999999</v>
      </c>
      <c r="AZ206" s="54">
        <f t="shared" si="93"/>
        <v>11.549999999999999</v>
      </c>
      <c r="BA206" s="54">
        <f t="shared" si="93"/>
        <v>11.549999999999999</v>
      </c>
      <c r="BB206" s="54">
        <f t="shared" si="93"/>
        <v>11.549999999999999</v>
      </c>
      <c r="BC206" s="54">
        <f t="shared" si="89"/>
        <v>11.549999999999999</v>
      </c>
      <c r="BD206" s="54">
        <f t="shared" si="89"/>
        <v>11.549999999999999</v>
      </c>
      <c r="BE206" s="54">
        <f t="shared" si="89"/>
        <v>11.549999999999999</v>
      </c>
      <c r="BF206" s="54">
        <f t="shared" si="89"/>
        <v>11.549999999999999</v>
      </c>
      <c r="BG206" s="54">
        <f t="shared" si="89"/>
        <v>11.549999999999999</v>
      </c>
      <c r="BH206" s="54">
        <f t="shared" si="89"/>
        <v>11.549999999999999</v>
      </c>
      <c r="BI206" s="62">
        <f t="shared" si="106"/>
        <v>0</v>
      </c>
      <c r="BJ206" s="59">
        <f t="shared" si="94"/>
        <v>0</v>
      </c>
      <c r="BK206" s="59">
        <f t="shared" si="94"/>
        <v>0</v>
      </c>
      <c r="BL206" s="59">
        <f t="shared" si="94"/>
        <v>0</v>
      </c>
      <c r="BM206" s="59">
        <f t="shared" si="94"/>
        <v>0</v>
      </c>
      <c r="BN206" s="59">
        <f t="shared" si="94"/>
        <v>0</v>
      </c>
      <c r="BO206" s="59">
        <f t="shared" si="94"/>
        <v>0</v>
      </c>
      <c r="BP206" s="59">
        <f t="shared" si="94"/>
        <v>0</v>
      </c>
      <c r="BQ206" s="59">
        <f t="shared" si="94"/>
        <v>0</v>
      </c>
      <c r="BR206" s="59">
        <f t="shared" si="94"/>
        <v>0</v>
      </c>
      <c r="BS206" s="59">
        <f t="shared" si="94"/>
        <v>0</v>
      </c>
      <c r="BT206" s="59">
        <f t="shared" si="94"/>
        <v>0</v>
      </c>
      <c r="BU206" s="59">
        <f t="shared" si="94"/>
        <v>0</v>
      </c>
      <c r="BV206" s="67">
        <f t="shared" si="101"/>
        <v>134.15</v>
      </c>
      <c r="BX206" s="54">
        <f t="shared" si="91"/>
        <v>16.683333333333334</v>
      </c>
      <c r="BY206" s="54">
        <f t="shared" si="91"/>
        <v>16.683333333333334</v>
      </c>
      <c r="BZ206" s="54">
        <f t="shared" si="91"/>
        <v>16.683333333333334</v>
      </c>
      <c r="CA206" s="54">
        <f t="shared" si="90"/>
        <v>16.683333333333334</v>
      </c>
      <c r="CB206" s="54">
        <f t="shared" si="90"/>
        <v>16.683333333333334</v>
      </c>
      <c r="CC206" s="54">
        <f t="shared" si="90"/>
        <v>16.683333333333334</v>
      </c>
      <c r="CD206" s="54">
        <f t="shared" si="90"/>
        <v>16.683333333333334</v>
      </c>
      <c r="CE206" s="54">
        <f t="shared" si="90"/>
        <v>16.683333333333334</v>
      </c>
      <c r="CF206" s="54">
        <f t="shared" si="90"/>
        <v>16.683333333333334</v>
      </c>
      <c r="CG206" s="54">
        <f t="shared" si="85"/>
        <v>16.683333333333334</v>
      </c>
      <c r="CH206" s="54">
        <f t="shared" si="85"/>
        <v>16.683333333333334</v>
      </c>
      <c r="CI206" s="54">
        <f t="shared" si="85"/>
        <v>16.683333333333334</v>
      </c>
      <c r="CJ206" s="74">
        <f t="shared" si="95"/>
        <v>200.20000000000002</v>
      </c>
      <c r="CK206" s="59">
        <f t="shared" si="107"/>
        <v>18</v>
      </c>
      <c r="CL206" s="9">
        <f t="shared" si="108"/>
        <v>0</v>
      </c>
      <c r="CM206" s="71">
        <f t="shared" si="102"/>
        <v>200.2</v>
      </c>
      <c r="CN206" s="72"/>
      <c r="CO206" s="73"/>
    </row>
    <row r="207" spans="1:94" ht="21" customHeight="1">
      <c r="A207" s="75" t="s">
        <v>546</v>
      </c>
      <c r="B207" s="1" t="s">
        <v>547</v>
      </c>
      <c r="C207" s="1" t="s">
        <v>224</v>
      </c>
      <c r="D207" s="58">
        <f>+VLOOKUP(A207,'[1]BDD-Avk Tx'!B:CE,82,0)</f>
        <v>281</v>
      </c>
      <c r="E207" s="59">
        <v>130</v>
      </c>
      <c r="G207" s="4">
        <v>44794</v>
      </c>
      <c r="H207" s="4">
        <f t="shared" si="98"/>
        <v>45647</v>
      </c>
      <c r="I207" s="60" t="str">
        <f>+VLOOKUP(A207,'[1]BDD-Avk Tx'!B:BZ,77,0)</f>
        <v>CDI</v>
      </c>
      <c r="J207" s="4">
        <f t="shared" si="99"/>
        <v>45647</v>
      </c>
      <c r="N207" s="3"/>
      <c r="P207" s="54">
        <f t="shared" si="103"/>
        <v>3.25</v>
      </c>
      <c r="Q207" s="61">
        <v>3</v>
      </c>
      <c r="R207" s="62">
        <f t="shared" si="104"/>
        <v>18</v>
      </c>
      <c r="S207" s="54">
        <f t="shared" si="87"/>
        <v>1.5</v>
      </c>
      <c r="T207" s="54">
        <f t="shared" si="87"/>
        <v>1.5</v>
      </c>
      <c r="U207" s="54">
        <f t="shared" si="87"/>
        <v>1.5</v>
      </c>
      <c r="V207" s="54">
        <f t="shared" si="87"/>
        <v>1.5</v>
      </c>
      <c r="W207" s="54">
        <f t="shared" si="87"/>
        <v>1.5</v>
      </c>
      <c r="X207" s="54">
        <f t="shared" si="87"/>
        <v>1.5</v>
      </c>
      <c r="Y207" s="54">
        <f t="shared" si="87"/>
        <v>1.5</v>
      </c>
      <c r="Z207" s="54">
        <f t="shared" si="87"/>
        <v>1.5</v>
      </c>
      <c r="AA207" s="54">
        <f t="shared" si="87"/>
        <v>1.5</v>
      </c>
      <c r="AB207" s="54">
        <f t="shared" si="87"/>
        <v>1.5</v>
      </c>
      <c r="AC207" s="54">
        <f t="shared" si="87"/>
        <v>1.5</v>
      </c>
      <c r="AD207" s="54">
        <f t="shared" si="87"/>
        <v>1.5</v>
      </c>
      <c r="AF207" s="62">
        <f t="shared" si="84"/>
        <v>4</v>
      </c>
      <c r="AG207" s="64">
        <v>0</v>
      </c>
      <c r="AH207" s="64">
        <v>0</v>
      </c>
      <c r="AI207" s="65">
        <v>4</v>
      </c>
      <c r="AJ207" s="66"/>
      <c r="AK207" s="64"/>
      <c r="AL207" s="64"/>
      <c r="AM207" s="64"/>
      <c r="AN207" s="64"/>
      <c r="AO207" s="64"/>
      <c r="AP207" s="64"/>
      <c r="AQ207" s="64"/>
      <c r="AR207" s="64"/>
      <c r="AS207" s="67">
        <f t="shared" si="100"/>
        <v>17</v>
      </c>
      <c r="AT207" s="68"/>
      <c r="AU207" s="69">
        <v>15</v>
      </c>
      <c r="AV207" s="62">
        <f t="shared" si="105"/>
        <v>90</v>
      </c>
      <c r="AW207" s="54">
        <f t="shared" si="93"/>
        <v>7.5</v>
      </c>
      <c r="AX207" s="54">
        <f t="shared" si="93"/>
        <v>7.5</v>
      </c>
      <c r="AY207" s="54">
        <f t="shared" si="93"/>
        <v>7.5</v>
      </c>
      <c r="AZ207" s="54">
        <f t="shared" si="93"/>
        <v>7.5</v>
      </c>
      <c r="BA207" s="54">
        <f t="shared" si="93"/>
        <v>7.5</v>
      </c>
      <c r="BB207" s="54">
        <f t="shared" si="93"/>
        <v>7.5</v>
      </c>
      <c r="BC207" s="54">
        <f t="shared" si="89"/>
        <v>7.5</v>
      </c>
      <c r="BD207" s="54">
        <f t="shared" si="89"/>
        <v>7.5</v>
      </c>
      <c r="BE207" s="54">
        <f t="shared" si="89"/>
        <v>7.5</v>
      </c>
      <c r="BF207" s="54">
        <f t="shared" si="89"/>
        <v>7.5</v>
      </c>
      <c r="BG207" s="54">
        <f t="shared" si="89"/>
        <v>7.5</v>
      </c>
      <c r="BH207" s="54">
        <f t="shared" si="89"/>
        <v>7.5</v>
      </c>
      <c r="BI207" s="62">
        <f t="shared" si="106"/>
        <v>-20</v>
      </c>
      <c r="BJ207" s="59">
        <f t="shared" si="94"/>
        <v>0</v>
      </c>
      <c r="BK207" s="59">
        <f t="shared" si="94"/>
        <v>0</v>
      </c>
      <c r="BL207" s="59">
        <f t="shared" si="94"/>
        <v>-20</v>
      </c>
      <c r="BM207" s="59">
        <f t="shared" si="94"/>
        <v>0</v>
      </c>
      <c r="BN207" s="59">
        <f t="shared" si="94"/>
        <v>0</v>
      </c>
      <c r="BO207" s="59">
        <f t="shared" si="94"/>
        <v>0</v>
      </c>
      <c r="BP207" s="59">
        <f t="shared" si="94"/>
        <v>0</v>
      </c>
      <c r="BQ207" s="59">
        <f t="shared" si="94"/>
        <v>0</v>
      </c>
      <c r="BR207" s="59">
        <f t="shared" si="94"/>
        <v>0</v>
      </c>
      <c r="BS207" s="59">
        <f t="shared" si="94"/>
        <v>0</v>
      </c>
      <c r="BT207" s="59">
        <f t="shared" si="94"/>
        <v>0</v>
      </c>
      <c r="BU207" s="59">
        <f t="shared" si="94"/>
        <v>0</v>
      </c>
      <c r="BV207" s="67">
        <f t="shared" si="101"/>
        <v>85</v>
      </c>
      <c r="BX207" s="54">
        <f t="shared" si="91"/>
        <v>10.833333333333334</v>
      </c>
      <c r="BY207" s="54">
        <f t="shared" si="91"/>
        <v>10.833333333333334</v>
      </c>
      <c r="BZ207" s="54">
        <f t="shared" si="91"/>
        <v>10.833333333333334</v>
      </c>
      <c r="CA207" s="54">
        <f t="shared" si="90"/>
        <v>10.833333333333334</v>
      </c>
      <c r="CB207" s="54">
        <f t="shared" si="90"/>
        <v>10.833333333333334</v>
      </c>
      <c r="CC207" s="54">
        <f t="shared" si="90"/>
        <v>10.833333333333334</v>
      </c>
      <c r="CD207" s="54">
        <f t="shared" si="90"/>
        <v>10.833333333333334</v>
      </c>
      <c r="CE207" s="54">
        <f t="shared" si="90"/>
        <v>10.833333333333334</v>
      </c>
      <c r="CF207" s="54">
        <f t="shared" si="90"/>
        <v>10.833333333333334</v>
      </c>
      <c r="CG207" s="54">
        <f t="shared" si="85"/>
        <v>10.833333333333334</v>
      </c>
      <c r="CH207" s="54">
        <f t="shared" si="85"/>
        <v>10.833333333333334</v>
      </c>
      <c r="CI207" s="54">
        <f t="shared" si="85"/>
        <v>10.833333333333334</v>
      </c>
      <c r="CJ207" s="74">
        <f t="shared" si="95"/>
        <v>129.99999999999997</v>
      </c>
      <c r="CK207" s="59">
        <f t="shared" si="107"/>
        <v>18</v>
      </c>
      <c r="CL207" s="9">
        <f t="shared" si="108"/>
        <v>0</v>
      </c>
      <c r="CM207" s="71">
        <f t="shared" si="102"/>
        <v>130</v>
      </c>
      <c r="CN207" s="54"/>
      <c r="CO207" s="73"/>
      <c r="CP207" s="56"/>
    </row>
    <row r="208" spans="1:94" ht="21" customHeight="1">
      <c r="A208" s="75" t="s">
        <v>548</v>
      </c>
      <c r="B208" s="1" t="s">
        <v>549</v>
      </c>
      <c r="C208" s="1" t="s">
        <v>397</v>
      </c>
      <c r="D208" s="58">
        <f>+VLOOKUP(A208,'[1]BDD-Avk Tx'!B:CE,82,0)</f>
        <v>481</v>
      </c>
      <c r="E208" s="59">
        <v>150.80000000000001</v>
      </c>
      <c r="G208" s="4">
        <v>44855</v>
      </c>
      <c r="H208" s="4">
        <f t="shared" si="98"/>
        <v>45647</v>
      </c>
      <c r="I208" s="60" t="str">
        <f>+VLOOKUP(A208,'[1]BDD-Avk Tx'!B:BZ,77,0)</f>
        <v>CDI</v>
      </c>
      <c r="J208" s="4">
        <f t="shared" si="99"/>
        <v>45647</v>
      </c>
      <c r="N208" s="3"/>
      <c r="P208" s="54">
        <f t="shared" si="103"/>
        <v>3.0833333333333335</v>
      </c>
      <c r="Q208" s="61">
        <v>3</v>
      </c>
      <c r="R208" s="62">
        <f t="shared" si="104"/>
        <v>18</v>
      </c>
      <c r="S208" s="54">
        <f t="shared" si="87"/>
        <v>1.5</v>
      </c>
      <c r="T208" s="54">
        <f t="shared" si="87"/>
        <v>1.5</v>
      </c>
      <c r="U208" s="54">
        <f t="shared" si="87"/>
        <v>1.5</v>
      </c>
      <c r="V208" s="54">
        <f t="shared" si="87"/>
        <v>1.5</v>
      </c>
      <c r="W208" s="54">
        <f t="shared" si="87"/>
        <v>1.5</v>
      </c>
      <c r="X208" s="54">
        <f t="shared" ref="T208:AH225" si="109">+IF(AND(AND($O208="",$P208&gt;=10,MONTH($G208)=MONTH(X$5))),1.5+2,+IF(AND(AND($O208="",$P208&gt;=5,MONTH($G208)=MONTH(X$5))),1.5+1,+IF(AND(AND($P208=5,$O208="",MONTH($G208)=MONTH(X$5))),1.5,+IF(AND($H208&gt;X$5,MONTH($H208)=MONTH(X$5)),1.5/30*(X$4-DAY($H208)),+IF(AND(MONTH($H208)&lt;MONTH(X$5),$O208=""),1.5,+IF(AND($H208=$S$5,$O208=""),1.5,IF($O208&lt;X$5,0,IF(MONTH($O208)=MONTH(X$5),1.5/30*($O208-X$5),1.5))))))))</f>
        <v>1.5</v>
      </c>
      <c r="Y208" s="54">
        <f t="shared" si="109"/>
        <v>1.5</v>
      </c>
      <c r="Z208" s="54">
        <f t="shared" si="109"/>
        <v>1.5</v>
      </c>
      <c r="AA208" s="54">
        <f t="shared" si="109"/>
        <v>1.5</v>
      </c>
      <c r="AB208" s="54">
        <f t="shared" si="109"/>
        <v>1.5</v>
      </c>
      <c r="AC208" s="54">
        <f t="shared" si="109"/>
        <v>1.5</v>
      </c>
      <c r="AD208" s="54">
        <f t="shared" si="109"/>
        <v>1.5</v>
      </c>
      <c r="AF208" s="62">
        <f t="shared" si="84"/>
        <v>0</v>
      </c>
      <c r="AG208" s="64">
        <v>0</v>
      </c>
      <c r="AH208" s="64">
        <v>0</v>
      </c>
      <c r="AI208" s="65">
        <v>0</v>
      </c>
      <c r="AJ208" s="66"/>
      <c r="AK208" s="64"/>
      <c r="AL208" s="64"/>
      <c r="AM208" s="64"/>
      <c r="AN208" s="64"/>
      <c r="AO208" s="64"/>
      <c r="AP208" s="64"/>
      <c r="AQ208" s="64"/>
      <c r="AR208" s="64"/>
      <c r="AS208" s="67">
        <f t="shared" si="100"/>
        <v>21</v>
      </c>
      <c r="AT208" s="68"/>
      <c r="AU208" s="69">
        <v>-3.0846153846149775</v>
      </c>
      <c r="AV208" s="62">
        <f t="shared" ref="AV208:AV228" si="110">SUM(AW208:BH208)</f>
        <v>104.40000000000002</v>
      </c>
      <c r="AW208" s="54">
        <f t="shared" si="93"/>
        <v>8.7000000000000011</v>
      </c>
      <c r="AX208" s="54">
        <f t="shared" si="93"/>
        <v>8.7000000000000011</v>
      </c>
      <c r="AY208" s="54">
        <f t="shared" si="93"/>
        <v>8.7000000000000011</v>
      </c>
      <c r="AZ208" s="54">
        <f t="shared" si="93"/>
        <v>8.7000000000000011</v>
      </c>
      <c r="BA208" s="54">
        <f t="shared" si="93"/>
        <v>8.7000000000000011</v>
      </c>
      <c r="BB208" s="54">
        <f t="shared" si="93"/>
        <v>8.7000000000000011</v>
      </c>
      <c r="BC208" s="54">
        <f t="shared" si="89"/>
        <v>8.7000000000000011</v>
      </c>
      <c r="BD208" s="54">
        <f t="shared" si="89"/>
        <v>8.7000000000000011</v>
      </c>
      <c r="BE208" s="54">
        <f t="shared" si="89"/>
        <v>8.7000000000000011</v>
      </c>
      <c r="BF208" s="54">
        <f t="shared" si="89"/>
        <v>8.7000000000000011</v>
      </c>
      <c r="BG208" s="54">
        <f t="shared" si="89"/>
        <v>8.7000000000000011</v>
      </c>
      <c r="BH208" s="54">
        <f t="shared" si="89"/>
        <v>8.7000000000000011</v>
      </c>
      <c r="BI208" s="62">
        <f t="shared" si="106"/>
        <v>0</v>
      </c>
      <c r="BJ208" s="59">
        <f t="shared" si="94"/>
        <v>0</v>
      </c>
      <c r="BK208" s="59">
        <f t="shared" si="94"/>
        <v>0</v>
      </c>
      <c r="BL208" s="59">
        <f t="shared" si="94"/>
        <v>0</v>
      </c>
      <c r="BM208" s="59">
        <f t="shared" si="94"/>
        <v>0</v>
      </c>
      <c r="BN208" s="59">
        <f t="shared" si="94"/>
        <v>0</v>
      </c>
      <c r="BO208" s="59">
        <f t="shared" si="94"/>
        <v>0</v>
      </c>
      <c r="BP208" s="59">
        <f t="shared" si="94"/>
        <v>0</v>
      </c>
      <c r="BQ208" s="59">
        <f t="shared" si="94"/>
        <v>0</v>
      </c>
      <c r="BR208" s="59">
        <f t="shared" si="94"/>
        <v>0</v>
      </c>
      <c r="BS208" s="59">
        <f t="shared" si="94"/>
        <v>0</v>
      </c>
      <c r="BT208" s="59">
        <f t="shared" si="94"/>
        <v>0</v>
      </c>
      <c r="BU208" s="59">
        <f t="shared" si="94"/>
        <v>0</v>
      </c>
      <c r="BV208" s="67">
        <f t="shared" si="101"/>
        <v>101.31538461538504</v>
      </c>
      <c r="BX208" s="54">
        <f t="shared" si="91"/>
        <v>12.566666666666666</v>
      </c>
      <c r="BY208" s="54">
        <f t="shared" si="91"/>
        <v>12.566666666666666</v>
      </c>
      <c r="BZ208" s="54">
        <f t="shared" si="91"/>
        <v>12.566666666666666</v>
      </c>
      <c r="CA208" s="54">
        <f t="shared" si="90"/>
        <v>12.566666666666666</v>
      </c>
      <c r="CB208" s="54">
        <f t="shared" si="90"/>
        <v>12.566666666666666</v>
      </c>
      <c r="CC208" s="54">
        <f t="shared" si="90"/>
        <v>12.566666666666666</v>
      </c>
      <c r="CD208" s="54">
        <f t="shared" si="90"/>
        <v>12.566666666666666</v>
      </c>
      <c r="CE208" s="54">
        <f t="shared" si="90"/>
        <v>12.566666666666666</v>
      </c>
      <c r="CF208" s="54">
        <f t="shared" si="90"/>
        <v>12.566666666666666</v>
      </c>
      <c r="CG208" s="54">
        <f t="shared" si="85"/>
        <v>12.566666666666666</v>
      </c>
      <c r="CH208" s="54">
        <f t="shared" si="85"/>
        <v>12.566666666666666</v>
      </c>
      <c r="CI208" s="54">
        <f t="shared" si="85"/>
        <v>12.566666666666666</v>
      </c>
      <c r="CJ208" s="74">
        <f t="shared" si="95"/>
        <v>150.79999999999998</v>
      </c>
      <c r="CK208" s="59">
        <f t="shared" si="107"/>
        <v>18</v>
      </c>
      <c r="CL208" s="9">
        <f t="shared" si="108"/>
        <v>0</v>
      </c>
      <c r="CM208" s="71">
        <f t="shared" si="102"/>
        <v>150.80000000000001</v>
      </c>
      <c r="CN208" s="72"/>
      <c r="CO208" s="73"/>
    </row>
    <row r="209" spans="1:94" ht="20.25" customHeight="1">
      <c r="A209" s="75" t="s">
        <v>550</v>
      </c>
      <c r="B209" s="1" t="s">
        <v>551</v>
      </c>
      <c r="C209" s="1" t="s">
        <v>552</v>
      </c>
      <c r="D209" s="58">
        <f>+VLOOKUP(A209,'[1]BDD-Avk Tx'!B:CE,82,0)</f>
        <v>120</v>
      </c>
      <c r="E209" s="59">
        <v>308.10000000000002</v>
      </c>
      <c r="G209" s="4">
        <v>44904</v>
      </c>
      <c r="H209" s="4">
        <f t="shared" si="98"/>
        <v>45647</v>
      </c>
      <c r="I209" s="60" t="str">
        <f>+VLOOKUP(A209,'[1]BDD-Avk Tx'!B:BZ,77,0)</f>
        <v>CDI</v>
      </c>
      <c r="J209" s="4">
        <f t="shared" si="99"/>
        <v>45647</v>
      </c>
      <c r="N209" s="3"/>
      <c r="P209" s="54">
        <f t="shared" si="103"/>
        <v>3</v>
      </c>
      <c r="Q209" s="61">
        <v>19.100000000000001</v>
      </c>
      <c r="R209" s="62">
        <f t="shared" si="104"/>
        <v>18</v>
      </c>
      <c r="S209" s="54">
        <f t="shared" ref="S209:AD259" si="111">+IF(AND(AND($O209="",$P209&gt;=10,MONTH($G209)=MONTH(S$5))),1.5+2,+IF(AND(AND($O209="",$P209&gt;=5,MONTH($G209)=MONTH(S$5))),1.5+1,+IF(AND(AND($P209=5,$O209="",MONTH($G209)=MONTH(S$5))),1.5,+IF(AND($H209&gt;S$5,MONTH($H209)=MONTH(S$5)),1.5/30*(S$4-DAY($H209)),+IF(AND(MONTH($H209)&lt;MONTH(S$5),$O209=""),1.5,+IF(AND($H209=$S$5,$O209=""),1.5,IF($O209&lt;S$5,0,IF(MONTH($O209)=MONTH(S$5),1.5/30*($O209-S$5),1.5))))))))</f>
        <v>1.5</v>
      </c>
      <c r="T209" s="54">
        <f t="shared" si="111"/>
        <v>1.5</v>
      </c>
      <c r="U209" s="54">
        <f t="shared" si="111"/>
        <v>1.5</v>
      </c>
      <c r="V209" s="54">
        <f t="shared" si="111"/>
        <v>1.5</v>
      </c>
      <c r="W209" s="54">
        <f t="shared" si="111"/>
        <v>1.5</v>
      </c>
      <c r="X209" s="54">
        <f t="shared" si="111"/>
        <v>1.5</v>
      </c>
      <c r="Y209" s="54">
        <f t="shared" si="111"/>
        <v>1.5</v>
      </c>
      <c r="Z209" s="54">
        <f t="shared" si="111"/>
        <v>1.5</v>
      </c>
      <c r="AA209" s="54">
        <f t="shared" si="111"/>
        <v>1.5</v>
      </c>
      <c r="AB209" s="54">
        <f t="shared" si="111"/>
        <v>1.5</v>
      </c>
      <c r="AC209" s="54">
        <f t="shared" si="111"/>
        <v>1.5</v>
      </c>
      <c r="AD209" s="54">
        <f t="shared" si="111"/>
        <v>1.5</v>
      </c>
      <c r="AF209" s="62">
        <f t="shared" si="84"/>
        <v>18</v>
      </c>
      <c r="AG209" s="64">
        <v>7</v>
      </c>
      <c r="AH209" s="64">
        <v>4</v>
      </c>
      <c r="AI209" s="65">
        <v>7</v>
      </c>
      <c r="AJ209" s="66"/>
      <c r="AK209" s="64"/>
      <c r="AL209" s="64"/>
      <c r="AM209" s="64"/>
      <c r="AN209" s="64"/>
      <c r="AO209" s="64"/>
      <c r="AP209" s="64"/>
      <c r="AQ209" s="64"/>
      <c r="AR209" s="64"/>
      <c r="AS209" s="67">
        <f t="shared" si="100"/>
        <v>19.100000000000001</v>
      </c>
      <c r="AT209" s="68"/>
      <c r="AU209" s="54">
        <v>209.12307692307701</v>
      </c>
      <c r="AV209" s="62">
        <f t="shared" si="110"/>
        <v>213.30000000000004</v>
      </c>
      <c r="AW209" s="54">
        <f t="shared" si="93"/>
        <v>17.775000000000002</v>
      </c>
      <c r="AX209" s="54">
        <f t="shared" si="93"/>
        <v>17.775000000000002</v>
      </c>
      <c r="AY209" s="54">
        <f t="shared" si="93"/>
        <v>17.775000000000002</v>
      </c>
      <c r="AZ209" s="54">
        <f t="shared" si="93"/>
        <v>17.775000000000002</v>
      </c>
      <c r="BA209" s="54">
        <f t="shared" si="93"/>
        <v>17.775000000000002</v>
      </c>
      <c r="BB209" s="54">
        <f t="shared" si="93"/>
        <v>17.775000000000002</v>
      </c>
      <c r="BC209" s="54">
        <f t="shared" si="89"/>
        <v>17.775000000000002</v>
      </c>
      <c r="BD209" s="54">
        <f t="shared" si="89"/>
        <v>17.775000000000002</v>
      </c>
      <c r="BE209" s="54">
        <f t="shared" si="89"/>
        <v>17.775000000000002</v>
      </c>
      <c r="BF209" s="54">
        <f t="shared" si="89"/>
        <v>17.775000000000002</v>
      </c>
      <c r="BG209" s="54">
        <f t="shared" si="89"/>
        <v>17.775000000000002</v>
      </c>
      <c r="BH209" s="54">
        <f t="shared" si="89"/>
        <v>17.775000000000002</v>
      </c>
      <c r="BI209" s="67">
        <f t="shared" si="106"/>
        <v>-213.30000000000004</v>
      </c>
      <c r="BJ209" s="1">
        <f t="shared" si="94"/>
        <v>-82.950000000000017</v>
      </c>
      <c r="BK209" s="54">
        <f t="shared" si="94"/>
        <v>-47.400000000000006</v>
      </c>
      <c r="BL209" s="54">
        <f t="shared" si="94"/>
        <v>-82.950000000000017</v>
      </c>
      <c r="BM209" s="54">
        <f t="shared" si="94"/>
        <v>0</v>
      </c>
      <c r="BN209" s="54">
        <f t="shared" si="94"/>
        <v>0</v>
      </c>
      <c r="BO209" s="54">
        <f t="shared" si="94"/>
        <v>0</v>
      </c>
      <c r="BP209" s="54">
        <f t="shared" si="94"/>
        <v>0</v>
      </c>
      <c r="BQ209" s="54">
        <f t="shared" si="94"/>
        <v>0</v>
      </c>
      <c r="BR209" s="54">
        <f t="shared" si="94"/>
        <v>0</v>
      </c>
      <c r="BS209" s="54">
        <f t="shared" si="94"/>
        <v>0</v>
      </c>
      <c r="BT209" s="54">
        <f t="shared" si="94"/>
        <v>0</v>
      </c>
      <c r="BU209" s="54">
        <f t="shared" si="94"/>
        <v>0</v>
      </c>
      <c r="BV209" s="54">
        <f t="shared" si="101"/>
        <v>209.12307692307698</v>
      </c>
      <c r="BW209" s="74"/>
      <c r="BX209" s="54">
        <f t="shared" si="91"/>
        <v>25.675000000000001</v>
      </c>
      <c r="BY209" s="54">
        <f t="shared" si="91"/>
        <v>25.675000000000001</v>
      </c>
      <c r="BZ209" s="54">
        <f t="shared" si="91"/>
        <v>25.675000000000001</v>
      </c>
      <c r="CA209" s="54">
        <f t="shared" si="90"/>
        <v>25.675000000000001</v>
      </c>
      <c r="CB209" s="54">
        <f t="shared" si="90"/>
        <v>25.675000000000001</v>
      </c>
      <c r="CC209" s="54">
        <f t="shared" si="90"/>
        <v>25.675000000000001</v>
      </c>
      <c r="CD209" s="54">
        <f t="shared" si="90"/>
        <v>25.675000000000001</v>
      </c>
      <c r="CE209" s="54">
        <f t="shared" si="90"/>
        <v>25.675000000000001</v>
      </c>
      <c r="CF209" s="54">
        <f t="shared" si="90"/>
        <v>25.675000000000001</v>
      </c>
      <c r="CG209" s="54">
        <f t="shared" si="85"/>
        <v>25.675000000000001</v>
      </c>
      <c r="CH209" s="54">
        <f t="shared" si="85"/>
        <v>25.675000000000001</v>
      </c>
      <c r="CI209" s="54">
        <f t="shared" si="85"/>
        <v>25.675000000000001</v>
      </c>
      <c r="CJ209" s="76">
        <f t="shared" si="95"/>
        <v>308.10000000000008</v>
      </c>
      <c r="CK209" s="59">
        <f t="shared" si="107"/>
        <v>18</v>
      </c>
      <c r="CL209" s="1">
        <f t="shared" si="108"/>
        <v>0</v>
      </c>
      <c r="CM209" s="71">
        <f t="shared" si="102"/>
        <v>308.10000000000002</v>
      </c>
      <c r="CN209" s="72"/>
      <c r="CO209" s="73"/>
    </row>
    <row r="210" spans="1:94" s="58" customFormat="1" ht="20.25" customHeight="1">
      <c r="A210" s="57" t="s">
        <v>553</v>
      </c>
      <c r="B210" s="58" t="s">
        <v>554</v>
      </c>
      <c r="C210" s="58" t="s">
        <v>555</v>
      </c>
      <c r="D210" s="58">
        <f>+VLOOKUP(A210,'[1]BDD-Avk Tx'!B:CE,82,0)</f>
        <v>620</v>
      </c>
      <c r="E210" s="59">
        <v>412.1</v>
      </c>
      <c r="F210" s="59"/>
      <c r="G210" s="60">
        <v>44987</v>
      </c>
      <c r="H210" s="60">
        <f t="shared" si="98"/>
        <v>45647</v>
      </c>
      <c r="I210" s="60" t="str">
        <f>+VLOOKUP(A210,'[1]BDD-Avk Tx'!B:BZ,77,0)</f>
        <v>CDI</v>
      </c>
      <c r="J210" s="60">
        <f t="shared" si="99"/>
        <v>45647</v>
      </c>
      <c r="K210" s="4"/>
      <c r="L210" s="3"/>
      <c r="M210" s="60"/>
      <c r="N210" s="59"/>
      <c r="O210" s="60"/>
      <c r="P210" s="54">
        <f t="shared" si="103"/>
        <v>2.75</v>
      </c>
      <c r="Q210" s="61">
        <v>18.8</v>
      </c>
      <c r="R210" s="62">
        <f t="shared" si="104"/>
        <v>18</v>
      </c>
      <c r="S210" s="54">
        <f t="shared" si="111"/>
        <v>1.5</v>
      </c>
      <c r="T210" s="54">
        <f t="shared" si="111"/>
        <v>1.5</v>
      </c>
      <c r="U210" s="54">
        <f t="shared" si="111"/>
        <v>1.5</v>
      </c>
      <c r="V210" s="54">
        <f t="shared" si="111"/>
        <v>1.5</v>
      </c>
      <c r="W210" s="54">
        <f t="shared" si="111"/>
        <v>1.5</v>
      </c>
      <c r="X210" s="54">
        <f t="shared" si="111"/>
        <v>1.5</v>
      </c>
      <c r="Y210" s="54">
        <f t="shared" si="111"/>
        <v>1.5</v>
      </c>
      <c r="Z210" s="54">
        <f t="shared" si="111"/>
        <v>1.5</v>
      </c>
      <c r="AA210" s="54">
        <f t="shared" si="111"/>
        <v>1.5</v>
      </c>
      <c r="AB210" s="54">
        <f t="shared" si="111"/>
        <v>1.5</v>
      </c>
      <c r="AC210" s="54">
        <f t="shared" si="111"/>
        <v>1.5</v>
      </c>
      <c r="AD210" s="54">
        <f t="shared" si="111"/>
        <v>1.5</v>
      </c>
      <c r="AE210" s="1"/>
      <c r="AF210" s="62">
        <f t="shared" si="84"/>
        <v>0</v>
      </c>
      <c r="AG210" s="64">
        <v>0</v>
      </c>
      <c r="AH210" s="64">
        <v>0</v>
      </c>
      <c r="AI210" s="65">
        <v>0</v>
      </c>
      <c r="AJ210" s="66"/>
      <c r="AK210" s="64"/>
      <c r="AL210" s="64"/>
      <c r="AM210" s="64"/>
      <c r="AN210" s="64"/>
      <c r="AO210" s="64"/>
      <c r="AP210" s="64"/>
      <c r="AQ210" s="64"/>
      <c r="AR210" s="64"/>
      <c r="AS210" s="67">
        <f t="shared" si="100"/>
        <v>36.799999999999997</v>
      </c>
      <c r="AT210" s="68"/>
      <c r="AU210" s="69">
        <v>296.70019230769202</v>
      </c>
      <c r="AV210" s="63">
        <f t="shared" si="110"/>
        <v>285.3</v>
      </c>
      <c r="AW210" s="54">
        <f t="shared" si="93"/>
        <v>23.775000000000002</v>
      </c>
      <c r="AX210" s="54">
        <f t="shared" si="93"/>
        <v>23.775000000000002</v>
      </c>
      <c r="AY210" s="54">
        <f t="shared" si="93"/>
        <v>23.775000000000002</v>
      </c>
      <c r="AZ210" s="54">
        <f t="shared" si="93"/>
        <v>23.775000000000002</v>
      </c>
      <c r="BA210" s="54">
        <f t="shared" si="93"/>
        <v>23.775000000000002</v>
      </c>
      <c r="BB210" s="54">
        <f t="shared" si="93"/>
        <v>23.775000000000002</v>
      </c>
      <c r="BC210" s="54">
        <f t="shared" si="89"/>
        <v>23.775000000000002</v>
      </c>
      <c r="BD210" s="54">
        <f t="shared" si="89"/>
        <v>23.775000000000002</v>
      </c>
      <c r="BE210" s="54">
        <f t="shared" si="89"/>
        <v>23.775000000000002</v>
      </c>
      <c r="BF210" s="54">
        <f t="shared" si="89"/>
        <v>23.775000000000002</v>
      </c>
      <c r="BG210" s="54">
        <f t="shared" si="89"/>
        <v>23.775000000000002</v>
      </c>
      <c r="BH210" s="54">
        <f t="shared" si="89"/>
        <v>23.775000000000002</v>
      </c>
      <c r="BI210" s="63">
        <f t="shared" si="106"/>
        <v>0</v>
      </c>
      <c r="BJ210" s="59">
        <f t="shared" si="94"/>
        <v>0</v>
      </c>
      <c r="BK210" s="59">
        <f t="shared" si="94"/>
        <v>0</v>
      </c>
      <c r="BL210" s="59">
        <f t="shared" si="94"/>
        <v>0</v>
      </c>
      <c r="BM210" s="59">
        <f t="shared" si="94"/>
        <v>0</v>
      </c>
      <c r="BN210" s="59">
        <f t="shared" si="94"/>
        <v>0</v>
      </c>
      <c r="BO210" s="59">
        <f t="shared" si="94"/>
        <v>0</v>
      </c>
      <c r="BP210" s="59">
        <f t="shared" si="94"/>
        <v>0</v>
      </c>
      <c r="BQ210" s="59">
        <f t="shared" si="94"/>
        <v>0</v>
      </c>
      <c r="BR210" s="59">
        <f t="shared" si="94"/>
        <v>0</v>
      </c>
      <c r="BS210" s="59">
        <f t="shared" si="94"/>
        <v>0</v>
      </c>
      <c r="BT210" s="59">
        <f t="shared" si="94"/>
        <v>0</v>
      </c>
      <c r="BU210" s="59">
        <f t="shared" si="94"/>
        <v>0</v>
      </c>
      <c r="BV210" s="70">
        <f t="shared" si="101"/>
        <v>582.00019230769203</v>
      </c>
      <c r="BX210" s="54">
        <f t="shared" si="91"/>
        <v>34.341666666666669</v>
      </c>
      <c r="BY210" s="54">
        <f t="shared" si="91"/>
        <v>34.341666666666669</v>
      </c>
      <c r="BZ210" s="54">
        <f t="shared" si="91"/>
        <v>34.341666666666669</v>
      </c>
      <c r="CA210" s="54">
        <f t="shared" si="90"/>
        <v>34.341666666666669</v>
      </c>
      <c r="CB210" s="54">
        <f t="shared" si="90"/>
        <v>34.341666666666669</v>
      </c>
      <c r="CC210" s="54">
        <f t="shared" si="90"/>
        <v>34.341666666666669</v>
      </c>
      <c r="CD210" s="54">
        <f t="shared" si="90"/>
        <v>34.341666666666669</v>
      </c>
      <c r="CE210" s="54">
        <f t="shared" si="90"/>
        <v>34.341666666666669</v>
      </c>
      <c r="CF210" s="54">
        <f t="shared" si="90"/>
        <v>34.341666666666669</v>
      </c>
      <c r="CG210" s="54">
        <f t="shared" si="85"/>
        <v>34.341666666666669</v>
      </c>
      <c r="CH210" s="54">
        <f t="shared" si="85"/>
        <v>34.341666666666669</v>
      </c>
      <c r="CI210" s="54">
        <f t="shared" si="85"/>
        <v>34.341666666666669</v>
      </c>
      <c r="CJ210" s="70">
        <f t="shared" si="95"/>
        <v>412.10000000000014</v>
      </c>
      <c r="CK210" s="59">
        <f t="shared" si="107"/>
        <v>18</v>
      </c>
      <c r="CL210" s="59">
        <f t="shared" si="108"/>
        <v>0</v>
      </c>
      <c r="CM210" s="71">
        <f t="shared" si="102"/>
        <v>412.1</v>
      </c>
      <c r="CN210" s="54"/>
      <c r="CO210" s="73"/>
      <c r="CP210" s="56"/>
    </row>
    <row r="211" spans="1:94" s="58" customFormat="1" ht="20.25" customHeight="1">
      <c r="A211" s="57" t="s">
        <v>556</v>
      </c>
      <c r="B211" s="58" t="s">
        <v>557</v>
      </c>
      <c r="C211" s="58" t="s">
        <v>558</v>
      </c>
      <c r="D211" s="58">
        <f>+VLOOKUP(A211,'[1]BDD-Avk Tx'!B:CE,82,0)</f>
        <v>640</v>
      </c>
      <c r="E211" s="59">
        <v>130</v>
      </c>
      <c r="F211" s="59"/>
      <c r="G211" s="60">
        <v>44993</v>
      </c>
      <c r="H211" s="60">
        <f t="shared" si="98"/>
        <v>45647</v>
      </c>
      <c r="I211" s="60" t="str">
        <f>+VLOOKUP(A211,'[1]BDD-Avk Tx'!B:BZ,77,0)</f>
        <v>CDI</v>
      </c>
      <c r="J211" s="60">
        <f t="shared" si="99"/>
        <v>45647</v>
      </c>
      <c r="K211" s="4">
        <v>45724</v>
      </c>
      <c r="L211" s="3">
        <v>356.2</v>
      </c>
      <c r="M211" s="60"/>
      <c r="N211" s="59"/>
      <c r="O211" s="60"/>
      <c r="P211" s="54">
        <f t="shared" si="103"/>
        <v>2.75</v>
      </c>
      <c r="Q211" s="61">
        <v>0.50000000000000355</v>
      </c>
      <c r="R211" s="62">
        <f t="shared" si="104"/>
        <v>18</v>
      </c>
      <c r="S211" s="54">
        <f t="shared" si="111"/>
        <v>1.5</v>
      </c>
      <c r="T211" s="54">
        <f t="shared" si="109"/>
        <v>1.5</v>
      </c>
      <c r="U211" s="54">
        <f t="shared" si="109"/>
        <v>1.5</v>
      </c>
      <c r="V211" s="54">
        <f t="shared" si="109"/>
        <v>1.5</v>
      </c>
      <c r="W211" s="54">
        <f t="shared" si="109"/>
        <v>1.5</v>
      </c>
      <c r="X211" s="54">
        <f t="shared" si="109"/>
        <v>1.5</v>
      </c>
      <c r="Y211" s="54">
        <f t="shared" si="109"/>
        <v>1.5</v>
      </c>
      <c r="Z211" s="54">
        <f t="shared" si="109"/>
        <v>1.5</v>
      </c>
      <c r="AA211" s="54">
        <f t="shared" si="109"/>
        <v>1.5</v>
      </c>
      <c r="AB211" s="54">
        <f t="shared" si="109"/>
        <v>1.5</v>
      </c>
      <c r="AC211" s="54">
        <f t="shared" si="109"/>
        <v>1.5</v>
      </c>
      <c r="AD211" s="54">
        <f t="shared" si="109"/>
        <v>1.5</v>
      </c>
      <c r="AF211" s="63">
        <f t="shared" si="84"/>
        <v>0</v>
      </c>
      <c r="AG211" s="64">
        <v>0</v>
      </c>
      <c r="AH211" s="64">
        <v>0</v>
      </c>
      <c r="AI211" s="65">
        <v>0</v>
      </c>
      <c r="AJ211" s="66"/>
      <c r="AK211" s="64"/>
      <c r="AL211" s="64"/>
      <c r="AM211" s="64"/>
      <c r="AN211" s="64"/>
      <c r="AO211" s="64"/>
      <c r="AP211" s="64"/>
      <c r="AQ211" s="64"/>
      <c r="AR211" s="64"/>
      <c r="AS211" s="70">
        <f t="shared" si="100"/>
        <v>18.500000000000004</v>
      </c>
      <c r="AT211" s="68"/>
      <c r="AU211" s="69">
        <v>2.5</v>
      </c>
      <c r="AV211" s="63">
        <f t="shared" si="110"/>
        <v>207.45</v>
      </c>
      <c r="AW211" s="54">
        <f t="shared" si="93"/>
        <v>7.5</v>
      </c>
      <c r="AX211" s="54">
        <f t="shared" si="93"/>
        <v>7.5</v>
      </c>
      <c r="AY211" s="54">
        <f t="shared" si="93"/>
        <v>7.5</v>
      </c>
      <c r="AZ211" s="54">
        <f t="shared" si="93"/>
        <v>20.549999999999997</v>
      </c>
      <c r="BA211" s="54">
        <f t="shared" si="93"/>
        <v>20.549999999999997</v>
      </c>
      <c r="BB211" s="54">
        <f t="shared" si="93"/>
        <v>20.549999999999997</v>
      </c>
      <c r="BC211" s="54">
        <f t="shared" si="89"/>
        <v>20.549999999999997</v>
      </c>
      <c r="BD211" s="54">
        <f t="shared" si="89"/>
        <v>20.549999999999997</v>
      </c>
      <c r="BE211" s="54">
        <f t="shared" si="89"/>
        <v>20.549999999999997</v>
      </c>
      <c r="BF211" s="54">
        <f t="shared" si="89"/>
        <v>20.549999999999997</v>
      </c>
      <c r="BG211" s="54">
        <f t="shared" si="89"/>
        <v>20.549999999999997</v>
      </c>
      <c r="BH211" s="54">
        <f t="shared" si="89"/>
        <v>20.549999999999997</v>
      </c>
      <c r="BI211" s="63">
        <f t="shared" si="106"/>
        <v>0</v>
      </c>
      <c r="BJ211" s="59">
        <f t="shared" si="94"/>
        <v>0</v>
      </c>
      <c r="BK211" s="59">
        <f t="shared" si="94"/>
        <v>0</v>
      </c>
      <c r="BL211" s="59">
        <f t="shared" si="94"/>
        <v>0</v>
      </c>
      <c r="BM211" s="59">
        <f t="shared" si="94"/>
        <v>0</v>
      </c>
      <c r="BN211" s="59">
        <f t="shared" si="94"/>
        <v>0</v>
      </c>
      <c r="BO211" s="59">
        <f t="shared" si="94"/>
        <v>0</v>
      </c>
      <c r="BP211" s="59">
        <f t="shared" si="94"/>
        <v>0</v>
      </c>
      <c r="BQ211" s="59">
        <f t="shared" si="94"/>
        <v>0</v>
      </c>
      <c r="BR211" s="59">
        <f t="shared" si="94"/>
        <v>0</v>
      </c>
      <c r="BS211" s="59">
        <f t="shared" si="94"/>
        <v>0</v>
      </c>
      <c r="BT211" s="59">
        <f t="shared" si="94"/>
        <v>0</v>
      </c>
      <c r="BU211" s="59">
        <f t="shared" si="94"/>
        <v>0</v>
      </c>
      <c r="BV211" s="70">
        <f t="shared" si="101"/>
        <v>209.95</v>
      </c>
      <c r="BX211" s="54">
        <f t="shared" si="91"/>
        <v>10.833333333333334</v>
      </c>
      <c r="BY211" s="54">
        <f t="shared" si="91"/>
        <v>10.833333333333334</v>
      </c>
      <c r="BZ211" s="54">
        <f t="shared" si="91"/>
        <v>29.68333333333333</v>
      </c>
      <c r="CA211" s="54">
        <f t="shared" si="90"/>
        <v>29.68333333333333</v>
      </c>
      <c r="CB211" s="54">
        <f t="shared" si="90"/>
        <v>29.68333333333333</v>
      </c>
      <c r="CC211" s="54">
        <f t="shared" si="90"/>
        <v>29.68333333333333</v>
      </c>
      <c r="CD211" s="54">
        <f t="shared" si="90"/>
        <v>29.68333333333333</v>
      </c>
      <c r="CE211" s="54">
        <f t="shared" si="90"/>
        <v>29.68333333333333</v>
      </c>
      <c r="CF211" s="54">
        <f t="shared" si="90"/>
        <v>29.68333333333333</v>
      </c>
      <c r="CG211" s="54">
        <f t="shared" si="85"/>
        <v>29.68333333333333</v>
      </c>
      <c r="CH211" s="54">
        <f t="shared" si="85"/>
        <v>29.68333333333333</v>
      </c>
      <c r="CI211" s="54">
        <f t="shared" si="85"/>
        <v>29.68333333333333</v>
      </c>
      <c r="CJ211" s="70">
        <f t="shared" si="95"/>
        <v>318.5</v>
      </c>
      <c r="CK211" s="59">
        <f t="shared" si="107"/>
        <v>18</v>
      </c>
      <c r="CL211" s="59">
        <f t="shared" si="108"/>
        <v>37.699999999999989</v>
      </c>
      <c r="CM211" s="71">
        <f t="shared" si="102"/>
        <v>356.2</v>
      </c>
      <c r="CN211" s="72"/>
      <c r="CO211" s="73"/>
      <c r="CP211" s="1"/>
    </row>
    <row r="212" spans="1:94" ht="20.25" customHeight="1">
      <c r="A212" s="75" t="s">
        <v>559</v>
      </c>
      <c r="B212" s="1" t="s">
        <v>560</v>
      </c>
      <c r="C212" s="58" t="s">
        <v>561</v>
      </c>
      <c r="D212" s="58">
        <f>+VLOOKUP(A212,'[1]BDD-Avk Tx'!B:CE,82,0)</f>
        <v>810</v>
      </c>
      <c r="E212" s="59">
        <v>200.2</v>
      </c>
      <c r="G212" s="60">
        <v>45045</v>
      </c>
      <c r="H212" s="60">
        <f t="shared" si="98"/>
        <v>45647</v>
      </c>
      <c r="I212" s="60" t="str">
        <f>+VLOOKUP(A212,'[1]BDD-Avk Tx'!B:BZ,77,0)</f>
        <v>CDD</v>
      </c>
      <c r="J212" s="60">
        <f t="shared" si="99"/>
        <v>45647</v>
      </c>
      <c r="N212" s="3"/>
      <c r="P212" s="54">
        <f t="shared" si="103"/>
        <v>2.5833333333333335</v>
      </c>
      <c r="Q212" s="61">
        <v>0</v>
      </c>
      <c r="R212" s="62">
        <f t="shared" si="104"/>
        <v>18</v>
      </c>
      <c r="S212" s="54">
        <f t="shared" si="111"/>
        <v>1.5</v>
      </c>
      <c r="T212" s="54">
        <f t="shared" si="109"/>
        <v>1.5</v>
      </c>
      <c r="U212" s="54">
        <f t="shared" si="109"/>
        <v>1.5</v>
      </c>
      <c r="V212" s="54">
        <f t="shared" si="109"/>
        <v>1.5</v>
      </c>
      <c r="W212" s="54">
        <f t="shared" si="109"/>
        <v>1.5</v>
      </c>
      <c r="X212" s="54">
        <f t="shared" si="109"/>
        <v>1.5</v>
      </c>
      <c r="Y212" s="54">
        <f t="shared" si="109"/>
        <v>1.5</v>
      </c>
      <c r="Z212" s="54">
        <f t="shared" si="109"/>
        <v>1.5</v>
      </c>
      <c r="AA212" s="54">
        <f t="shared" si="109"/>
        <v>1.5</v>
      </c>
      <c r="AB212" s="54">
        <f t="shared" si="109"/>
        <v>1.5</v>
      </c>
      <c r="AC212" s="54">
        <f t="shared" si="109"/>
        <v>1.5</v>
      </c>
      <c r="AD212" s="54">
        <f t="shared" si="109"/>
        <v>1.5</v>
      </c>
      <c r="AF212" s="63">
        <f t="shared" si="84"/>
        <v>0</v>
      </c>
      <c r="AG212" s="64">
        <v>0</v>
      </c>
      <c r="AH212" s="64">
        <v>0</v>
      </c>
      <c r="AI212" s="65">
        <v>0</v>
      </c>
      <c r="AJ212" s="66"/>
      <c r="AK212" s="64"/>
      <c r="AL212" s="64"/>
      <c r="AM212" s="64"/>
      <c r="AN212" s="64"/>
      <c r="AO212" s="64"/>
      <c r="AP212" s="64"/>
      <c r="AQ212" s="64"/>
      <c r="AR212" s="64"/>
      <c r="AS212" s="70">
        <f t="shared" si="100"/>
        <v>18</v>
      </c>
      <c r="AT212" s="68"/>
      <c r="AU212" s="69">
        <v>0</v>
      </c>
      <c r="AV212" s="63">
        <f t="shared" si="110"/>
        <v>138.6</v>
      </c>
      <c r="AW212" s="54">
        <f t="shared" si="93"/>
        <v>11.549999999999999</v>
      </c>
      <c r="AX212" s="54">
        <f t="shared" si="93"/>
        <v>11.549999999999999</v>
      </c>
      <c r="AY212" s="54">
        <f t="shared" si="93"/>
        <v>11.549999999999999</v>
      </c>
      <c r="AZ212" s="54">
        <f t="shared" si="93"/>
        <v>11.549999999999999</v>
      </c>
      <c r="BA212" s="54">
        <f t="shared" si="93"/>
        <v>11.549999999999999</v>
      </c>
      <c r="BB212" s="54">
        <f t="shared" si="93"/>
        <v>11.549999999999999</v>
      </c>
      <c r="BC212" s="54">
        <f t="shared" si="89"/>
        <v>11.549999999999999</v>
      </c>
      <c r="BD212" s="54">
        <f t="shared" si="89"/>
        <v>11.549999999999999</v>
      </c>
      <c r="BE212" s="54">
        <f t="shared" si="89"/>
        <v>11.549999999999999</v>
      </c>
      <c r="BF212" s="54">
        <f t="shared" si="89"/>
        <v>11.549999999999999</v>
      </c>
      <c r="BG212" s="54">
        <f t="shared" si="89"/>
        <v>11.549999999999999</v>
      </c>
      <c r="BH212" s="54">
        <f t="shared" si="89"/>
        <v>11.549999999999999</v>
      </c>
      <c r="BI212" s="63">
        <f t="shared" si="106"/>
        <v>0</v>
      </c>
      <c r="BJ212" s="59">
        <f t="shared" si="94"/>
        <v>0</v>
      </c>
      <c r="BK212" s="59">
        <f t="shared" si="94"/>
        <v>0</v>
      </c>
      <c r="BL212" s="59">
        <f t="shared" si="94"/>
        <v>0</v>
      </c>
      <c r="BM212" s="59">
        <f t="shared" si="94"/>
        <v>0</v>
      </c>
      <c r="BN212" s="59">
        <f t="shared" si="94"/>
        <v>0</v>
      </c>
      <c r="BO212" s="59">
        <f t="shared" si="94"/>
        <v>0</v>
      </c>
      <c r="BP212" s="59">
        <f t="shared" si="94"/>
        <v>0</v>
      </c>
      <c r="BQ212" s="59">
        <f t="shared" si="94"/>
        <v>0</v>
      </c>
      <c r="BR212" s="59">
        <f t="shared" si="94"/>
        <v>0</v>
      </c>
      <c r="BS212" s="59">
        <f t="shared" ref="BJ212:BU237" si="112">(+IF($K212="",$E212/26*AP212,IF(MONTH($K212)=MONTH(BS$5),$L212/26*AP212,IF(AND($K212&lt;BS$5,(MONTH($K212)&lt;&gt;MONTH(BS$5))),$L212/26*AP212,$E212/26*AP212))))*-1</f>
        <v>0</v>
      </c>
      <c r="BT212" s="59">
        <f t="shared" si="112"/>
        <v>0</v>
      </c>
      <c r="BU212" s="59">
        <f t="shared" si="112"/>
        <v>0</v>
      </c>
      <c r="BV212" s="70">
        <f t="shared" si="101"/>
        <v>138.6</v>
      </c>
      <c r="BX212" s="54">
        <f t="shared" si="91"/>
        <v>16.683333333333334</v>
      </c>
      <c r="BY212" s="54">
        <f t="shared" si="91"/>
        <v>16.683333333333334</v>
      </c>
      <c r="BZ212" s="54">
        <f t="shared" si="91"/>
        <v>16.683333333333334</v>
      </c>
      <c r="CA212" s="54">
        <f t="shared" si="90"/>
        <v>16.683333333333334</v>
      </c>
      <c r="CB212" s="54">
        <f t="shared" si="90"/>
        <v>16.683333333333334</v>
      </c>
      <c r="CC212" s="54">
        <f t="shared" si="90"/>
        <v>16.683333333333334</v>
      </c>
      <c r="CD212" s="54">
        <f t="shared" si="90"/>
        <v>16.683333333333334</v>
      </c>
      <c r="CE212" s="54">
        <f t="shared" si="90"/>
        <v>16.683333333333334</v>
      </c>
      <c r="CF212" s="54">
        <f t="shared" si="90"/>
        <v>16.683333333333334</v>
      </c>
      <c r="CG212" s="54">
        <f t="shared" si="85"/>
        <v>16.683333333333334</v>
      </c>
      <c r="CH212" s="54">
        <f t="shared" si="85"/>
        <v>16.683333333333334</v>
      </c>
      <c r="CI212" s="54">
        <f t="shared" si="85"/>
        <v>16.683333333333334</v>
      </c>
      <c r="CJ212" s="70">
        <f t="shared" ref="CJ212:CJ214" si="113">SUM(BX212:CI212)</f>
        <v>200.20000000000002</v>
      </c>
      <c r="CK212" s="59">
        <f t="shared" si="107"/>
        <v>18</v>
      </c>
      <c r="CL212" s="59">
        <f t="shared" si="108"/>
        <v>0</v>
      </c>
      <c r="CM212" s="71">
        <f t="shared" si="102"/>
        <v>200.2</v>
      </c>
      <c r="CN212" s="72"/>
      <c r="CO212" s="73"/>
    </row>
    <row r="213" spans="1:94" ht="20.25" customHeight="1">
      <c r="A213" s="75" t="s">
        <v>562</v>
      </c>
      <c r="B213" s="1" t="s">
        <v>563</v>
      </c>
      <c r="C213" s="58" t="s">
        <v>564</v>
      </c>
      <c r="D213" s="58">
        <f>+VLOOKUP(A213,'[1]BDD-Avk Tx'!B:CE,82,0)</f>
        <v>281</v>
      </c>
      <c r="E213" s="59">
        <v>130</v>
      </c>
      <c r="G213" s="60">
        <v>45051</v>
      </c>
      <c r="H213" s="60">
        <f t="shared" si="98"/>
        <v>45647</v>
      </c>
      <c r="I213" s="60" t="str">
        <f>+VLOOKUP(A213,'[1]BDD-Avk Tx'!B:BZ,77,0)</f>
        <v>CDD</v>
      </c>
      <c r="J213" s="60">
        <f t="shared" si="99"/>
        <v>45647</v>
      </c>
      <c r="N213" s="3"/>
      <c r="P213" s="54">
        <f t="shared" si="103"/>
        <v>2.5833333333333335</v>
      </c>
      <c r="Q213" s="61">
        <v>0.5</v>
      </c>
      <c r="R213" s="62">
        <f t="shared" si="104"/>
        <v>18</v>
      </c>
      <c r="S213" s="54">
        <f t="shared" si="111"/>
        <v>1.5</v>
      </c>
      <c r="T213" s="54">
        <f t="shared" si="109"/>
        <v>1.5</v>
      </c>
      <c r="U213" s="54">
        <f t="shared" si="109"/>
        <v>1.5</v>
      </c>
      <c r="V213" s="54">
        <f t="shared" si="109"/>
        <v>1.5</v>
      </c>
      <c r="W213" s="54">
        <f t="shared" si="109"/>
        <v>1.5</v>
      </c>
      <c r="X213" s="54">
        <f t="shared" si="109"/>
        <v>1.5</v>
      </c>
      <c r="Y213" s="54">
        <f t="shared" si="109"/>
        <v>1.5</v>
      </c>
      <c r="Z213" s="54">
        <f t="shared" si="109"/>
        <v>1.5</v>
      </c>
      <c r="AA213" s="54">
        <f t="shared" si="109"/>
        <v>1.5</v>
      </c>
      <c r="AB213" s="54">
        <f t="shared" si="109"/>
        <v>1.5</v>
      </c>
      <c r="AC213" s="54">
        <f t="shared" si="109"/>
        <v>1.5</v>
      </c>
      <c r="AD213" s="54">
        <f t="shared" si="109"/>
        <v>1.5</v>
      </c>
      <c r="AF213" s="63">
        <f t="shared" si="84"/>
        <v>18</v>
      </c>
      <c r="AG213" s="64">
        <v>5</v>
      </c>
      <c r="AH213" s="64">
        <v>13</v>
      </c>
      <c r="AI213" s="65">
        <v>0</v>
      </c>
      <c r="AJ213" s="66"/>
      <c r="AK213" s="64"/>
      <c r="AL213" s="64"/>
      <c r="AM213" s="64"/>
      <c r="AN213" s="64"/>
      <c r="AO213" s="64"/>
      <c r="AP213" s="64"/>
      <c r="AQ213" s="64"/>
      <c r="AR213" s="64"/>
      <c r="AS213" s="70">
        <f t="shared" si="100"/>
        <v>0.5</v>
      </c>
      <c r="AT213" s="68"/>
      <c r="AU213" s="69">
        <v>2.5</v>
      </c>
      <c r="AV213" s="63">
        <f t="shared" si="110"/>
        <v>90</v>
      </c>
      <c r="AW213" s="54">
        <f t="shared" si="93"/>
        <v>7.5</v>
      </c>
      <c r="AX213" s="54">
        <f t="shared" si="93"/>
        <v>7.5</v>
      </c>
      <c r="AY213" s="54">
        <f t="shared" si="93"/>
        <v>7.5</v>
      </c>
      <c r="AZ213" s="54">
        <f t="shared" si="93"/>
        <v>7.5</v>
      </c>
      <c r="BA213" s="54">
        <f t="shared" si="93"/>
        <v>7.5</v>
      </c>
      <c r="BB213" s="54">
        <f t="shared" si="93"/>
        <v>7.5</v>
      </c>
      <c r="BC213" s="54">
        <f t="shared" si="89"/>
        <v>7.5</v>
      </c>
      <c r="BD213" s="54">
        <f t="shared" si="89"/>
        <v>7.5</v>
      </c>
      <c r="BE213" s="54">
        <f t="shared" si="89"/>
        <v>7.5</v>
      </c>
      <c r="BF213" s="54">
        <f t="shared" si="89"/>
        <v>7.5</v>
      </c>
      <c r="BG213" s="54">
        <f t="shared" si="89"/>
        <v>7.5</v>
      </c>
      <c r="BH213" s="54">
        <f t="shared" si="89"/>
        <v>7.5</v>
      </c>
      <c r="BI213" s="63">
        <f t="shared" si="106"/>
        <v>-90</v>
      </c>
      <c r="BJ213" s="59">
        <f t="shared" si="112"/>
        <v>-25</v>
      </c>
      <c r="BK213" s="59">
        <f t="shared" si="112"/>
        <v>-65</v>
      </c>
      <c r="BL213" s="59">
        <f t="shared" si="112"/>
        <v>0</v>
      </c>
      <c r="BM213" s="59">
        <f t="shared" si="112"/>
        <v>0</v>
      </c>
      <c r="BN213" s="59">
        <f t="shared" si="112"/>
        <v>0</v>
      </c>
      <c r="BO213" s="59">
        <f t="shared" si="112"/>
        <v>0</v>
      </c>
      <c r="BP213" s="59">
        <f t="shared" si="112"/>
        <v>0</v>
      </c>
      <c r="BQ213" s="59">
        <f t="shared" si="112"/>
        <v>0</v>
      </c>
      <c r="BR213" s="59">
        <f t="shared" si="112"/>
        <v>0</v>
      </c>
      <c r="BS213" s="59">
        <f t="shared" si="112"/>
        <v>0</v>
      </c>
      <c r="BT213" s="59">
        <f t="shared" si="112"/>
        <v>0</v>
      </c>
      <c r="BU213" s="59">
        <f t="shared" si="112"/>
        <v>0</v>
      </c>
      <c r="BV213" s="70">
        <f t="shared" si="101"/>
        <v>2.5</v>
      </c>
      <c r="BX213" s="54">
        <f t="shared" si="91"/>
        <v>10.833333333333334</v>
      </c>
      <c r="BY213" s="54">
        <f t="shared" si="91"/>
        <v>10.833333333333334</v>
      </c>
      <c r="BZ213" s="54">
        <f t="shared" si="91"/>
        <v>10.833333333333334</v>
      </c>
      <c r="CA213" s="54">
        <f t="shared" si="90"/>
        <v>10.833333333333334</v>
      </c>
      <c r="CB213" s="54">
        <f t="shared" si="90"/>
        <v>10.833333333333334</v>
      </c>
      <c r="CC213" s="54">
        <f t="shared" si="90"/>
        <v>10.833333333333334</v>
      </c>
      <c r="CD213" s="54">
        <f t="shared" si="90"/>
        <v>10.833333333333334</v>
      </c>
      <c r="CE213" s="54">
        <f t="shared" si="90"/>
        <v>10.833333333333334</v>
      </c>
      <c r="CF213" s="54">
        <f t="shared" si="90"/>
        <v>10.833333333333334</v>
      </c>
      <c r="CG213" s="54">
        <f t="shared" si="85"/>
        <v>10.833333333333334</v>
      </c>
      <c r="CH213" s="54">
        <f t="shared" si="85"/>
        <v>10.833333333333334</v>
      </c>
      <c r="CI213" s="54">
        <f t="shared" si="85"/>
        <v>10.833333333333334</v>
      </c>
      <c r="CJ213" s="70">
        <f t="shared" si="113"/>
        <v>129.99999999999997</v>
      </c>
      <c r="CK213" s="59">
        <f t="shared" si="107"/>
        <v>18</v>
      </c>
      <c r="CL213" s="59">
        <f t="shared" si="108"/>
        <v>0</v>
      </c>
      <c r="CM213" s="71">
        <f t="shared" si="102"/>
        <v>130</v>
      </c>
      <c r="CN213" s="54"/>
      <c r="CO213" s="73"/>
      <c r="CP213" s="56"/>
    </row>
    <row r="214" spans="1:94" ht="20.25" customHeight="1">
      <c r="A214" s="75" t="s">
        <v>565</v>
      </c>
      <c r="B214" s="1" t="s">
        <v>566</v>
      </c>
      <c r="C214" s="58" t="s">
        <v>567</v>
      </c>
      <c r="D214" s="58">
        <f>+VLOOKUP(A214,'[1]BDD-Avk Tx'!B:CE,82,0)</f>
        <v>120</v>
      </c>
      <c r="E214" s="59">
        <v>130</v>
      </c>
      <c r="G214" s="60">
        <v>45056</v>
      </c>
      <c r="H214" s="60">
        <f t="shared" si="98"/>
        <v>45647</v>
      </c>
      <c r="I214" s="60" t="str">
        <f>+VLOOKUP(A214,'[1]BDD-Avk Tx'!B:BZ,77,0)</f>
        <v>CDD</v>
      </c>
      <c r="J214" s="60">
        <f t="shared" si="99"/>
        <v>45647</v>
      </c>
      <c r="N214" s="3"/>
      <c r="P214" s="54">
        <f t="shared" si="103"/>
        <v>2.5833333333333335</v>
      </c>
      <c r="Q214" s="61">
        <v>2.5</v>
      </c>
      <c r="R214" s="62">
        <f t="shared" si="104"/>
        <v>18</v>
      </c>
      <c r="S214" s="54">
        <f t="shared" si="111"/>
        <v>1.5</v>
      </c>
      <c r="T214" s="54">
        <f t="shared" si="109"/>
        <v>1.5</v>
      </c>
      <c r="U214" s="54">
        <f t="shared" si="109"/>
        <v>1.5</v>
      </c>
      <c r="V214" s="54">
        <f t="shared" si="109"/>
        <v>1.5</v>
      </c>
      <c r="W214" s="54">
        <f t="shared" si="109"/>
        <v>1.5</v>
      </c>
      <c r="X214" s="54">
        <f t="shared" si="109"/>
        <v>1.5</v>
      </c>
      <c r="Y214" s="54">
        <f t="shared" si="109"/>
        <v>1.5</v>
      </c>
      <c r="Z214" s="54">
        <f t="shared" si="109"/>
        <v>1.5</v>
      </c>
      <c r="AA214" s="54">
        <f t="shared" si="109"/>
        <v>1.5</v>
      </c>
      <c r="AB214" s="54">
        <f t="shared" si="109"/>
        <v>1.5</v>
      </c>
      <c r="AC214" s="54">
        <f t="shared" si="109"/>
        <v>1.5</v>
      </c>
      <c r="AD214" s="54">
        <f t="shared" si="109"/>
        <v>1.5</v>
      </c>
      <c r="AF214" s="63">
        <f t="shared" si="84"/>
        <v>0</v>
      </c>
      <c r="AG214" s="64">
        <v>0</v>
      </c>
      <c r="AH214" s="64">
        <v>0</v>
      </c>
      <c r="AI214" s="65">
        <v>0</v>
      </c>
      <c r="AJ214" s="66"/>
      <c r="AK214" s="64"/>
      <c r="AL214" s="64"/>
      <c r="AM214" s="64"/>
      <c r="AN214" s="64"/>
      <c r="AO214" s="64"/>
      <c r="AP214" s="64"/>
      <c r="AQ214" s="64"/>
      <c r="AR214" s="64"/>
      <c r="AS214" s="70">
        <f t="shared" si="100"/>
        <v>20.5</v>
      </c>
      <c r="AT214" s="68"/>
      <c r="AU214" s="69">
        <v>12.5</v>
      </c>
      <c r="AV214" s="63">
        <f t="shared" si="110"/>
        <v>90</v>
      </c>
      <c r="AW214" s="54">
        <f t="shared" si="93"/>
        <v>7.5</v>
      </c>
      <c r="AX214" s="54">
        <f t="shared" si="93"/>
        <v>7.5</v>
      </c>
      <c r="AY214" s="54">
        <f t="shared" si="93"/>
        <v>7.5</v>
      </c>
      <c r="AZ214" s="54">
        <f t="shared" si="93"/>
        <v>7.5</v>
      </c>
      <c r="BA214" s="54">
        <f t="shared" si="93"/>
        <v>7.5</v>
      </c>
      <c r="BB214" s="54">
        <f t="shared" si="93"/>
        <v>7.5</v>
      </c>
      <c r="BC214" s="54">
        <f t="shared" si="89"/>
        <v>7.5</v>
      </c>
      <c r="BD214" s="54">
        <f t="shared" si="89"/>
        <v>7.5</v>
      </c>
      <c r="BE214" s="54">
        <f t="shared" si="89"/>
        <v>7.5</v>
      </c>
      <c r="BF214" s="54">
        <f t="shared" si="89"/>
        <v>7.5</v>
      </c>
      <c r="BG214" s="54">
        <f t="shared" si="89"/>
        <v>7.5</v>
      </c>
      <c r="BH214" s="54">
        <f t="shared" si="89"/>
        <v>7.5</v>
      </c>
      <c r="BI214" s="63">
        <f t="shared" si="106"/>
        <v>0</v>
      </c>
      <c r="BJ214" s="59">
        <f t="shared" si="112"/>
        <v>0</v>
      </c>
      <c r="BK214" s="59">
        <f t="shared" si="112"/>
        <v>0</v>
      </c>
      <c r="BL214" s="59">
        <f t="shared" si="112"/>
        <v>0</v>
      </c>
      <c r="BM214" s="59">
        <f t="shared" si="112"/>
        <v>0</v>
      </c>
      <c r="BN214" s="59">
        <f t="shared" si="112"/>
        <v>0</v>
      </c>
      <c r="BO214" s="59">
        <f t="shared" si="112"/>
        <v>0</v>
      </c>
      <c r="BP214" s="59">
        <f t="shared" si="112"/>
        <v>0</v>
      </c>
      <c r="BQ214" s="59">
        <f t="shared" si="112"/>
        <v>0</v>
      </c>
      <c r="BR214" s="59">
        <f t="shared" si="112"/>
        <v>0</v>
      </c>
      <c r="BS214" s="59">
        <f t="shared" si="112"/>
        <v>0</v>
      </c>
      <c r="BT214" s="59">
        <f t="shared" si="112"/>
        <v>0</v>
      </c>
      <c r="BU214" s="59">
        <f t="shared" si="112"/>
        <v>0</v>
      </c>
      <c r="BV214" s="70">
        <f t="shared" si="101"/>
        <v>102.5</v>
      </c>
      <c r="BX214" s="54">
        <f t="shared" si="91"/>
        <v>10.833333333333334</v>
      </c>
      <c r="BY214" s="54">
        <f t="shared" si="91"/>
        <v>10.833333333333334</v>
      </c>
      <c r="BZ214" s="54">
        <f t="shared" si="91"/>
        <v>10.833333333333334</v>
      </c>
      <c r="CA214" s="54">
        <f t="shared" si="90"/>
        <v>10.833333333333334</v>
      </c>
      <c r="CB214" s="54">
        <f t="shared" si="90"/>
        <v>10.833333333333334</v>
      </c>
      <c r="CC214" s="54">
        <f t="shared" si="90"/>
        <v>10.833333333333334</v>
      </c>
      <c r="CD214" s="54">
        <f t="shared" si="90"/>
        <v>10.833333333333334</v>
      </c>
      <c r="CE214" s="54">
        <f t="shared" si="90"/>
        <v>10.833333333333334</v>
      </c>
      <c r="CF214" s="54">
        <f t="shared" si="90"/>
        <v>10.833333333333334</v>
      </c>
      <c r="CG214" s="54">
        <f t="shared" si="85"/>
        <v>10.833333333333334</v>
      </c>
      <c r="CH214" s="54">
        <f t="shared" si="85"/>
        <v>10.833333333333334</v>
      </c>
      <c r="CI214" s="54">
        <f t="shared" si="85"/>
        <v>10.833333333333334</v>
      </c>
      <c r="CJ214" s="70">
        <f t="shared" si="113"/>
        <v>129.99999999999997</v>
      </c>
      <c r="CK214" s="59">
        <f t="shared" si="107"/>
        <v>18</v>
      </c>
      <c r="CL214" s="59">
        <f t="shared" si="108"/>
        <v>0</v>
      </c>
      <c r="CM214" s="71">
        <f t="shared" si="102"/>
        <v>130</v>
      </c>
      <c r="CN214" s="72"/>
      <c r="CO214" s="73"/>
    </row>
    <row r="215" spans="1:94" ht="20.25" customHeight="1">
      <c r="A215" s="75" t="s">
        <v>568</v>
      </c>
      <c r="B215" s="1" t="s">
        <v>569</v>
      </c>
      <c r="C215" s="58" t="s">
        <v>564</v>
      </c>
      <c r="D215" s="58">
        <f>+VLOOKUP(A215,'[1]BDD-Avk Tx'!B:CE,82,0)</f>
        <v>281</v>
      </c>
      <c r="E215" s="59">
        <v>130</v>
      </c>
      <c r="G215" s="60">
        <v>45067</v>
      </c>
      <c r="H215" s="60">
        <f t="shared" si="98"/>
        <v>45647</v>
      </c>
      <c r="I215" s="60" t="str">
        <f>+VLOOKUP(A215,'[1]BDD-Avk Tx'!B:BZ,77,0)</f>
        <v>CDD</v>
      </c>
      <c r="J215" s="60">
        <f t="shared" si="99"/>
        <v>45647</v>
      </c>
      <c r="N215" s="3"/>
      <c r="P215" s="54">
        <f t="shared" si="103"/>
        <v>2.5</v>
      </c>
      <c r="Q215" s="61">
        <v>-0.5</v>
      </c>
      <c r="R215" s="62">
        <f t="shared" si="104"/>
        <v>18</v>
      </c>
      <c r="S215" s="54">
        <f t="shared" si="111"/>
        <v>1.5</v>
      </c>
      <c r="T215" s="54">
        <f t="shared" si="109"/>
        <v>1.5</v>
      </c>
      <c r="U215" s="54">
        <f t="shared" si="109"/>
        <v>1.5</v>
      </c>
      <c r="V215" s="54">
        <f t="shared" si="109"/>
        <v>1.5</v>
      </c>
      <c r="W215" s="54">
        <f t="shared" si="109"/>
        <v>1.5</v>
      </c>
      <c r="X215" s="54">
        <f t="shared" si="109"/>
        <v>1.5</v>
      </c>
      <c r="Y215" s="54">
        <f t="shared" si="109"/>
        <v>1.5</v>
      </c>
      <c r="Z215" s="54">
        <f t="shared" si="109"/>
        <v>1.5</v>
      </c>
      <c r="AA215" s="54">
        <f t="shared" si="109"/>
        <v>1.5</v>
      </c>
      <c r="AB215" s="54">
        <f t="shared" si="109"/>
        <v>1.5</v>
      </c>
      <c r="AC215" s="54">
        <f t="shared" si="109"/>
        <v>1.5</v>
      </c>
      <c r="AD215" s="54">
        <f t="shared" si="109"/>
        <v>1.5</v>
      </c>
      <c r="AF215" s="63">
        <f t="shared" si="84"/>
        <v>17</v>
      </c>
      <c r="AG215" s="64">
        <v>5</v>
      </c>
      <c r="AH215" s="64">
        <v>12</v>
      </c>
      <c r="AI215" s="65">
        <v>0</v>
      </c>
      <c r="AJ215" s="66"/>
      <c r="AK215" s="64"/>
      <c r="AL215" s="64"/>
      <c r="AM215" s="64"/>
      <c r="AN215" s="64"/>
      <c r="AO215" s="64"/>
      <c r="AP215" s="64"/>
      <c r="AQ215" s="64"/>
      <c r="AR215" s="64"/>
      <c r="AS215" s="70">
        <f t="shared" si="100"/>
        <v>0.5</v>
      </c>
      <c r="AT215" s="68"/>
      <c r="AU215" s="69">
        <v>-2.5</v>
      </c>
      <c r="AV215" s="63">
        <f t="shared" si="110"/>
        <v>90</v>
      </c>
      <c r="AW215" s="54">
        <f t="shared" si="93"/>
        <v>7.5</v>
      </c>
      <c r="AX215" s="54">
        <f t="shared" si="93"/>
        <v>7.5</v>
      </c>
      <c r="AY215" s="54">
        <f t="shared" si="93"/>
        <v>7.5</v>
      </c>
      <c r="AZ215" s="54">
        <f t="shared" si="93"/>
        <v>7.5</v>
      </c>
      <c r="BA215" s="54">
        <f t="shared" si="93"/>
        <v>7.5</v>
      </c>
      <c r="BB215" s="54">
        <f t="shared" si="93"/>
        <v>7.5</v>
      </c>
      <c r="BC215" s="54">
        <f t="shared" si="89"/>
        <v>7.5</v>
      </c>
      <c r="BD215" s="54">
        <f t="shared" si="89"/>
        <v>7.5</v>
      </c>
      <c r="BE215" s="54">
        <f t="shared" si="89"/>
        <v>7.5</v>
      </c>
      <c r="BF215" s="54">
        <f t="shared" si="89"/>
        <v>7.5</v>
      </c>
      <c r="BG215" s="54">
        <f t="shared" si="89"/>
        <v>7.5</v>
      </c>
      <c r="BH215" s="54">
        <f t="shared" si="89"/>
        <v>7.5</v>
      </c>
      <c r="BI215" s="63">
        <f t="shared" si="106"/>
        <v>-85</v>
      </c>
      <c r="BJ215" s="59">
        <f t="shared" si="112"/>
        <v>-25</v>
      </c>
      <c r="BK215" s="59">
        <f t="shared" si="112"/>
        <v>-60</v>
      </c>
      <c r="BL215" s="59">
        <f t="shared" si="112"/>
        <v>0</v>
      </c>
      <c r="BM215" s="59">
        <f t="shared" si="112"/>
        <v>0</v>
      </c>
      <c r="BN215" s="59">
        <f t="shared" si="112"/>
        <v>0</v>
      </c>
      <c r="BO215" s="59">
        <f t="shared" si="112"/>
        <v>0</v>
      </c>
      <c r="BP215" s="59">
        <f t="shared" si="112"/>
        <v>0</v>
      </c>
      <c r="BQ215" s="59">
        <f t="shared" si="112"/>
        <v>0</v>
      </c>
      <c r="BR215" s="59">
        <f t="shared" si="112"/>
        <v>0</v>
      </c>
      <c r="BS215" s="59">
        <f t="shared" si="112"/>
        <v>0</v>
      </c>
      <c r="BT215" s="59">
        <f t="shared" si="112"/>
        <v>0</v>
      </c>
      <c r="BU215" s="59">
        <f t="shared" si="112"/>
        <v>0</v>
      </c>
      <c r="BV215" s="70">
        <f t="shared" si="101"/>
        <v>2.5</v>
      </c>
      <c r="BX215" s="54">
        <f t="shared" si="91"/>
        <v>10.833333333333334</v>
      </c>
      <c r="BY215" s="54">
        <f t="shared" si="91"/>
        <v>10.833333333333334</v>
      </c>
      <c r="BZ215" s="54">
        <f t="shared" si="91"/>
        <v>10.833333333333334</v>
      </c>
      <c r="CA215" s="54">
        <f t="shared" si="90"/>
        <v>10.833333333333334</v>
      </c>
      <c r="CB215" s="54">
        <f t="shared" si="90"/>
        <v>10.833333333333334</v>
      </c>
      <c r="CC215" s="54">
        <f t="shared" si="90"/>
        <v>10.833333333333334</v>
      </c>
      <c r="CD215" s="54">
        <f t="shared" si="90"/>
        <v>10.833333333333334</v>
      </c>
      <c r="CE215" s="54">
        <f t="shared" si="90"/>
        <v>10.833333333333334</v>
      </c>
      <c r="CF215" s="54">
        <f t="shared" si="90"/>
        <v>10.833333333333334</v>
      </c>
      <c r="CG215" s="54">
        <f t="shared" si="85"/>
        <v>10.833333333333334</v>
      </c>
      <c r="CH215" s="54">
        <f t="shared" si="85"/>
        <v>10.833333333333334</v>
      </c>
      <c r="CI215" s="54">
        <f t="shared" si="85"/>
        <v>10.833333333333334</v>
      </c>
      <c r="CJ215" s="70">
        <f t="shared" ref="CJ215:CJ216" si="114">SUM(BX215:CI215)</f>
        <v>129.99999999999997</v>
      </c>
      <c r="CK215" s="59">
        <f t="shared" si="107"/>
        <v>18</v>
      </c>
      <c r="CL215" s="59">
        <f t="shared" si="108"/>
        <v>0</v>
      </c>
      <c r="CM215" s="71">
        <f t="shared" si="102"/>
        <v>130</v>
      </c>
      <c r="CN215" s="54"/>
      <c r="CO215" s="73"/>
      <c r="CP215" s="56"/>
    </row>
    <row r="216" spans="1:94" ht="20.25" customHeight="1">
      <c r="A216" s="75" t="s">
        <v>570</v>
      </c>
      <c r="B216" s="1" t="s">
        <v>571</v>
      </c>
      <c r="C216" s="58" t="s">
        <v>572</v>
      </c>
      <c r="D216" s="58">
        <f>+VLOOKUP(A216,'[1]BDD-Avk Tx'!B:CE,82,0)</f>
        <v>810</v>
      </c>
      <c r="E216" s="59">
        <v>172.9</v>
      </c>
      <c r="G216" s="60">
        <v>45093</v>
      </c>
      <c r="H216" s="60">
        <f t="shared" si="98"/>
        <v>45647</v>
      </c>
      <c r="I216" s="60" t="str">
        <f>+VLOOKUP(A216,'[1]BDD-Avk Tx'!B:BZ,77,0)</f>
        <v>CDD</v>
      </c>
      <c r="J216" s="60">
        <f t="shared" si="99"/>
        <v>45647</v>
      </c>
      <c r="N216" s="3"/>
      <c r="P216" s="54">
        <f t="shared" si="103"/>
        <v>2.5</v>
      </c>
      <c r="Q216" s="61">
        <v>0</v>
      </c>
      <c r="R216" s="62">
        <f t="shared" si="104"/>
        <v>18</v>
      </c>
      <c r="S216" s="54">
        <f t="shared" si="111"/>
        <v>1.5</v>
      </c>
      <c r="T216" s="54">
        <f t="shared" si="109"/>
        <v>1.5</v>
      </c>
      <c r="U216" s="54">
        <f t="shared" si="109"/>
        <v>1.5</v>
      </c>
      <c r="V216" s="54">
        <f t="shared" si="109"/>
        <v>1.5</v>
      </c>
      <c r="W216" s="54">
        <f t="shared" si="109"/>
        <v>1.5</v>
      </c>
      <c r="X216" s="54">
        <f t="shared" si="109"/>
        <v>1.5</v>
      </c>
      <c r="Y216" s="54">
        <f t="shared" si="109"/>
        <v>1.5</v>
      </c>
      <c r="Z216" s="54">
        <f t="shared" si="109"/>
        <v>1.5</v>
      </c>
      <c r="AA216" s="54">
        <f t="shared" si="109"/>
        <v>1.5</v>
      </c>
      <c r="AB216" s="54">
        <f t="shared" si="109"/>
        <v>1.5</v>
      </c>
      <c r="AC216" s="54">
        <f t="shared" si="109"/>
        <v>1.5</v>
      </c>
      <c r="AD216" s="54">
        <f t="shared" si="109"/>
        <v>1.5</v>
      </c>
      <c r="AF216" s="63">
        <f t="shared" si="84"/>
        <v>1</v>
      </c>
      <c r="AG216" s="64">
        <v>0</v>
      </c>
      <c r="AH216" s="64">
        <v>0</v>
      </c>
      <c r="AI216" s="65">
        <v>1</v>
      </c>
      <c r="AJ216" s="66"/>
      <c r="AK216" s="64"/>
      <c r="AL216" s="64"/>
      <c r="AM216" s="64"/>
      <c r="AN216" s="64"/>
      <c r="AO216" s="64"/>
      <c r="AP216" s="64"/>
      <c r="AQ216" s="64"/>
      <c r="AR216" s="64"/>
      <c r="AS216" s="70">
        <f t="shared" si="100"/>
        <v>17</v>
      </c>
      <c r="AT216" s="68"/>
      <c r="AU216" s="69">
        <v>0</v>
      </c>
      <c r="AV216" s="63">
        <f t="shared" si="110"/>
        <v>119.69999999999999</v>
      </c>
      <c r="AW216" s="54">
        <f t="shared" si="93"/>
        <v>9.9750000000000014</v>
      </c>
      <c r="AX216" s="54">
        <f t="shared" si="93"/>
        <v>9.9750000000000014</v>
      </c>
      <c r="AY216" s="54">
        <f t="shared" si="93"/>
        <v>9.9750000000000014</v>
      </c>
      <c r="AZ216" s="54">
        <f t="shared" si="93"/>
        <v>9.9750000000000014</v>
      </c>
      <c r="BA216" s="54">
        <f t="shared" si="93"/>
        <v>9.9750000000000014</v>
      </c>
      <c r="BB216" s="54">
        <f t="shared" si="93"/>
        <v>9.9750000000000014</v>
      </c>
      <c r="BC216" s="54">
        <f t="shared" si="89"/>
        <v>9.9750000000000014</v>
      </c>
      <c r="BD216" s="54">
        <f t="shared" si="89"/>
        <v>9.9750000000000014</v>
      </c>
      <c r="BE216" s="54">
        <f t="shared" si="89"/>
        <v>9.9750000000000014</v>
      </c>
      <c r="BF216" s="54">
        <f t="shared" si="89"/>
        <v>9.9750000000000014</v>
      </c>
      <c r="BG216" s="54">
        <f t="shared" si="89"/>
        <v>9.9750000000000014</v>
      </c>
      <c r="BH216" s="54">
        <f t="shared" si="89"/>
        <v>9.9750000000000014</v>
      </c>
      <c r="BI216" s="63">
        <f t="shared" si="106"/>
        <v>-6.65</v>
      </c>
      <c r="BJ216" s="59">
        <f t="shared" si="112"/>
        <v>0</v>
      </c>
      <c r="BK216" s="59">
        <f t="shared" si="112"/>
        <v>0</v>
      </c>
      <c r="BL216" s="59">
        <f t="shared" si="112"/>
        <v>-6.65</v>
      </c>
      <c r="BM216" s="59">
        <f t="shared" si="112"/>
        <v>0</v>
      </c>
      <c r="BN216" s="59">
        <f t="shared" si="112"/>
        <v>0</v>
      </c>
      <c r="BO216" s="59">
        <f t="shared" si="112"/>
        <v>0</v>
      </c>
      <c r="BP216" s="59">
        <f t="shared" si="112"/>
        <v>0</v>
      </c>
      <c r="BQ216" s="59">
        <f t="shared" si="112"/>
        <v>0</v>
      </c>
      <c r="BR216" s="59">
        <f t="shared" si="112"/>
        <v>0</v>
      </c>
      <c r="BS216" s="59">
        <f t="shared" si="112"/>
        <v>0</v>
      </c>
      <c r="BT216" s="59">
        <f t="shared" si="112"/>
        <v>0</v>
      </c>
      <c r="BU216" s="59">
        <f t="shared" si="112"/>
        <v>0</v>
      </c>
      <c r="BV216" s="70">
        <f t="shared" si="101"/>
        <v>113.04999999999998</v>
      </c>
      <c r="BX216" s="54">
        <f t="shared" si="91"/>
        <v>14.408333333333335</v>
      </c>
      <c r="BY216" s="54">
        <f t="shared" si="91"/>
        <v>14.408333333333335</v>
      </c>
      <c r="BZ216" s="54">
        <f t="shared" si="91"/>
        <v>14.408333333333335</v>
      </c>
      <c r="CA216" s="54">
        <f t="shared" si="90"/>
        <v>14.408333333333335</v>
      </c>
      <c r="CB216" s="54">
        <f t="shared" si="90"/>
        <v>14.408333333333335</v>
      </c>
      <c r="CC216" s="54">
        <f t="shared" si="90"/>
        <v>14.408333333333335</v>
      </c>
      <c r="CD216" s="54">
        <f t="shared" ref="CD216:CI260" si="115">+IF(AND($J216&gt;CD$5,MONTH($J216&lt;&gt;CD$5)),0,+IF(AND($J216&gt;CD$5,MONTH($J216=CD$5)),$E216/$R216*DAY($J216),IF(AND($O216&lt;&gt;"",$O216&lt;CD$5),0,IF($K216="",$E216/$R216*Y216,IF(MONTH($K216)=MONTH(CD$5),$L216/$R216*Y216,IF(AND($K216&lt;CD$5,(MONTH($K216)&lt;&gt;MONTH(CD$5))),$L216/$R216*Y216,$E216/$R216*Y216))))))</f>
        <v>14.408333333333335</v>
      </c>
      <c r="CE216" s="54">
        <f t="shared" si="115"/>
        <v>14.408333333333335</v>
      </c>
      <c r="CF216" s="54">
        <f t="shared" si="115"/>
        <v>14.408333333333335</v>
      </c>
      <c r="CG216" s="54">
        <f t="shared" si="85"/>
        <v>14.408333333333335</v>
      </c>
      <c r="CH216" s="54">
        <f t="shared" si="85"/>
        <v>14.408333333333335</v>
      </c>
      <c r="CI216" s="54">
        <f t="shared" si="85"/>
        <v>14.408333333333335</v>
      </c>
      <c r="CJ216" s="70">
        <f t="shared" si="114"/>
        <v>172.9</v>
      </c>
      <c r="CK216" s="59">
        <f t="shared" si="107"/>
        <v>18</v>
      </c>
      <c r="CL216" s="59">
        <f t="shared" si="108"/>
        <v>0</v>
      </c>
      <c r="CM216" s="71">
        <f t="shared" si="102"/>
        <v>172.9</v>
      </c>
      <c r="CN216" s="54"/>
      <c r="CO216" s="73"/>
      <c r="CP216" s="56"/>
    </row>
    <row r="217" spans="1:94" ht="20.25" customHeight="1">
      <c r="A217" s="75" t="s">
        <v>573</v>
      </c>
      <c r="B217" s="1" t="s">
        <v>574</v>
      </c>
      <c r="C217" s="58" t="s">
        <v>567</v>
      </c>
      <c r="D217" s="58">
        <f>+VLOOKUP(A217,'[1]BDD-Avk Tx'!B:CE,82,0)</f>
        <v>120</v>
      </c>
      <c r="E217" s="59">
        <v>130</v>
      </c>
      <c r="G217" s="60">
        <v>45098</v>
      </c>
      <c r="H217" s="60">
        <f t="shared" si="98"/>
        <v>45647</v>
      </c>
      <c r="I217" s="60" t="str">
        <f>+VLOOKUP(A217,'[1]BDD-Avk Tx'!B:BZ,77,0)</f>
        <v>CDD</v>
      </c>
      <c r="J217" s="60">
        <f t="shared" si="99"/>
        <v>45647</v>
      </c>
      <c r="N217" s="3"/>
      <c r="P217" s="54">
        <f t="shared" si="103"/>
        <v>2.4166666666666665</v>
      </c>
      <c r="Q217" s="61">
        <v>9</v>
      </c>
      <c r="R217" s="62">
        <f t="shared" si="104"/>
        <v>18</v>
      </c>
      <c r="S217" s="54">
        <f t="shared" si="111"/>
        <v>1.5</v>
      </c>
      <c r="T217" s="54">
        <f t="shared" si="109"/>
        <v>1.5</v>
      </c>
      <c r="U217" s="54">
        <f t="shared" si="109"/>
        <v>1.5</v>
      </c>
      <c r="V217" s="54">
        <f t="shared" si="109"/>
        <v>1.5</v>
      </c>
      <c r="W217" s="54">
        <f t="shared" si="109"/>
        <v>1.5</v>
      </c>
      <c r="X217" s="54">
        <f t="shared" si="109"/>
        <v>1.5</v>
      </c>
      <c r="Y217" s="54">
        <f t="shared" si="109"/>
        <v>1.5</v>
      </c>
      <c r="Z217" s="54">
        <f t="shared" si="109"/>
        <v>1.5</v>
      </c>
      <c r="AA217" s="54">
        <f t="shared" si="109"/>
        <v>1.5</v>
      </c>
      <c r="AB217" s="54">
        <f t="shared" si="109"/>
        <v>1.5</v>
      </c>
      <c r="AC217" s="54">
        <f t="shared" si="109"/>
        <v>1.5</v>
      </c>
      <c r="AD217" s="54">
        <f t="shared" si="109"/>
        <v>1.5</v>
      </c>
      <c r="AF217" s="63">
        <f t="shared" si="84"/>
        <v>0</v>
      </c>
      <c r="AG217" s="64">
        <v>0</v>
      </c>
      <c r="AH217" s="64">
        <v>0</v>
      </c>
      <c r="AI217" s="65">
        <v>0</v>
      </c>
      <c r="AJ217" s="66"/>
      <c r="AK217" s="64"/>
      <c r="AL217" s="64"/>
      <c r="AM217" s="64"/>
      <c r="AN217" s="64"/>
      <c r="AO217" s="64"/>
      <c r="AP217" s="64"/>
      <c r="AQ217" s="64"/>
      <c r="AR217" s="64"/>
      <c r="AS217" s="70">
        <f t="shared" si="100"/>
        <v>27</v>
      </c>
      <c r="AT217" s="68"/>
      <c r="AU217" s="69">
        <v>45</v>
      </c>
      <c r="AV217" s="63">
        <f t="shared" si="110"/>
        <v>90</v>
      </c>
      <c r="AW217" s="54">
        <f t="shared" si="93"/>
        <v>7.5</v>
      </c>
      <c r="AX217" s="54">
        <f t="shared" si="93"/>
        <v>7.5</v>
      </c>
      <c r="AY217" s="54">
        <f t="shared" si="93"/>
        <v>7.5</v>
      </c>
      <c r="AZ217" s="54">
        <f t="shared" si="93"/>
        <v>7.5</v>
      </c>
      <c r="BA217" s="54">
        <f t="shared" si="93"/>
        <v>7.5</v>
      </c>
      <c r="BB217" s="54">
        <f t="shared" si="93"/>
        <v>7.5</v>
      </c>
      <c r="BC217" s="54">
        <f t="shared" si="89"/>
        <v>7.5</v>
      </c>
      <c r="BD217" s="54">
        <f t="shared" si="89"/>
        <v>7.5</v>
      </c>
      <c r="BE217" s="54">
        <f t="shared" si="89"/>
        <v>7.5</v>
      </c>
      <c r="BF217" s="54">
        <f t="shared" si="89"/>
        <v>7.5</v>
      </c>
      <c r="BG217" s="54">
        <f t="shared" si="89"/>
        <v>7.5</v>
      </c>
      <c r="BH217" s="54">
        <f t="shared" si="89"/>
        <v>7.5</v>
      </c>
      <c r="BI217" s="63">
        <f t="shared" si="106"/>
        <v>0</v>
      </c>
      <c r="BJ217" s="59">
        <f t="shared" si="112"/>
        <v>0</v>
      </c>
      <c r="BK217" s="59">
        <f t="shared" si="112"/>
        <v>0</v>
      </c>
      <c r="BL217" s="59">
        <f t="shared" si="112"/>
        <v>0</v>
      </c>
      <c r="BM217" s="59">
        <f t="shared" si="112"/>
        <v>0</v>
      </c>
      <c r="BN217" s="59">
        <f t="shared" si="112"/>
        <v>0</v>
      </c>
      <c r="BO217" s="59">
        <f t="shared" si="112"/>
        <v>0</v>
      </c>
      <c r="BP217" s="59">
        <f t="shared" si="112"/>
        <v>0</v>
      </c>
      <c r="BQ217" s="59">
        <f t="shared" si="112"/>
        <v>0</v>
      </c>
      <c r="BR217" s="59">
        <f t="shared" si="112"/>
        <v>0</v>
      </c>
      <c r="BS217" s="59">
        <f t="shared" si="112"/>
        <v>0</v>
      </c>
      <c r="BT217" s="59">
        <f t="shared" si="112"/>
        <v>0</v>
      </c>
      <c r="BU217" s="59">
        <f t="shared" si="112"/>
        <v>0</v>
      </c>
      <c r="BV217" s="70">
        <f t="shared" si="101"/>
        <v>135</v>
      </c>
      <c r="BX217" s="54">
        <f t="shared" si="91"/>
        <v>10.833333333333334</v>
      </c>
      <c r="BY217" s="54">
        <f t="shared" si="91"/>
        <v>10.833333333333334</v>
      </c>
      <c r="BZ217" s="54">
        <f t="shared" si="91"/>
        <v>10.833333333333334</v>
      </c>
      <c r="CA217" s="54">
        <f t="shared" si="91"/>
        <v>10.833333333333334</v>
      </c>
      <c r="CB217" s="54">
        <f t="shared" si="91"/>
        <v>10.833333333333334</v>
      </c>
      <c r="CC217" s="54">
        <f t="shared" si="91"/>
        <v>10.833333333333334</v>
      </c>
      <c r="CD217" s="54">
        <f t="shared" si="115"/>
        <v>10.833333333333334</v>
      </c>
      <c r="CE217" s="54">
        <f t="shared" si="115"/>
        <v>10.833333333333334</v>
      </c>
      <c r="CF217" s="54">
        <f t="shared" si="115"/>
        <v>10.833333333333334</v>
      </c>
      <c r="CG217" s="54">
        <f t="shared" si="85"/>
        <v>10.833333333333334</v>
      </c>
      <c r="CH217" s="54">
        <f t="shared" si="85"/>
        <v>10.833333333333334</v>
      </c>
      <c r="CI217" s="54">
        <f t="shared" si="85"/>
        <v>10.833333333333334</v>
      </c>
      <c r="CJ217" s="70">
        <f t="shared" ref="CJ217:CJ218" si="116">SUM(BX217:CI217)</f>
        <v>129.99999999999997</v>
      </c>
      <c r="CK217" s="59">
        <f t="shared" si="107"/>
        <v>18</v>
      </c>
      <c r="CL217" s="59">
        <f t="shared" si="108"/>
        <v>0</v>
      </c>
      <c r="CM217" s="71">
        <f t="shared" si="102"/>
        <v>130</v>
      </c>
      <c r="CN217" s="72"/>
      <c r="CO217" s="73"/>
    </row>
    <row r="218" spans="1:94" ht="20.25" customHeight="1">
      <c r="A218" s="75" t="s">
        <v>575</v>
      </c>
      <c r="B218" s="1" t="s">
        <v>576</v>
      </c>
      <c r="C218" s="58" t="s">
        <v>67</v>
      </c>
      <c r="D218" s="58">
        <f>+VLOOKUP(A218,'[1]BDD-Avk Tx'!B:CE,82,0)</f>
        <v>120</v>
      </c>
      <c r="E218" s="59">
        <v>130</v>
      </c>
      <c r="G218" s="60">
        <v>45119</v>
      </c>
      <c r="H218" s="60">
        <f t="shared" si="98"/>
        <v>45647</v>
      </c>
      <c r="I218" s="60" t="str">
        <f>+VLOOKUP(A218,'[1]BDD-Avk Tx'!B:BZ,77,0)</f>
        <v>CDD</v>
      </c>
      <c r="J218" s="60">
        <f t="shared" si="99"/>
        <v>45647</v>
      </c>
      <c r="N218" s="3"/>
      <c r="P218" s="54">
        <f t="shared" si="103"/>
        <v>2.4166666666666665</v>
      </c>
      <c r="Q218" s="61">
        <v>9</v>
      </c>
      <c r="R218" s="62">
        <f t="shared" si="104"/>
        <v>18</v>
      </c>
      <c r="S218" s="54">
        <f t="shared" si="111"/>
        <v>1.5</v>
      </c>
      <c r="T218" s="54">
        <f t="shared" si="109"/>
        <v>1.5</v>
      </c>
      <c r="U218" s="54">
        <f t="shared" si="109"/>
        <v>1.5</v>
      </c>
      <c r="V218" s="54">
        <f t="shared" si="109"/>
        <v>1.5</v>
      </c>
      <c r="W218" s="54">
        <f t="shared" si="109"/>
        <v>1.5</v>
      </c>
      <c r="X218" s="54">
        <f t="shared" si="109"/>
        <v>1.5</v>
      </c>
      <c r="Y218" s="54">
        <f t="shared" si="109"/>
        <v>1.5</v>
      </c>
      <c r="Z218" s="54">
        <f t="shared" si="109"/>
        <v>1.5</v>
      </c>
      <c r="AA218" s="54">
        <f t="shared" si="109"/>
        <v>1.5</v>
      </c>
      <c r="AB218" s="54">
        <f t="shared" si="109"/>
        <v>1.5</v>
      </c>
      <c r="AC218" s="54">
        <f t="shared" si="109"/>
        <v>1.5</v>
      </c>
      <c r="AD218" s="54">
        <f t="shared" si="109"/>
        <v>1.5</v>
      </c>
      <c r="AF218" s="63">
        <f t="shared" si="84"/>
        <v>5</v>
      </c>
      <c r="AG218" s="64">
        <v>0</v>
      </c>
      <c r="AH218" s="64">
        <v>0</v>
      </c>
      <c r="AI218" s="65">
        <v>5</v>
      </c>
      <c r="AJ218" s="66"/>
      <c r="AK218" s="64"/>
      <c r="AL218" s="64"/>
      <c r="AM218" s="64"/>
      <c r="AN218" s="64"/>
      <c r="AO218" s="64"/>
      <c r="AP218" s="64"/>
      <c r="AQ218" s="64"/>
      <c r="AR218" s="64"/>
      <c r="AS218" s="70">
        <f t="shared" si="100"/>
        <v>22</v>
      </c>
      <c r="AT218" s="68"/>
      <c r="AU218" s="69">
        <v>45</v>
      </c>
      <c r="AV218" s="63">
        <f t="shared" si="110"/>
        <v>90</v>
      </c>
      <c r="AW218" s="54">
        <f t="shared" si="93"/>
        <v>7.5</v>
      </c>
      <c r="AX218" s="54">
        <f t="shared" si="93"/>
        <v>7.5</v>
      </c>
      <c r="AY218" s="54">
        <f t="shared" si="93"/>
        <v>7.5</v>
      </c>
      <c r="AZ218" s="54">
        <f t="shared" si="93"/>
        <v>7.5</v>
      </c>
      <c r="BA218" s="54">
        <f t="shared" si="93"/>
        <v>7.5</v>
      </c>
      <c r="BB218" s="54">
        <f t="shared" si="93"/>
        <v>7.5</v>
      </c>
      <c r="BC218" s="54">
        <f t="shared" si="89"/>
        <v>7.5</v>
      </c>
      <c r="BD218" s="54">
        <f t="shared" si="89"/>
        <v>7.5</v>
      </c>
      <c r="BE218" s="54">
        <f t="shared" si="89"/>
        <v>7.5</v>
      </c>
      <c r="BF218" s="54">
        <f t="shared" si="89"/>
        <v>7.5</v>
      </c>
      <c r="BG218" s="54">
        <f t="shared" si="89"/>
        <v>7.5</v>
      </c>
      <c r="BH218" s="54">
        <f t="shared" si="89"/>
        <v>7.5</v>
      </c>
      <c r="BI218" s="63">
        <f t="shared" si="106"/>
        <v>-25</v>
      </c>
      <c r="BJ218" s="59">
        <f t="shared" si="112"/>
        <v>0</v>
      </c>
      <c r="BK218" s="59">
        <f t="shared" si="112"/>
        <v>0</v>
      </c>
      <c r="BL218" s="59">
        <f t="shared" si="112"/>
        <v>-25</v>
      </c>
      <c r="BM218" s="59">
        <f t="shared" si="112"/>
        <v>0</v>
      </c>
      <c r="BN218" s="59">
        <f t="shared" si="112"/>
        <v>0</v>
      </c>
      <c r="BO218" s="59">
        <f t="shared" si="112"/>
        <v>0</v>
      </c>
      <c r="BP218" s="59">
        <f t="shared" si="112"/>
        <v>0</v>
      </c>
      <c r="BQ218" s="59">
        <f t="shared" si="112"/>
        <v>0</v>
      </c>
      <c r="BR218" s="59">
        <f t="shared" si="112"/>
        <v>0</v>
      </c>
      <c r="BS218" s="59">
        <f t="shared" si="112"/>
        <v>0</v>
      </c>
      <c r="BT218" s="59">
        <f t="shared" si="112"/>
        <v>0</v>
      </c>
      <c r="BU218" s="59">
        <f t="shared" si="112"/>
        <v>0</v>
      </c>
      <c r="BV218" s="70">
        <f t="shared" si="101"/>
        <v>110</v>
      </c>
      <c r="BX218" s="54">
        <f t="shared" si="91"/>
        <v>10.833333333333334</v>
      </c>
      <c r="BY218" s="54">
        <f t="shared" si="91"/>
        <v>10.833333333333334</v>
      </c>
      <c r="BZ218" s="54">
        <f t="shared" si="91"/>
        <v>10.833333333333334</v>
      </c>
      <c r="CA218" s="54">
        <f t="shared" si="91"/>
        <v>10.833333333333334</v>
      </c>
      <c r="CB218" s="54">
        <f t="shared" si="91"/>
        <v>10.833333333333334</v>
      </c>
      <c r="CC218" s="54">
        <f t="shared" si="91"/>
        <v>10.833333333333334</v>
      </c>
      <c r="CD218" s="54">
        <f t="shared" si="115"/>
        <v>10.833333333333334</v>
      </c>
      <c r="CE218" s="54">
        <f t="shared" si="115"/>
        <v>10.833333333333334</v>
      </c>
      <c r="CF218" s="54">
        <f t="shared" si="115"/>
        <v>10.833333333333334</v>
      </c>
      <c r="CG218" s="54">
        <f t="shared" si="85"/>
        <v>10.833333333333334</v>
      </c>
      <c r="CH218" s="54">
        <f t="shared" si="85"/>
        <v>10.833333333333334</v>
      </c>
      <c r="CI218" s="54">
        <f t="shared" si="85"/>
        <v>10.833333333333334</v>
      </c>
      <c r="CJ218" s="70">
        <f t="shared" si="116"/>
        <v>129.99999999999997</v>
      </c>
      <c r="CK218" s="59">
        <f t="shared" si="107"/>
        <v>18</v>
      </c>
      <c r="CL218" s="59">
        <f t="shared" si="108"/>
        <v>0</v>
      </c>
      <c r="CM218" s="71">
        <f t="shared" si="102"/>
        <v>130</v>
      </c>
      <c r="CN218" s="54"/>
      <c r="CO218" s="73"/>
      <c r="CP218" s="56"/>
    </row>
    <row r="219" spans="1:94" ht="20.25" customHeight="1">
      <c r="A219" s="75" t="s">
        <v>577</v>
      </c>
      <c r="B219" s="1" t="s">
        <v>578</v>
      </c>
      <c r="C219" s="58" t="s">
        <v>579</v>
      </c>
      <c r="D219" s="58">
        <f>+VLOOKUP(A219,'[1]BDD-Avk Tx'!B:CE,82,0)</f>
        <v>216</v>
      </c>
      <c r="E219" s="59">
        <v>130</v>
      </c>
      <c r="G219" s="60">
        <v>45128</v>
      </c>
      <c r="H219" s="60">
        <f t="shared" si="98"/>
        <v>45647</v>
      </c>
      <c r="I219" s="60" t="str">
        <f>+VLOOKUP(A219,'[1]BDD-Avk Tx'!B:BZ,77,0)</f>
        <v>CDD</v>
      </c>
      <c r="J219" s="60">
        <f t="shared" si="99"/>
        <v>45647</v>
      </c>
      <c r="N219" s="3"/>
      <c r="P219" s="54">
        <f t="shared" si="103"/>
        <v>2.3333333333333335</v>
      </c>
      <c r="Q219" s="61">
        <v>11.5</v>
      </c>
      <c r="R219" s="62">
        <f t="shared" si="104"/>
        <v>18</v>
      </c>
      <c r="S219" s="54">
        <f t="shared" si="111"/>
        <v>1.5</v>
      </c>
      <c r="T219" s="54">
        <f t="shared" si="109"/>
        <v>1.5</v>
      </c>
      <c r="U219" s="54">
        <f t="shared" si="109"/>
        <v>1.5</v>
      </c>
      <c r="V219" s="54">
        <f t="shared" si="109"/>
        <v>1.5</v>
      </c>
      <c r="W219" s="54">
        <f t="shared" si="109"/>
        <v>1.5</v>
      </c>
      <c r="X219" s="54">
        <f t="shared" si="109"/>
        <v>1.5</v>
      </c>
      <c r="Y219" s="54">
        <f t="shared" si="109"/>
        <v>1.5</v>
      </c>
      <c r="Z219" s="54">
        <f t="shared" si="109"/>
        <v>1.5</v>
      </c>
      <c r="AA219" s="54">
        <f t="shared" si="109"/>
        <v>1.5</v>
      </c>
      <c r="AB219" s="54">
        <f t="shared" si="109"/>
        <v>1.5</v>
      </c>
      <c r="AC219" s="54">
        <f t="shared" si="109"/>
        <v>1.5</v>
      </c>
      <c r="AD219" s="54">
        <f t="shared" si="109"/>
        <v>1.5</v>
      </c>
      <c r="AF219" s="63">
        <f t="shared" si="84"/>
        <v>0</v>
      </c>
      <c r="AG219" s="64">
        <v>0</v>
      </c>
      <c r="AH219" s="64">
        <v>0</v>
      </c>
      <c r="AI219" s="65">
        <v>0</v>
      </c>
      <c r="AJ219" s="66"/>
      <c r="AK219" s="64"/>
      <c r="AL219" s="64"/>
      <c r="AM219" s="64"/>
      <c r="AN219" s="64"/>
      <c r="AO219" s="64"/>
      <c r="AP219" s="64"/>
      <c r="AQ219" s="64"/>
      <c r="AR219" s="64"/>
      <c r="AS219" s="70">
        <f t="shared" si="100"/>
        <v>29.5</v>
      </c>
      <c r="AT219" s="68"/>
      <c r="AU219" s="69">
        <v>57.5</v>
      </c>
      <c r="AV219" s="63">
        <f t="shared" si="110"/>
        <v>90</v>
      </c>
      <c r="AW219" s="54">
        <f t="shared" si="93"/>
        <v>7.5</v>
      </c>
      <c r="AX219" s="54">
        <f t="shared" si="93"/>
        <v>7.5</v>
      </c>
      <c r="AY219" s="54">
        <f t="shared" si="93"/>
        <v>7.5</v>
      </c>
      <c r="AZ219" s="54">
        <f t="shared" si="93"/>
        <v>7.5</v>
      </c>
      <c r="BA219" s="54">
        <f t="shared" si="93"/>
        <v>7.5</v>
      </c>
      <c r="BB219" s="54">
        <f t="shared" si="93"/>
        <v>7.5</v>
      </c>
      <c r="BC219" s="54">
        <f t="shared" si="89"/>
        <v>7.5</v>
      </c>
      <c r="BD219" s="54">
        <f t="shared" si="89"/>
        <v>7.5</v>
      </c>
      <c r="BE219" s="54">
        <f t="shared" si="89"/>
        <v>7.5</v>
      </c>
      <c r="BF219" s="54">
        <f t="shared" si="89"/>
        <v>7.5</v>
      </c>
      <c r="BG219" s="54">
        <f t="shared" si="89"/>
        <v>7.5</v>
      </c>
      <c r="BH219" s="54">
        <f t="shared" si="89"/>
        <v>7.5</v>
      </c>
      <c r="BI219" s="63">
        <f t="shared" ref="BI219:BI228" si="117">SUM(BJ219:BU219)</f>
        <v>0</v>
      </c>
      <c r="BJ219" s="59">
        <f t="shared" si="112"/>
        <v>0</v>
      </c>
      <c r="BK219" s="59">
        <f t="shared" si="112"/>
        <v>0</v>
      </c>
      <c r="BL219" s="59">
        <f t="shared" si="112"/>
        <v>0</v>
      </c>
      <c r="BM219" s="59">
        <f t="shared" si="112"/>
        <v>0</v>
      </c>
      <c r="BN219" s="59">
        <f t="shared" si="112"/>
        <v>0</v>
      </c>
      <c r="BO219" s="59">
        <f t="shared" si="112"/>
        <v>0</v>
      </c>
      <c r="BP219" s="59">
        <f t="shared" si="112"/>
        <v>0</v>
      </c>
      <c r="BQ219" s="59">
        <f t="shared" si="112"/>
        <v>0</v>
      </c>
      <c r="BR219" s="59">
        <f t="shared" si="112"/>
        <v>0</v>
      </c>
      <c r="BS219" s="59">
        <f t="shared" si="112"/>
        <v>0</v>
      </c>
      <c r="BT219" s="59">
        <f t="shared" si="112"/>
        <v>0</v>
      </c>
      <c r="BU219" s="59">
        <f t="shared" si="112"/>
        <v>0</v>
      </c>
      <c r="BV219" s="70">
        <f t="shared" si="101"/>
        <v>147.5</v>
      </c>
      <c r="BX219" s="54">
        <f t="shared" si="91"/>
        <v>10.833333333333334</v>
      </c>
      <c r="BY219" s="54">
        <f t="shared" si="91"/>
        <v>10.833333333333334</v>
      </c>
      <c r="BZ219" s="54">
        <f t="shared" si="91"/>
        <v>10.833333333333334</v>
      </c>
      <c r="CA219" s="54">
        <f t="shared" si="91"/>
        <v>10.833333333333334</v>
      </c>
      <c r="CB219" s="54">
        <f t="shared" si="91"/>
        <v>10.833333333333334</v>
      </c>
      <c r="CC219" s="54">
        <f t="shared" si="91"/>
        <v>10.833333333333334</v>
      </c>
      <c r="CD219" s="54">
        <f t="shared" si="115"/>
        <v>10.833333333333334</v>
      </c>
      <c r="CE219" s="54">
        <f t="shared" si="115"/>
        <v>10.833333333333334</v>
      </c>
      <c r="CF219" s="54">
        <f t="shared" si="115"/>
        <v>10.833333333333334</v>
      </c>
      <c r="CG219" s="54">
        <f t="shared" si="85"/>
        <v>10.833333333333334</v>
      </c>
      <c r="CH219" s="54">
        <f t="shared" si="85"/>
        <v>10.833333333333334</v>
      </c>
      <c r="CI219" s="54">
        <f t="shared" si="85"/>
        <v>10.833333333333334</v>
      </c>
      <c r="CJ219" s="70">
        <f t="shared" ref="CJ219:CJ228" si="118">SUM(BX219:CI219)</f>
        <v>129.99999999999997</v>
      </c>
      <c r="CK219" s="59">
        <f t="shared" si="107"/>
        <v>18</v>
      </c>
      <c r="CL219" s="59">
        <f t="shared" si="108"/>
        <v>0</v>
      </c>
      <c r="CM219" s="71">
        <f t="shared" si="102"/>
        <v>130</v>
      </c>
      <c r="CN219" s="54"/>
      <c r="CO219" s="73"/>
      <c r="CP219" s="56"/>
    </row>
    <row r="220" spans="1:94" ht="20.25" customHeight="1">
      <c r="A220" s="75" t="s">
        <v>580</v>
      </c>
      <c r="B220" s="1" t="s">
        <v>581</v>
      </c>
      <c r="C220" s="58" t="s">
        <v>582</v>
      </c>
      <c r="D220" s="58">
        <f>+VLOOKUP(A220,'[1]BDD-Avk Tx'!B:CE,82,0)</f>
        <v>281</v>
      </c>
      <c r="E220" s="59">
        <v>130</v>
      </c>
      <c r="G220" s="60">
        <v>45128</v>
      </c>
      <c r="H220" s="60">
        <f t="shared" si="98"/>
        <v>45647</v>
      </c>
      <c r="I220" s="60" t="str">
        <f>+VLOOKUP(A220,'[1]BDD-Avk Tx'!B:BZ,77,0)</f>
        <v>CDD</v>
      </c>
      <c r="J220" s="60">
        <f t="shared" si="99"/>
        <v>45647</v>
      </c>
      <c r="N220" s="3"/>
      <c r="P220" s="54">
        <f t="shared" si="103"/>
        <v>2.3333333333333335</v>
      </c>
      <c r="Q220" s="61">
        <v>4.5</v>
      </c>
      <c r="R220" s="62">
        <f t="shared" si="104"/>
        <v>18</v>
      </c>
      <c r="S220" s="54">
        <f t="shared" si="111"/>
        <v>1.5</v>
      </c>
      <c r="T220" s="54">
        <f t="shared" si="109"/>
        <v>1.5</v>
      </c>
      <c r="U220" s="54">
        <f t="shared" si="109"/>
        <v>1.5</v>
      </c>
      <c r="V220" s="54">
        <f t="shared" si="109"/>
        <v>1.5</v>
      </c>
      <c r="W220" s="54">
        <f t="shared" si="109"/>
        <v>1.5</v>
      </c>
      <c r="X220" s="54">
        <f t="shared" si="109"/>
        <v>1.5</v>
      </c>
      <c r="Y220" s="54">
        <f t="shared" si="109"/>
        <v>1.5</v>
      </c>
      <c r="Z220" s="54">
        <f t="shared" si="109"/>
        <v>1.5</v>
      </c>
      <c r="AA220" s="54">
        <f t="shared" si="109"/>
        <v>1.5</v>
      </c>
      <c r="AB220" s="54">
        <f t="shared" si="109"/>
        <v>1.5</v>
      </c>
      <c r="AC220" s="54">
        <f t="shared" si="109"/>
        <v>1.5</v>
      </c>
      <c r="AD220" s="54">
        <f t="shared" si="109"/>
        <v>1.5</v>
      </c>
      <c r="AF220" s="63">
        <f t="shared" si="84"/>
        <v>19</v>
      </c>
      <c r="AG220" s="64">
        <v>0</v>
      </c>
      <c r="AH220" s="64">
        <v>5</v>
      </c>
      <c r="AI220" s="65">
        <v>14</v>
      </c>
      <c r="AJ220" s="66"/>
      <c r="AK220" s="64"/>
      <c r="AL220" s="64"/>
      <c r="AM220" s="64"/>
      <c r="AN220" s="64"/>
      <c r="AO220" s="64"/>
      <c r="AP220" s="64"/>
      <c r="AQ220" s="64"/>
      <c r="AR220" s="64"/>
      <c r="AS220" s="70">
        <f t="shared" si="100"/>
        <v>3.5</v>
      </c>
      <c r="AT220" s="68"/>
      <c r="AU220" s="69">
        <v>22.5</v>
      </c>
      <c r="AV220" s="63">
        <f t="shared" si="110"/>
        <v>90</v>
      </c>
      <c r="AW220" s="54">
        <f t="shared" si="93"/>
        <v>7.5</v>
      </c>
      <c r="AX220" s="54">
        <f t="shared" si="93"/>
        <v>7.5</v>
      </c>
      <c r="AY220" s="54">
        <f t="shared" si="93"/>
        <v>7.5</v>
      </c>
      <c r="AZ220" s="54">
        <f t="shared" si="93"/>
        <v>7.5</v>
      </c>
      <c r="BA220" s="54">
        <f t="shared" si="93"/>
        <v>7.5</v>
      </c>
      <c r="BB220" s="54">
        <f t="shared" si="93"/>
        <v>7.5</v>
      </c>
      <c r="BC220" s="54">
        <f t="shared" si="89"/>
        <v>7.5</v>
      </c>
      <c r="BD220" s="54">
        <f t="shared" si="89"/>
        <v>7.5</v>
      </c>
      <c r="BE220" s="54">
        <f t="shared" si="89"/>
        <v>7.5</v>
      </c>
      <c r="BF220" s="54">
        <f t="shared" si="89"/>
        <v>7.5</v>
      </c>
      <c r="BG220" s="54">
        <f t="shared" si="89"/>
        <v>7.5</v>
      </c>
      <c r="BH220" s="54">
        <f t="shared" si="89"/>
        <v>7.5</v>
      </c>
      <c r="BI220" s="63">
        <f t="shared" si="117"/>
        <v>-95</v>
      </c>
      <c r="BJ220" s="59">
        <f t="shared" si="112"/>
        <v>0</v>
      </c>
      <c r="BK220" s="59">
        <f t="shared" si="112"/>
        <v>-25</v>
      </c>
      <c r="BL220" s="59">
        <f t="shared" si="112"/>
        <v>-70</v>
      </c>
      <c r="BM220" s="59">
        <f t="shared" si="112"/>
        <v>0</v>
      </c>
      <c r="BN220" s="59">
        <f t="shared" si="112"/>
        <v>0</v>
      </c>
      <c r="BO220" s="59">
        <f t="shared" si="112"/>
        <v>0</v>
      </c>
      <c r="BP220" s="59">
        <f t="shared" si="112"/>
        <v>0</v>
      </c>
      <c r="BQ220" s="59">
        <f t="shared" si="112"/>
        <v>0</v>
      </c>
      <c r="BR220" s="59">
        <f t="shared" si="112"/>
        <v>0</v>
      </c>
      <c r="BS220" s="59">
        <f t="shared" si="112"/>
        <v>0</v>
      </c>
      <c r="BT220" s="59">
        <f t="shared" si="112"/>
        <v>0</v>
      </c>
      <c r="BU220" s="59">
        <f t="shared" si="112"/>
        <v>0</v>
      </c>
      <c r="BV220" s="70">
        <f t="shared" si="101"/>
        <v>17.5</v>
      </c>
      <c r="BX220" s="54">
        <f t="shared" si="91"/>
        <v>10.833333333333334</v>
      </c>
      <c r="BY220" s="54">
        <f t="shared" si="91"/>
        <v>10.833333333333334</v>
      </c>
      <c r="BZ220" s="54">
        <f t="shared" si="91"/>
        <v>10.833333333333334</v>
      </c>
      <c r="CA220" s="54">
        <f t="shared" si="91"/>
        <v>10.833333333333334</v>
      </c>
      <c r="CB220" s="54">
        <f t="shared" si="91"/>
        <v>10.833333333333334</v>
      </c>
      <c r="CC220" s="54">
        <f t="shared" si="91"/>
        <v>10.833333333333334</v>
      </c>
      <c r="CD220" s="54">
        <f t="shared" si="115"/>
        <v>10.833333333333334</v>
      </c>
      <c r="CE220" s="54">
        <f t="shared" si="115"/>
        <v>10.833333333333334</v>
      </c>
      <c r="CF220" s="54">
        <f t="shared" si="115"/>
        <v>10.833333333333334</v>
      </c>
      <c r="CG220" s="54">
        <f t="shared" si="85"/>
        <v>10.833333333333334</v>
      </c>
      <c r="CH220" s="54">
        <f t="shared" si="85"/>
        <v>10.833333333333334</v>
      </c>
      <c r="CI220" s="54">
        <f t="shared" si="85"/>
        <v>10.833333333333334</v>
      </c>
      <c r="CJ220" s="70">
        <f t="shared" si="118"/>
        <v>129.99999999999997</v>
      </c>
      <c r="CK220" s="59">
        <f t="shared" si="107"/>
        <v>18</v>
      </c>
      <c r="CL220" s="59">
        <f t="shared" si="108"/>
        <v>0</v>
      </c>
      <c r="CM220" s="71">
        <f t="shared" si="102"/>
        <v>130</v>
      </c>
      <c r="CN220" s="72"/>
      <c r="CO220" s="73"/>
    </row>
    <row r="221" spans="1:94" ht="20.25" customHeight="1">
      <c r="A221" s="75" t="s">
        <v>583</v>
      </c>
      <c r="B221" s="1" t="s">
        <v>584</v>
      </c>
      <c r="C221" s="58" t="s">
        <v>585</v>
      </c>
      <c r="D221" s="58">
        <f>+VLOOKUP(A221,'[1]BDD-Avk Tx'!B:CE,82,0)</f>
        <v>120</v>
      </c>
      <c r="E221" s="59">
        <v>130</v>
      </c>
      <c r="G221" s="60">
        <v>45128</v>
      </c>
      <c r="H221" s="60">
        <f t="shared" si="98"/>
        <v>45647</v>
      </c>
      <c r="I221" s="60" t="str">
        <f>+VLOOKUP(A221,'[1]BDD-Avk Tx'!B:BZ,77,0)</f>
        <v>CDD</v>
      </c>
      <c r="J221" s="60">
        <f t="shared" si="99"/>
        <v>45647</v>
      </c>
      <c r="N221" s="3"/>
      <c r="P221" s="54">
        <f t="shared" si="103"/>
        <v>2.3333333333333335</v>
      </c>
      <c r="Q221" s="61">
        <v>0.5</v>
      </c>
      <c r="R221" s="62">
        <f t="shared" si="104"/>
        <v>18</v>
      </c>
      <c r="S221" s="54">
        <f t="shared" si="111"/>
        <v>1.5</v>
      </c>
      <c r="T221" s="54">
        <f t="shared" si="109"/>
        <v>1.5</v>
      </c>
      <c r="U221" s="54">
        <f t="shared" si="109"/>
        <v>1.5</v>
      </c>
      <c r="V221" s="54">
        <f t="shared" si="109"/>
        <v>1.5</v>
      </c>
      <c r="W221" s="54">
        <f t="shared" si="109"/>
        <v>1.5</v>
      </c>
      <c r="X221" s="54">
        <f t="shared" si="109"/>
        <v>1.5</v>
      </c>
      <c r="Y221" s="54">
        <f t="shared" si="109"/>
        <v>1.5</v>
      </c>
      <c r="Z221" s="54">
        <f t="shared" si="109"/>
        <v>1.5</v>
      </c>
      <c r="AA221" s="54">
        <f t="shared" si="109"/>
        <v>1.5</v>
      </c>
      <c r="AB221" s="54">
        <f t="shared" si="109"/>
        <v>1.5</v>
      </c>
      <c r="AC221" s="54">
        <f t="shared" si="109"/>
        <v>1.5</v>
      </c>
      <c r="AD221" s="54">
        <f t="shared" si="109"/>
        <v>1.5</v>
      </c>
      <c r="AF221" s="63">
        <f t="shared" si="84"/>
        <v>0</v>
      </c>
      <c r="AG221" s="64">
        <v>0</v>
      </c>
      <c r="AH221" s="64">
        <v>0</v>
      </c>
      <c r="AI221" s="65">
        <v>0</v>
      </c>
      <c r="AJ221" s="66"/>
      <c r="AK221" s="64"/>
      <c r="AL221" s="64"/>
      <c r="AM221" s="64"/>
      <c r="AN221" s="64"/>
      <c r="AO221" s="64"/>
      <c r="AP221" s="64"/>
      <c r="AQ221" s="64"/>
      <c r="AR221" s="64"/>
      <c r="AS221" s="70">
        <f t="shared" si="100"/>
        <v>18.5</v>
      </c>
      <c r="AT221" s="68"/>
      <c r="AU221" s="69">
        <v>2.5</v>
      </c>
      <c r="AV221" s="63">
        <f t="shared" si="110"/>
        <v>90</v>
      </c>
      <c r="AW221" s="54">
        <f t="shared" si="93"/>
        <v>7.5</v>
      </c>
      <c r="AX221" s="54">
        <f t="shared" si="93"/>
        <v>7.5</v>
      </c>
      <c r="AY221" s="54">
        <f t="shared" si="93"/>
        <v>7.5</v>
      </c>
      <c r="AZ221" s="54">
        <f t="shared" si="93"/>
        <v>7.5</v>
      </c>
      <c r="BA221" s="54">
        <f t="shared" si="93"/>
        <v>7.5</v>
      </c>
      <c r="BB221" s="54">
        <f t="shared" si="93"/>
        <v>7.5</v>
      </c>
      <c r="BC221" s="54">
        <f t="shared" si="89"/>
        <v>7.5</v>
      </c>
      <c r="BD221" s="54">
        <f t="shared" si="89"/>
        <v>7.5</v>
      </c>
      <c r="BE221" s="54">
        <f t="shared" si="89"/>
        <v>7.5</v>
      </c>
      <c r="BF221" s="54">
        <f t="shared" si="89"/>
        <v>7.5</v>
      </c>
      <c r="BG221" s="54">
        <f t="shared" si="89"/>
        <v>7.5</v>
      </c>
      <c r="BH221" s="54">
        <f t="shared" si="89"/>
        <v>7.5</v>
      </c>
      <c r="BI221" s="63">
        <f t="shared" si="117"/>
        <v>0</v>
      </c>
      <c r="BJ221" s="59">
        <f t="shared" si="112"/>
        <v>0</v>
      </c>
      <c r="BK221" s="59">
        <f t="shared" si="112"/>
        <v>0</v>
      </c>
      <c r="BL221" s="59">
        <f t="shared" si="112"/>
        <v>0</v>
      </c>
      <c r="BM221" s="59">
        <f t="shared" si="112"/>
        <v>0</v>
      </c>
      <c r="BN221" s="59">
        <f t="shared" si="112"/>
        <v>0</v>
      </c>
      <c r="BO221" s="59">
        <f t="shared" si="112"/>
        <v>0</v>
      </c>
      <c r="BP221" s="59">
        <f t="shared" si="112"/>
        <v>0</v>
      </c>
      <c r="BQ221" s="59">
        <f t="shared" si="112"/>
        <v>0</v>
      </c>
      <c r="BR221" s="59">
        <f t="shared" si="112"/>
        <v>0</v>
      </c>
      <c r="BS221" s="59">
        <f t="shared" si="112"/>
        <v>0</v>
      </c>
      <c r="BT221" s="59">
        <f t="shared" si="112"/>
        <v>0</v>
      </c>
      <c r="BU221" s="59">
        <f t="shared" si="112"/>
        <v>0</v>
      </c>
      <c r="BV221" s="70">
        <f t="shared" si="101"/>
        <v>92.5</v>
      </c>
      <c r="BX221" s="54">
        <f t="shared" si="91"/>
        <v>10.833333333333334</v>
      </c>
      <c r="BY221" s="54">
        <f t="shared" si="91"/>
        <v>10.833333333333334</v>
      </c>
      <c r="BZ221" s="54">
        <f t="shared" si="91"/>
        <v>10.833333333333334</v>
      </c>
      <c r="CA221" s="54">
        <f t="shared" si="91"/>
        <v>10.833333333333334</v>
      </c>
      <c r="CB221" s="54">
        <f t="shared" si="91"/>
        <v>10.833333333333334</v>
      </c>
      <c r="CC221" s="54">
        <f t="shared" si="91"/>
        <v>10.833333333333334</v>
      </c>
      <c r="CD221" s="54">
        <f t="shared" si="115"/>
        <v>10.833333333333334</v>
      </c>
      <c r="CE221" s="54">
        <f t="shared" si="115"/>
        <v>10.833333333333334</v>
      </c>
      <c r="CF221" s="54">
        <f t="shared" si="115"/>
        <v>10.833333333333334</v>
      </c>
      <c r="CG221" s="54">
        <f t="shared" si="115"/>
        <v>10.833333333333334</v>
      </c>
      <c r="CH221" s="54">
        <f t="shared" si="115"/>
        <v>10.833333333333334</v>
      </c>
      <c r="CI221" s="54">
        <f t="shared" si="115"/>
        <v>10.833333333333334</v>
      </c>
      <c r="CJ221" s="70">
        <f t="shared" si="118"/>
        <v>129.99999999999997</v>
      </c>
      <c r="CK221" s="59">
        <f t="shared" si="107"/>
        <v>18</v>
      </c>
      <c r="CL221" s="59">
        <f t="shared" si="108"/>
        <v>0</v>
      </c>
      <c r="CM221" s="71">
        <f t="shared" si="102"/>
        <v>130</v>
      </c>
      <c r="CN221" s="54"/>
      <c r="CO221" s="73"/>
      <c r="CP221" s="56"/>
    </row>
    <row r="222" spans="1:94" ht="20.25" customHeight="1">
      <c r="A222" s="75" t="s">
        <v>586</v>
      </c>
      <c r="B222" s="1" t="s">
        <v>587</v>
      </c>
      <c r="C222" s="58" t="s">
        <v>588</v>
      </c>
      <c r="D222" s="58">
        <f>+VLOOKUP(A222,'[1]BDD-Avk Tx'!B:CE,82,0)</f>
        <v>120</v>
      </c>
      <c r="E222" s="59">
        <v>130</v>
      </c>
      <c r="G222" s="60">
        <v>45128</v>
      </c>
      <c r="H222" s="60">
        <f t="shared" si="98"/>
        <v>45647</v>
      </c>
      <c r="I222" s="60" t="str">
        <f>+VLOOKUP(A222,'[1]BDD-Avk Tx'!B:BZ,77,0)</f>
        <v>CDD</v>
      </c>
      <c r="J222" s="60">
        <f t="shared" si="99"/>
        <v>45647</v>
      </c>
      <c r="N222" s="3"/>
      <c r="P222" s="54">
        <f t="shared" si="103"/>
        <v>2.3333333333333335</v>
      </c>
      <c r="Q222" s="61">
        <v>7.5</v>
      </c>
      <c r="R222" s="62">
        <f t="shared" si="104"/>
        <v>18</v>
      </c>
      <c r="S222" s="54">
        <f t="shared" si="111"/>
        <v>1.5</v>
      </c>
      <c r="T222" s="54">
        <f t="shared" si="109"/>
        <v>1.5</v>
      </c>
      <c r="U222" s="54">
        <f t="shared" si="109"/>
        <v>1.5</v>
      </c>
      <c r="V222" s="54">
        <f t="shared" si="109"/>
        <v>1.5</v>
      </c>
      <c r="W222" s="54">
        <f t="shared" si="109"/>
        <v>1.5</v>
      </c>
      <c r="X222" s="54">
        <f t="shared" si="109"/>
        <v>1.5</v>
      </c>
      <c r="Y222" s="54">
        <f t="shared" si="109"/>
        <v>1.5</v>
      </c>
      <c r="Z222" s="54">
        <f t="shared" si="109"/>
        <v>1.5</v>
      </c>
      <c r="AA222" s="54">
        <f t="shared" si="109"/>
        <v>1.5</v>
      </c>
      <c r="AB222" s="54">
        <f t="shared" si="109"/>
        <v>1.5</v>
      </c>
      <c r="AC222" s="54">
        <f t="shared" si="109"/>
        <v>1.5</v>
      </c>
      <c r="AD222" s="54">
        <f t="shared" si="109"/>
        <v>1.5</v>
      </c>
      <c r="AF222" s="63">
        <f t="shared" si="84"/>
        <v>0</v>
      </c>
      <c r="AG222" s="64">
        <v>0</v>
      </c>
      <c r="AH222" s="64">
        <v>0</v>
      </c>
      <c r="AI222" s="65">
        <v>0</v>
      </c>
      <c r="AJ222" s="66"/>
      <c r="AK222" s="64"/>
      <c r="AL222" s="64"/>
      <c r="AM222" s="64"/>
      <c r="AN222" s="64"/>
      <c r="AO222" s="64"/>
      <c r="AP222" s="64"/>
      <c r="AQ222" s="64"/>
      <c r="AR222" s="64"/>
      <c r="AS222" s="70">
        <f t="shared" si="100"/>
        <v>25.5</v>
      </c>
      <c r="AT222" s="68"/>
      <c r="AU222" s="69">
        <v>37.5</v>
      </c>
      <c r="AV222" s="63">
        <f t="shared" si="110"/>
        <v>90</v>
      </c>
      <c r="AW222" s="54">
        <f t="shared" si="93"/>
        <v>7.5</v>
      </c>
      <c r="AX222" s="54">
        <f t="shared" si="93"/>
        <v>7.5</v>
      </c>
      <c r="AY222" s="54">
        <f t="shared" si="93"/>
        <v>7.5</v>
      </c>
      <c r="AZ222" s="54">
        <f t="shared" si="93"/>
        <v>7.5</v>
      </c>
      <c r="BA222" s="54">
        <f t="shared" si="93"/>
        <v>7.5</v>
      </c>
      <c r="BB222" s="54">
        <f t="shared" si="93"/>
        <v>7.5</v>
      </c>
      <c r="BC222" s="54">
        <f t="shared" si="89"/>
        <v>7.5</v>
      </c>
      <c r="BD222" s="54">
        <f t="shared" si="89"/>
        <v>7.5</v>
      </c>
      <c r="BE222" s="54">
        <f t="shared" si="89"/>
        <v>7.5</v>
      </c>
      <c r="BF222" s="54">
        <f t="shared" si="89"/>
        <v>7.5</v>
      </c>
      <c r="BG222" s="54">
        <f t="shared" si="89"/>
        <v>7.5</v>
      </c>
      <c r="BH222" s="54">
        <f t="shared" si="89"/>
        <v>7.5</v>
      </c>
      <c r="BI222" s="63">
        <f t="shared" si="117"/>
        <v>0</v>
      </c>
      <c r="BJ222" s="59">
        <f t="shared" si="112"/>
        <v>0</v>
      </c>
      <c r="BK222" s="59">
        <f t="shared" si="112"/>
        <v>0</v>
      </c>
      <c r="BL222" s="59">
        <f t="shared" si="112"/>
        <v>0</v>
      </c>
      <c r="BM222" s="59">
        <f t="shared" si="112"/>
        <v>0</v>
      </c>
      <c r="BN222" s="59">
        <f t="shared" si="112"/>
        <v>0</v>
      </c>
      <c r="BO222" s="59">
        <f t="shared" si="112"/>
        <v>0</v>
      </c>
      <c r="BP222" s="59">
        <f t="shared" si="112"/>
        <v>0</v>
      </c>
      <c r="BQ222" s="59">
        <f t="shared" si="112"/>
        <v>0</v>
      </c>
      <c r="BR222" s="59">
        <f t="shared" si="112"/>
        <v>0</v>
      </c>
      <c r="BS222" s="59">
        <f t="shared" si="112"/>
        <v>0</v>
      </c>
      <c r="BT222" s="59">
        <f t="shared" si="112"/>
        <v>0</v>
      </c>
      <c r="BU222" s="59">
        <f t="shared" si="112"/>
        <v>0</v>
      </c>
      <c r="BV222" s="70">
        <f t="shared" si="101"/>
        <v>127.5</v>
      </c>
      <c r="BX222" s="54">
        <f t="shared" si="91"/>
        <v>10.833333333333334</v>
      </c>
      <c r="BY222" s="54">
        <f t="shared" si="91"/>
        <v>10.833333333333334</v>
      </c>
      <c r="BZ222" s="54">
        <f t="shared" si="91"/>
        <v>10.833333333333334</v>
      </c>
      <c r="CA222" s="54">
        <f t="shared" si="91"/>
        <v>10.833333333333334</v>
      </c>
      <c r="CB222" s="54">
        <f t="shared" si="91"/>
        <v>10.833333333333334</v>
      </c>
      <c r="CC222" s="54">
        <f t="shared" si="91"/>
        <v>10.833333333333334</v>
      </c>
      <c r="CD222" s="54">
        <f t="shared" si="115"/>
        <v>10.833333333333334</v>
      </c>
      <c r="CE222" s="54">
        <f t="shared" si="115"/>
        <v>10.833333333333334</v>
      </c>
      <c r="CF222" s="54">
        <f t="shared" si="115"/>
        <v>10.833333333333334</v>
      </c>
      <c r="CG222" s="54">
        <f t="shared" si="115"/>
        <v>10.833333333333334</v>
      </c>
      <c r="CH222" s="54">
        <f t="shared" si="115"/>
        <v>10.833333333333334</v>
      </c>
      <c r="CI222" s="54">
        <f t="shared" si="115"/>
        <v>10.833333333333334</v>
      </c>
      <c r="CJ222" s="70">
        <f t="shared" si="118"/>
        <v>129.99999999999997</v>
      </c>
      <c r="CK222" s="59">
        <f t="shared" si="107"/>
        <v>18</v>
      </c>
      <c r="CL222" s="59">
        <f t="shared" si="108"/>
        <v>0</v>
      </c>
      <c r="CM222" s="71">
        <f t="shared" si="102"/>
        <v>130</v>
      </c>
      <c r="CN222" s="72"/>
      <c r="CO222" s="73"/>
    </row>
    <row r="223" spans="1:94" ht="20.25" customHeight="1">
      <c r="A223" s="75" t="s">
        <v>589</v>
      </c>
      <c r="B223" s="1" t="s">
        <v>590</v>
      </c>
      <c r="C223" s="58" t="s">
        <v>588</v>
      </c>
      <c r="D223" s="58">
        <f>+VLOOKUP(A223,'[1]BDD-Avk Tx'!B:CE,82,0)</f>
        <v>120</v>
      </c>
      <c r="E223" s="59">
        <v>130</v>
      </c>
      <c r="G223" s="60">
        <v>45128</v>
      </c>
      <c r="H223" s="60">
        <f t="shared" si="98"/>
        <v>45647</v>
      </c>
      <c r="I223" s="60" t="str">
        <f>+VLOOKUP(A223,'[1]BDD-Avk Tx'!B:BZ,77,0)</f>
        <v>CDD</v>
      </c>
      <c r="J223" s="60">
        <f t="shared" si="99"/>
        <v>45647</v>
      </c>
      <c r="N223" s="3"/>
      <c r="P223" s="54">
        <f t="shared" si="103"/>
        <v>2.3333333333333335</v>
      </c>
      <c r="Q223" s="61">
        <v>5.5000000000000036</v>
      </c>
      <c r="R223" s="62">
        <f t="shared" si="104"/>
        <v>18</v>
      </c>
      <c r="S223" s="54">
        <f t="shared" si="111"/>
        <v>1.5</v>
      </c>
      <c r="T223" s="54">
        <f t="shared" si="109"/>
        <v>1.5</v>
      </c>
      <c r="U223" s="54">
        <f t="shared" si="109"/>
        <v>1.5</v>
      </c>
      <c r="V223" s="54">
        <f t="shared" si="109"/>
        <v>1.5</v>
      </c>
      <c r="W223" s="54">
        <f t="shared" si="109"/>
        <v>1.5</v>
      </c>
      <c r="X223" s="54">
        <f t="shared" si="109"/>
        <v>1.5</v>
      </c>
      <c r="Y223" s="54">
        <f t="shared" si="109"/>
        <v>1.5</v>
      </c>
      <c r="Z223" s="54">
        <f t="shared" si="109"/>
        <v>1.5</v>
      </c>
      <c r="AA223" s="54">
        <f t="shared" si="109"/>
        <v>1.5</v>
      </c>
      <c r="AB223" s="54">
        <f t="shared" si="109"/>
        <v>1.5</v>
      </c>
      <c r="AC223" s="54">
        <f t="shared" si="109"/>
        <v>1.5</v>
      </c>
      <c r="AD223" s="54">
        <f t="shared" si="109"/>
        <v>1.5</v>
      </c>
      <c r="AF223" s="63">
        <f t="shared" si="84"/>
        <v>0</v>
      </c>
      <c r="AG223" s="64">
        <v>0</v>
      </c>
      <c r="AH223" s="64">
        <v>0</v>
      </c>
      <c r="AI223" s="65">
        <v>0</v>
      </c>
      <c r="AJ223" s="66"/>
      <c r="AK223" s="64"/>
      <c r="AL223" s="64"/>
      <c r="AM223" s="64"/>
      <c r="AN223" s="64"/>
      <c r="AO223" s="64"/>
      <c r="AP223" s="64"/>
      <c r="AQ223" s="64"/>
      <c r="AR223" s="64"/>
      <c r="AS223" s="70">
        <f t="shared" si="100"/>
        <v>23.500000000000004</v>
      </c>
      <c r="AT223" s="68"/>
      <c r="AU223" s="69">
        <v>27.5</v>
      </c>
      <c r="AV223" s="63">
        <f t="shared" si="110"/>
        <v>90</v>
      </c>
      <c r="AW223" s="54">
        <f t="shared" si="93"/>
        <v>7.5</v>
      </c>
      <c r="AX223" s="54">
        <f t="shared" si="93"/>
        <v>7.5</v>
      </c>
      <c r="AY223" s="54">
        <f t="shared" si="93"/>
        <v>7.5</v>
      </c>
      <c r="AZ223" s="54">
        <f t="shared" si="93"/>
        <v>7.5</v>
      </c>
      <c r="BA223" s="54">
        <f t="shared" si="93"/>
        <v>7.5</v>
      </c>
      <c r="BB223" s="54">
        <f t="shared" si="93"/>
        <v>7.5</v>
      </c>
      <c r="BC223" s="54">
        <f t="shared" si="89"/>
        <v>7.5</v>
      </c>
      <c r="BD223" s="54">
        <f t="shared" si="89"/>
        <v>7.5</v>
      </c>
      <c r="BE223" s="54">
        <f t="shared" si="89"/>
        <v>7.5</v>
      </c>
      <c r="BF223" s="54">
        <f t="shared" si="89"/>
        <v>7.5</v>
      </c>
      <c r="BG223" s="54">
        <f t="shared" si="89"/>
        <v>7.5</v>
      </c>
      <c r="BH223" s="54">
        <f t="shared" si="89"/>
        <v>7.5</v>
      </c>
      <c r="BI223" s="63">
        <f t="shared" si="117"/>
        <v>0</v>
      </c>
      <c r="BJ223" s="59">
        <f t="shared" si="112"/>
        <v>0</v>
      </c>
      <c r="BK223" s="59">
        <f t="shared" si="112"/>
        <v>0</v>
      </c>
      <c r="BL223" s="59">
        <f t="shared" si="112"/>
        <v>0</v>
      </c>
      <c r="BM223" s="59">
        <f t="shared" si="112"/>
        <v>0</v>
      </c>
      <c r="BN223" s="59">
        <f t="shared" si="112"/>
        <v>0</v>
      </c>
      <c r="BO223" s="59">
        <f t="shared" si="112"/>
        <v>0</v>
      </c>
      <c r="BP223" s="59">
        <f t="shared" si="112"/>
        <v>0</v>
      </c>
      <c r="BQ223" s="59">
        <f t="shared" si="112"/>
        <v>0</v>
      </c>
      <c r="BR223" s="59">
        <f t="shared" si="112"/>
        <v>0</v>
      </c>
      <c r="BS223" s="59">
        <f t="shared" si="112"/>
        <v>0</v>
      </c>
      <c r="BT223" s="59">
        <f t="shared" si="112"/>
        <v>0</v>
      </c>
      <c r="BU223" s="59">
        <f t="shared" si="112"/>
        <v>0</v>
      </c>
      <c r="BV223" s="70">
        <f t="shared" si="101"/>
        <v>117.5</v>
      </c>
      <c r="BX223" s="54">
        <f t="shared" si="91"/>
        <v>10.833333333333334</v>
      </c>
      <c r="BY223" s="54">
        <f t="shared" si="91"/>
        <v>10.833333333333334</v>
      </c>
      <c r="BZ223" s="54">
        <f t="shared" si="91"/>
        <v>10.833333333333334</v>
      </c>
      <c r="CA223" s="54">
        <f t="shared" si="91"/>
        <v>10.833333333333334</v>
      </c>
      <c r="CB223" s="54">
        <f t="shared" si="91"/>
        <v>10.833333333333334</v>
      </c>
      <c r="CC223" s="54">
        <f t="shared" si="91"/>
        <v>10.833333333333334</v>
      </c>
      <c r="CD223" s="54">
        <f t="shared" si="115"/>
        <v>10.833333333333334</v>
      </c>
      <c r="CE223" s="54">
        <f t="shared" si="115"/>
        <v>10.833333333333334</v>
      </c>
      <c r="CF223" s="54">
        <f t="shared" si="115"/>
        <v>10.833333333333334</v>
      </c>
      <c r="CG223" s="54">
        <f t="shared" si="115"/>
        <v>10.833333333333334</v>
      </c>
      <c r="CH223" s="54">
        <f t="shared" si="115"/>
        <v>10.833333333333334</v>
      </c>
      <c r="CI223" s="54">
        <f t="shared" si="115"/>
        <v>10.833333333333334</v>
      </c>
      <c r="CJ223" s="70">
        <f t="shared" si="118"/>
        <v>129.99999999999997</v>
      </c>
      <c r="CK223" s="59">
        <f t="shared" si="107"/>
        <v>18</v>
      </c>
      <c r="CL223" s="59">
        <f t="shared" si="108"/>
        <v>0</v>
      </c>
      <c r="CM223" s="71">
        <f t="shared" si="102"/>
        <v>130</v>
      </c>
      <c r="CN223" s="54"/>
      <c r="CO223" s="73"/>
      <c r="CP223" s="56"/>
    </row>
    <row r="224" spans="1:94" ht="20.25" customHeight="1">
      <c r="A224" s="75" t="s">
        <v>591</v>
      </c>
      <c r="B224" s="1" t="s">
        <v>592</v>
      </c>
      <c r="C224" s="58" t="s">
        <v>121</v>
      </c>
      <c r="D224" s="58">
        <f>+VLOOKUP(A224,'[1]BDD-Avk Tx'!B:CE,82,0)</f>
        <v>160</v>
      </c>
      <c r="E224" s="59">
        <v>130</v>
      </c>
      <c r="G224" s="60">
        <v>45140</v>
      </c>
      <c r="H224" s="60">
        <f t="shared" si="98"/>
        <v>45647</v>
      </c>
      <c r="I224" s="60" t="str">
        <f>+VLOOKUP(A224,'[1]BDD-Avk Tx'!B:BZ,77,0)</f>
        <v>CDD</v>
      </c>
      <c r="J224" s="60">
        <f t="shared" si="99"/>
        <v>45647</v>
      </c>
      <c r="N224" s="3"/>
      <c r="P224" s="54">
        <f t="shared" si="103"/>
        <v>2.3333333333333335</v>
      </c>
      <c r="Q224" s="61">
        <v>0</v>
      </c>
      <c r="R224" s="62">
        <f t="shared" si="104"/>
        <v>18</v>
      </c>
      <c r="S224" s="54">
        <f t="shared" si="111"/>
        <v>1.5</v>
      </c>
      <c r="T224" s="54">
        <f t="shared" si="109"/>
        <v>1.5</v>
      </c>
      <c r="U224" s="54">
        <f t="shared" si="109"/>
        <v>1.5</v>
      </c>
      <c r="V224" s="54">
        <f t="shared" si="109"/>
        <v>1.5</v>
      </c>
      <c r="W224" s="54">
        <f t="shared" si="109"/>
        <v>1.5</v>
      </c>
      <c r="X224" s="54">
        <f t="shared" si="109"/>
        <v>1.5</v>
      </c>
      <c r="Y224" s="54">
        <f t="shared" si="109"/>
        <v>1.5</v>
      </c>
      <c r="Z224" s="54">
        <f t="shared" si="109"/>
        <v>1.5</v>
      </c>
      <c r="AA224" s="54">
        <f t="shared" si="109"/>
        <v>1.5</v>
      </c>
      <c r="AB224" s="54">
        <f t="shared" si="109"/>
        <v>1.5</v>
      </c>
      <c r="AC224" s="54">
        <f t="shared" si="109"/>
        <v>1.5</v>
      </c>
      <c r="AD224" s="54">
        <f t="shared" si="109"/>
        <v>1.5</v>
      </c>
      <c r="AF224" s="63">
        <f t="shared" si="84"/>
        <v>0</v>
      </c>
      <c r="AG224" s="64">
        <v>0</v>
      </c>
      <c r="AH224" s="64">
        <v>0</v>
      </c>
      <c r="AI224" s="65">
        <v>0</v>
      </c>
      <c r="AJ224" s="66"/>
      <c r="AK224" s="64"/>
      <c r="AL224" s="64"/>
      <c r="AM224" s="64"/>
      <c r="AN224" s="64"/>
      <c r="AO224" s="64"/>
      <c r="AP224" s="64"/>
      <c r="AQ224" s="64"/>
      <c r="AR224" s="64"/>
      <c r="AS224" s="70">
        <f t="shared" si="100"/>
        <v>18</v>
      </c>
      <c r="AT224" s="68"/>
      <c r="AU224" s="69">
        <v>0</v>
      </c>
      <c r="AV224" s="63">
        <f t="shared" si="110"/>
        <v>90</v>
      </c>
      <c r="AW224" s="54">
        <f t="shared" si="93"/>
        <v>7.5</v>
      </c>
      <c r="AX224" s="54">
        <f t="shared" si="93"/>
        <v>7.5</v>
      </c>
      <c r="AY224" s="54">
        <f t="shared" si="93"/>
        <v>7.5</v>
      </c>
      <c r="AZ224" s="54">
        <f t="shared" si="93"/>
        <v>7.5</v>
      </c>
      <c r="BA224" s="54">
        <f t="shared" si="93"/>
        <v>7.5</v>
      </c>
      <c r="BB224" s="54">
        <f t="shared" si="93"/>
        <v>7.5</v>
      </c>
      <c r="BC224" s="54">
        <f t="shared" si="89"/>
        <v>7.5</v>
      </c>
      <c r="BD224" s="54">
        <f t="shared" si="89"/>
        <v>7.5</v>
      </c>
      <c r="BE224" s="54">
        <f t="shared" si="89"/>
        <v>7.5</v>
      </c>
      <c r="BF224" s="54">
        <f t="shared" si="89"/>
        <v>7.5</v>
      </c>
      <c r="BG224" s="54">
        <f t="shared" si="89"/>
        <v>7.5</v>
      </c>
      <c r="BH224" s="54">
        <f t="shared" si="89"/>
        <v>7.5</v>
      </c>
      <c r="BI224" s="63">
        <f t="shared" si="117"/>
        <v>0</v>
      </c>
      <c r="BJ224" s="59">
        <f t="shared" si="112"/>
        <v>0</v>
      </c>
      <c r="BK224" s="59">
        <f t="shared" si="112"/>
        <v>0</v>
      </c>
      <c r="BL224" s="59">
        <f t="shared" si="112"/>
        <v>0</v>
      </c>
      <c r="BM224" s="59">
        <f t="shared" si="112"/>
        <v>0</v>
      </c>
      <c r="BN224" s="59">
        <f t="shared" si="112"/>
        <v>0</v>
      </c>
      <c r="BO224" s="59">
        <f t="shared" si="112"/>
        <v>0</v>
      </c>
      <c r="BP224" s="59">
        <f t="shared" si="112"/>
        <v>0</v>
      </c>
      <c r="BQ224" s="59">
        <f t="shared" si="112"/>
        <v>0</v>
      </c>
      <c r="BR224" s="59">
        <f t="shared" si="112"/>
        <v>0</v>
      </c>
      <c r="BS224" s="59">
        <f t="shared" si="112"/>
        <v>0</v>
      </c>
      <c r="BT224" s="59">
        <f t="shared" si="112"/>
        <v>0</v>
      </c>
      <c r="BU224" s="59">
        <f t="shared" si="112"/>
        <v>0</v>
      </c>
      <c r="BV224" s="70">
        <f t="shared" si="101"/>
        <v>90</v>
      </c>
      <c r="BX224" s="54">
        <f t="shared" si="91"/>
        <v>10.833333333333334</v>
      </c>
      <c r="BY224" s="54">
        <f t="shared" si="91"/>
        <v>10.833333333333334</v>
      </c>
      <c r="BZ224" s="54">
        <f t="shared" si="91"/>
        <v>10.833333333333334</v>
      </c>
      <c r="CA224" s="54">
        <f t="shared" si="91"/>
        <v>10.833333333333334</v>
      </c>
      <c r="CB224" s="54">
        <f t="shared" si="91"/>
        <v>10.833333333333334</v>
      </c>
      <c r="CC224" s="54">
        <f t="shared" si="91"/>
        <v>10.833333333333334</v>
      </c>
      <c r="CD224" s="54">
        <f t="shared" si="115"/>
        <v>10.833333333333334</v>
      </c>
      <c r="CE224" s="54">
        <f t="shared" si="115"/>
        <v>10.833333333333334</v>
      </c>
      <c r="CF224" s="54">
        <f t="shared" si="115"/>
        <v>10.833333333333334</v>
      </c>
      <c r="CG224" s="54">
        <f t="shared" si="115"/>
        <v>10.833333333333334</v>
      </c>
      <c r="CH224" s="54">
        <f t="shared" si="115"/>
        <v>10.833333333333334</v>
      </c>
      <c r="CI224" s="54">
        <f t="shared" si="115"/>
        <v>10.833333333333334</v>
      </c>
      <c r="CJ224" s="70">
        <f t="shared" si="118"/>
        <v>129.99999999999997</v>
      </c>
      <c r="CK224" s="59">
        <f t="shared" si="107"/>
        <v>18</v>
      </c>
      <c r="CL224" s="59">
        <f t="shared" si="108"/>
        <v>0</v>
      </c>
      <c r="CM224" s="71">
        <f t="shared" si="102"/>
        <v>130</v>
      </c>
      <c r="CN224" s="72"/>
      <c r="CO224" s="73"/>
    </row>
    <row r="225" spans="1:94" ht="20.25" customHeight="1">
      <c r="A225" s="75" t="s">
        <v>593</v>
      </c>
      <c r="B225" s="1" t="s">
        <v>594</v>
      </c>
      <c r="C225" s="58" t="s">
        <v>595</v>
      </c>
      <c r="D225" s="58">
        <f>+VLOOKUP(A225,'[1]BDD-Avk Tx'!B:CE,82,0)</f>
        <v>216</v>
      </c>
      <c r="E225" s="59">
        <v>130</v>
      </c>
      <c r="G225" s="60">
        <v>45140</v>
      </c>
      <c r="H225" s="60">
        <f t="shared" si="98"/>
        <v>45647</v>
      </c>
      <c r="I225" s="60" t="str">
        <f>+VLOOKUP(A225,'[1]BDD-Avk Tx'!B:BZ,77,0)</f>
        <v>CDD</v>
      </c>
      <c r="J225" s="60">
        <f t="shared" si="99"/>
        <v>45647</v>
      </c>
      <c r="N225" s="3"/>
      <c r="P225" s="54">
        <f t="shared" si="103"/>
        <v>2.3333333333333335</v>
      </c>
      <c r="Q225" s="61">
        <v>1.4999999999999982</v>
      </c>
      <c r="R225" s="62">
        <f t="shared" si="104"/>
        <v>18</v>
      </c>
      <c r="S225" s="54">
        <f t="shared" si="111"/>
        <v>1.5</v>
      </c>
      <c r="T225" s="54">
        <f t="shared" si="109"/>
        <v>1.5</v>
      </c>
      <c r="U225" s="54">
        <f t="shared" si="109"/>
        <v>1.5</v>
      </c>
      <c r="V225" s="54">
        <f t="shared" si="109"/>
        <v>1.5</v>
      </c>
      <c r="W225" s="54">
        <f t="shared" si="109"/>
        <v>1.5</v>
      </c>
      <c r="X225" s="54">
        <f t="shared" si="109"/>
        <v>1.5</v>
      </c>
      <c r="Y225" s="54">
        <f t="shared" si="109"/>
        <v>1.5</v>
      </c>
      <c r="Z225" s="54">
        <f t="shared" si="109"/>
        <v>1.5</v>
      </c>
      <c r="AA225" s="54">
        <f t="shared" si="109"/>
        <v>1.5</v>
      </c>
      <c r="AB225" s="54">
        <f t="shared" si="109"/>
        <v>1.5</v>
      </c>
      <c r="AC225" s="54">
        <f t="shared" si="109"/>
        <v>1.5</v>
      </c>
      <c r="AD225" s="54">
        <f t="shared" si="109"/>
        <v>1.5</v>
      </c>
      <c r="AF225" s="63">
        <f t="shared" si="84"/>
        <v>0</v>
      </c>
      <c r="AG225" s="64">
        <v>0</v>
      </c>
      <c r="AH225" s="64">
        <v>0</v>
      </c>
      <c r="AI225" s="65">
        <v>0</v>
      </c>
      <c r="AJ225" s="66"/>
      <c r="AK225" s="64"/>
      <c r="AL225" s="64"/>
      <c r="AM225" s="64"/>
      <c r="AN225" s="64"/>
      <c r="AO225" s="64"/>
      <c r="AP225" s="64"/>
      <c r="AQ225" s="64"/>
      <c r="AR225" s="66"/>
      <c r="AS225" s="70">
        <f t="shared" si="100"/>
        <v>19.5</v>
      </c>
      <c r="AT225" s="68"/>
      <c r="AU225" s="69">
        <v>7.5</v>
      </c>
      <c r="AV225" s="63">
        <f t="shared" si="110"/>
        <v>90</v>
      </c>
      <c r="AW225" s="54">
        <f t="shared" si="93"/>
        <v>7.5</v>
      </c>
      <c r="AX225" s="54">
        <f t="shared" si="93"/>
        <v>7.5</v>
      </c>
      <c r="AY225" s="54">
        <f t="shared" si="93"/>
        <v>7.5</v>
      </c>
      <c r="AZ225" s="54">
        <f t="shared" si="93"/>
        <v>7.5</v>
      </c>
      <c r="BA225" s="54">
        <f t="shared" si="93"/>
        <v>7.5</v>
      </c>
      <c r="BB225" s="54">
        <f t="shared" si="93"/>
        <v>7.5</v>
      </c>
      <c r="BC225" s="54">
        <f t="shared" si="89"/>
        <v>7.5</v>
      </c>
      <c r="BD225" s="54">
        <f t="shared" si="89"/>
        <v>7.5</v>
      </c>
      <c r="BE225" s="54">
        <f t="shared" si="89"/>
        <v>7.5</v>
      </c>
      <c r="BF225" s="54">
        <f t="shared" si="89"/>
        <v>7.5</v>
      </c>
      <c r="BG225" s="54">
        <f t="shared" si="89"/>
        <v>7.5</v>
      </c>
      <c r="BH225" s="54">
        <f t="shared" si="89"/>
        <v>7.5</v>
      </c>
      <c r="BI225" s="63">
        <f t="shared" si="117"/>
        <v>0</v>
      </c>
      <c r="BJ225" s="59">
        <f t="shared" si="112"/>
        <v>0</v>
      </c>
      <c r="BK225" s="59">
        <f t="shared" si="112"/>
        <v>0</v>
      </c>
      <c r="BL225" s="59">
        <f t="shared" si="112"/>
        <v>0</v>
      </c>
      <c r="BM225" s="59">
        <f t="shared" si="112"/>
        <v>0</v>
      </c>
      <c r="BN225" s="59">
        <f t="shared" si="112"/>
        <v>0</v>
      </c>
      <c r="BO225" s="59">
        <f t="shared" si="112"/>
        <v>0</v>
      </c>
      <c r="BP225" s="59">
        <f t="shared" si="112"/>
        <v>0</v>
      </c>
      <c r="BQ225" s="59">
        <f t="shared" si="112"/>
        <v>0</v>
      </c>
      <c r="BR225" s="59">
        <f t="shared" si="112"/>
        <v>0</v>
      </c>
      <c r="BS225" s="59">
        <f t="shared" si="112"/>
        <v>0</v>
      </c>
      <c r="BT225" s="59">
        <f t="shared" si="112"/>
        <v>0</v>
      </c>
      <c r="BU225" s="59">
        <f t="shared" si="112"/>
        <v>0</v>
      </c>
      <c r="BV225" s="70">
        <f t="shared" si="101"/>
        <v>97.5</v>
      </c>
      <c r="BX225" s="54">
        <f t="shared" si="91"/>
        <v>10.833333333333334</v>
      </c>
      <c r="BY225" s="54">
        <f t="shared" si="91"/>
        <v>10.833333333333334</v>
      </c>
      <c r="BZ225" s="54">
        <f t="shared" si="91"/>
        <v>10.833333333333334</v>
      </c>
      <c r="CA225" s="54">
        <f t="shared" si="91"/>
        <v>10.833333333333334</v>
      </c>
      <c r="CB225" s="54">
        <f t="shared" si="91"/>
        <v>10.833333333333334</v>
      </c>
      <c r="CC225" s="54">
        <f t="shared" si="91"/>
        <v>10.833333333333334</v>
      </c>
      <c r="CD225" s="54">
        <f t="shared" si="115"/>
        <v>10.833333333333334</v>
      </c>
      <c r="CE225" s="54">
        <f t="shared" si="115"/>
        <v>10.833333333333334</v>
      </c>
      <c r="CF225" s="54">
        <f t="shared" si="115"/>
        <v>10.833333333333334</v>
      </c>
      <c r="CG225" s="54">
        <f t="shared" si="115"/>
        <v>10.833333333333334</v>
      </c>
      <c r="CH225" s="54">
        <f t="shared" si="115"/>
        <v>10.833333333333334</v>
      </c>
      <c r="CI225" s="54">
        <f t="shared" si="115"/>
        <v>10.833333333333334</v>
      </c>
      <c r="CJ225" s="70">
        <f t="shared" si="118"/>
        <v>129.99999999999997</v>
      </c>
      <c r="CK225" s="59">
        <f t="shared" si="107"/>
        <v>18</v>
      </c>
      <c r="CL225" s="59">
        <f>+CM225-CJ225</f>
        <v>0</v>
      </c>
      <c r="CM225" s="71">
        <f t="shared" si="102"/>
        <v>130</v>
      </c>
      <c r="CN225" s="54"/>
      <c r="CO225" s="73"/>
      <c r="CP225" s="56"/>
    </row>
    <row r="226" spans="1:94" ht="20.25" customHeight="1">
      <c r="A226" s="75" t="s">
        <v>596</v>
      </c>
      <c r="B226" s="1" t="s">
        <v>597</v>
      </c>
      <c r="C226" s="58" t="s">
        <v>595</v>
      </c>
      <c r="D226" s="58">
        <f>+VLOOKUP(A226,'[1]BDD-Avk Tx'!B:CE,82,0)</f>
        <v>216</v>
      </c>
      <c r="E226" s="59">
        <v>130</v>
      </c>
      <c r="G226" s="60">
        <v>45140</v>
      </c>
      <c r="H226" s="60">
        <f t="shared" si="98"/>
        <v>45647</v>
      </c>
      <c r="I226" s="60" t="str">
        <f>+VLOOKUP(A226,'[1]BDD-Avk Tx'!B:BZ,77,0)</f>
        <v>CDD</v>
      </c>
      <c r="J226" s="60">
        <f t="shared" si="99"/>
        <v>45647</v>
      </c>
      <c r="N226" s="3"/>
      <c r="P226" s="54">
        <f t="shared" si="103"/>
        <v>2.3333333333333335</v>
      </c>
      <c r="Q226" s="61">
        <v>10</v>
      </c>
      <c r="R226" s="62">
        <f t="shared" si="104"/>
        <v>18</v>
      </c>
      <c r="S226" s="54">
        <f t="shared" si="111"/>
        <v>1.5</v>
      </c>
      <c r="T226" s="54">
        <f t="shared" si="111"/>
        <v>1.5</v>
      </c>
      <c r="U226" s="54">
        <f t="shared" si="111"/>
        <v>1.5</v>
      </c>
      <c r="V226" s="54">
        <f t="shared" si="111"/>
        <v>1.5</v>
      </c>
      <c r="W226" s="54">
        <f t="shared" si="111"/>
        <v>1.5</v>
      </c>
      <c r="X226" s="54">
        <f t="shared" si="111"/>
        <v>1.5</v>
      </c>
      <c r="Y226" s="54">
        <f t="shared" si="111"/>
        <v>1.5</v>
      </c>
      <c r="Z226" s="54">
        <f t="shared" si="111"/>
        <v>1.5</v>
      </c>
      <c r="AA226" s="54">
        <f t="shared" si="111"/>
        <v>1.5</v>
      </c>
      <c r="AB226" s="54">
        <f t="shared" si="111"/>
        <v>1.5</v>
      </c>
      <c r="AC226" s="54">
        <f t="shared" si="111"/>
        <v>1.5</v>
      </c>
      <c r="AD226" s="54">
        <f t="shared" si="111"/>
        <v>1.5</v>
      </c>
      <c r="AF226" s="63">
        <f t="shared" si="84"/>
        <v>17</v>
      </c>
      <c r="AG226" s="64">
        <v>0</v>
      </c>
      <c r="AH226" s="64">
        <v>17</v>
      </c>
      <c r="AI226" s="65">
        <v>0</v>
      </c>
      <c r="AJ226" s="66"/>
      <c r="AK226" s="64"/>
      <c r="AL226" s="64"/>
      <c r="AM226" s="64"/>
      <c r="AN226" s="64"/>
      <c r="AO226" s="64"/>
      <c r="AP226" s="64"/>
      <c r="AQ226" s="64"/>
      <c r="AR226" s="64"/>
      <c r="AS226" s="70">
        <f t="shared" si="100"/>
        <v>11</v>
      </c>
      <c r="AT226" s="68"/>
      <c r="AU226" s="69">
        <v>50</v>
      </c>
      <c r="AV226" s="63">
        <f t="shared" si="110"/>
        <v>90</v>
      </c>
      <c r="AW226" s="54">
        <f t="shared" si="93"/>
        <v>7.5</v>
      </c>
      <c r="AX226" s="54">
        <f t="shared" si="93"/>
        <v>7.5</v>
      </c>
      <c r="AY226" s="54">
        <f t="shared" si="93"/>
        <v>7.5</v>
      </c>
      <c r="AZ226" s="54">
        <f t="shared" si="93"/>
        <v>7.5</v>
      </c>
      <c r="BA226" s="54">
        <f t="shared" si="93"/>
        <v>7.5</v>
      </c>
      <c r="BB226" s="54">
        <f t="shared" si="93"/>
        <v>7.5</v>
      </c>
      <c r="BC226" s="54">
        <f t="shared" si="89"/>
        <v>7.5</v>
      </c>
      <c r="BD226" s="54">
        <f t="shared" si="89"/>
        <v>7.5</v>
      </c>
      <c r="BE226" s="54">
        <f t="shared" si="89"/>
        <v>7.5</v>
      </c>
      <c r="BF226" s="54">
        <f t="shared" si="89"/>
        <v>7.5</v>
      </c>
      <c r="BG226" s="54">
        <f t="shared" si="89"/>
        <v>7.5</v>
      </c>
      <c r="BH226" s="54">
        <f t="shared" si="89"/>
        <v>7.5</v>
      </c>
      <c r="BI226" s="63">
        <f t="shared" si="117"/>
        <v>-85</v>
      </c>
      <c r="BJ226" s="59">
        <f t="shared" si="112"/>
        <v>0</v>
      </c>
      <c r="BK226" s="59">
        <f t="shared" si="112"/>
        <v>-85</v>
      </c>
      <c r="BL226" s="59">
        <f t="shared" si="112"/>
        <v>0</v>
      </c>
      <c r="BM226" s="59">
        <f t="shared" si="112"/>
        <v>0</v>
      </c>
      <c r="BN226" s="59">
        <f t="shared" si="112"/>
        <v>0</v>
      </c>
      <c r="BO226" s="59">
        <f t="shared" si="112"/>
        <v>0</v>
      </c>
      <c r="BP226" s="59">
        <f t="shared" si="112"/>
        <v>0</v>
      </c>
      <c r="BQ226" s="59">
        <f t="shared" si="112"/>
        <v>0</v>
      </c>
      <c r="BR226" s="59">
        <f t="shared" si="112"/>
        <v>0</v>
      </c>
      <c r="BS226" s="59">
        <f t="shared" si="112"/>
        <v>0</v>
      </c>
      <c r="BT226" s="59">
        <f t="shared" si="112"/>
        <v>0</v>
      </c>
      <c r="BU226" s="59">
        <f t="shared" si="112"/>
        <v>0</v>
      </c>
      <c r="BV226" s="70">
        <f t="shared" si="101"/>
        <v>55</v>
      </c>
      <c r="BX226" s="54">
        <f t="shared" si="91"/>
        <v>10.833333333333334</v>
      </c>
      <c r="BY226" s="54">
        <f t="shared" si="91"/>
        <v>10.833333333333334</v>
      </c>
      <c r="BZ226" s="54">
        <f t="shared" si="91"/>
        <v>10.833333333333334</v>
      </c>
      <c r="CA226" s="54">
        <f t="shared" si="91"/>
        <v>10.833333333333334</v>
      </c>
      <c r="CB226" s="54">
        <f t="shared" si="91"/>
        <v>10.833333333333334</v>
      </c>
      <c r="CC226" s="54">
        <f t="shared" si="91"/>
        <v>10.833333333333334</v>
      </c>
      <c r="CD226" s="54">
        <f t="shared" si="115"/>
        <v>10.833333333333334</v>
      </c>
      <c r="CE226" s="54">
        <f t="shared" si="115"/>
        <v>10.833333333333334</v>
      </c>
      <c r="CF226" s="54">
        <f t="shared" si="115"/>
        <v>10.833333333333334</v>
      </c>
      <c r="CG226" s="54">
        <f t="shared" si="115"/>
        <v>10.833333333333334</v>
      </c>
      <c r="CH226" s="54">
        <f t="shared" si="115"/>
        <v>10.833333333333334</v>
      </c>
      <c r="CI226" s="54">
        <f t="shared" si="115"/>
        <v>10.833333333333334</v>
      </c>
      <c r="CJ226" s="70">
        <f t="shared" si="118"/>
        <v>129.99999999999997</v>
      </c>
      <c r="CK226" s="59">
        <f t="shared" si="107"/>
        <v>18</v>
      </c>
      <c r="CL226" s="59">
        <f t="shared" si="108"/>
        <v>0</v>
      </c>
      <c r="CM226" s="71">
        <f t="shared" si="102"/>
        <v>130</v>
      </c>
      <c r="CN226" s="72"/>
      <c r="CO226" s="73"/>
    </row>
    <row r="227" spans="1:94" ht="20.25" customHeight="1">
      <c r="A227" s="75" t="s">
        <v>598</v>
      </c>
      <c r="B227" s="1" t="s">
        <v>599</v>
      </c>
      <c r="C227" s="58" t="s">
        <v>600</v>
      </c>
      <c r="D227" s="58">
        <f>+VLOOKUP(A227,'[1]BDD-Avk Tx'!B:CE,82,0)</f>
        <v>650</v>
      </c>
      <c r="E227" s="59">
        <v>130</v>
      </c>
      <c r="G227" s="60">
        <v>45140</v>
      </c>
      <c r="H227" s="60">
        <f t="shared" si="98"/>
        <v>45647</v>
      </c>
      <c r="I227" s="60" t="str">
        <f>+VLOOKUP(A227,'[1]BDD-Avk Tx'!B:BZ,77,0)</f>
        <v>CDD</v>
      </c>
      <c r="J227" s="60">
        <f t="shared" si="99"/>
        <v>45647</v>
      </c>
      <c r="N227" s="3"/>
      <c r="P227" s="54">
        <f t="shared" si="103"/>
        <v>2.3333333333333335</v>
      </c>
      <c r="Q227" s="61">
        <v>18</v>
      </c>
      <c r="R227" s="62">
        <f t="shared" si="104"/>
        <v>18</v>
      </c>
      <c r="S227" s="54">
        <f t="shared" si="111"/>
        <v>1.5</v>
      </c>
      <c r="T227" s="54">
        <f t="shared" si="111"/>
        <v>1.5</v>
      </c>
      <c r="U227" s="54">
        <f t="shared" si="111"/>
        <v>1.5</v>
      </c>
      <c r="V227" s="54">
        <f t="shared" si="111"/>
        <v>1.5</v>
      </c>
      <c r="W227" s="54">
        <f t="shared" si="111"/>
        <v>1.5</v>
      </c>
      <c r="X227" s="54">
        <f t="shared" si="111"/>
        <v>1.5</v>
      </c>
      <c r="Y227" s="54">
        <f t="shared" si="111"/>
        <v>1.5</v>
      </c>
      <c r="Z227" s="54">
        <f t="shared" si="111"/>
        <v>1.5</v>
      </c>
      <c r="AA227" s="54">
        <f t="shared" si="111"/>
        <v>1.5</v>
      </c>
      <c r="AB227" s="54">
        <f t="shared" si="111"/>
        <v>1.5</v>
      </c>
      <c r="AC227" s="54">
        <f t="shared" si="111"/>
        <v>1.5</v>
      </c>
      <c r="AD227" s="54">
        <f t="shared" si="111"/>
        <v>1.5</v>
      </c>
      <c r="AF227" s="63">
        <f t="shared" ref="AF227:AF244" si="119">SUM(AG227:AR227)</f>
        <v>18</v>
      </c>
      <c r="AG227" s="64">
        <v>0</v>
      </c>
      <c r="AH227" s="64">
        <v>13</v>
      </c>
      <c r="AI227" s="65">
        <v>5</v>
      </c>
      <c r="AJ227" s="66"/>
      <c r="AK227" s="64"/>
      <c r="AL227" s="64"/>
      <c r="AM227" s="64"/>
      <c r="AN227" s="64"/>
      <c r="AO227" s="64"/>
      <c r="AP227" s="64"/>
      <c r="AQ227" s="64"/>
      <c r="AR227" s="64"/>
      <c r="AS227" s="70">
        <f t="shared" si="100"/>
        <v>18</v>
      </c>
      <c r="AT227" s="68"/>
      <c r="AU227" s="69">
        <v>90</v>
      </c>
      <c r="AV227" s="63">
        <f t="shared" si="110"/>
        <v>90</v>
      </c>
      <c r="AW227" s="54">
        <f t="shared" si="93"/>
        <v>7.5</v>
      </c>
      <c r="AX227" s="54">
        <f t="shared" si="93"/>
        <v>7.5</v>
      </c>
      <c r="AY227" s="54">
        <f t="shared" si="93"/>
        <v>7.5</v>
      </c>
      <c r="AZ227" s="54">
        <f t="shared" si="93"/>
        <v>7.5</v>
      </c>
      <c r="BA227" s="54">
        <f t="shared" si="93"/>
        <v>7.5</v>
      </c>
      <c r="BB227" s="54">
        <f t="shared" si="93"/>
        <v>7.5</v>
      </c>
      <c r="BC227" s="54">
        <f t="shared" si="93"/>
        <v>7.5</v>
      </c>
      <c r="BD227" s="54">
        <f t="shared" si="93"/>
        <v>7.5</v>
      </c>
      <c r="BE227" s="54">
        <f t="shared" si="93"/>
        <v>7.5</v>
      </c>
      <c r="BF227" s="54">
        <f t="shared" si="93"/>
        <v>7.5</v>
      </c>
      <c r="BG227" s="54">
        <f t="shared" si="93"/>
        <v>7.5</v>
      </c>
      <c r="BH227" s="54">
        <f t="shared" si="93"/>
        <v>7.5</v>
      </c>
      <c r="BI227" s="63">
        <f t="shared" si="117"/>
        <v>-90</v>
      </c>
      <c r="BJ227" s="59">
        <f t="shared" si="112"/>
        <v>0</v>
      </c>
      <c r="BK227" s="59">
        <f t="shared" si="112"/>
        <v>-65</v>
      </c>
      <c r="BL227" s="59">
        <f t="shared" si="112"/>
        <v>-25</v>
      </c>
      <c r="BM227" s="59">
        <f t="shared" si="112"/>
        <v>0</v>
      </c>
      <c r="BN227" s="59">
        <f t="shared" si="112"/>
        <v>0</v>
      </c>
      <c r="BO227" s="59">
        <f t="shared" si="112"/>
        <v>0</v>
      </c>
      <c r="BP227" s="59">
        <f t="shared" si="112"/>
        <v>0</v>
      </c>
      <c r="BQ227" s="59">
        <f t="shared" si="112"/>
        <v>0</v>
      </c>
      <c r="BR227" s="59">
        <f t="shared" si="112"/>
        <v>0</v>
      </c>
      <c r="BS227" s="59">
        <f t="shared" si="112"/>
        <v>0</v>
      </c>
      <c r="BT227" s="59">
        <f t="shared" si="112"/>
        <v>0</v>
      </c>
      <c r="BU227" s="59">
        <f t="shared" si="112"/>
        <v>0</v>
      </c>
      <c r="BV227" s="70">
        <f t="shared" si="101"/>
        <v>90</v>
      </c>
      <c r="BX227" s="54">
        <f t="shared" si="91"/>
        <v>10.833333333333334</v>
      </c>
      <c r="BY227" s="54">
        <f t="shared" si="91"/>
        <v>10.833333333333334</v>
      </c>
      <c r="BZ227" s="54">
        <f t="shared" si="91"/>
        <v>10.833333333333334</v>
      </c>
      <c r="CA227" s="54">
        <f t="shared" si="91"/>
        <v>10.833333333333334</v>
      </c>
      <c r="CB227" s="54">
        <f t="shared" si="91"/>
        <v>10.833333333333334</v>
      </c>
      <c r="CC227" s="54">
        <f t="shared" si="91"/>
        <v>10.833333333333334</v>
      </c>
      <c r="CD227" s="54">
        <f t="shared" si="115"/>
        <v>10.833333333333334</v>
      </c>
      <c r="CE227" s="54">
        <f t="shared" si="115"/>
        <v>10.833333333333334</v>
      </c>
      <c r="CF227" s="54">
        <f t="shared" si="115"/>
        <v>10.833333333333334</v>
      </c>
      <c r="CG227" s="54">
        <f t="shared" si="115"/>
        <v>10.833333333333334</v>
      </c>
      <c r="CH227" s="54">
        <f t="shared" si="115"/>
        <v>10.833333333333334</v>
      </c>
      <c r="CI227" s="54">
        <f t="shared" si="115"/>
        <v>10.833333333333334</v>
      </c>
      <c r="CJ227" s="70">
        <f t="shared" si="118"/>
        <v>129.99999999999997</v>
      </c>
      <c r="CK227" s="59">
        <f t="shared" si="107"/>
        <v>18</v>
      </c>
      <c r="CL227" s="59">
        <f t="shared" si="108"/>
        <v>0</v>
      </c>
      <c r="CM227" s="71">
        <f t="shared" si="102"/>
        <v>130</v>
      </c>
      <c r="CN227" s="54"/>
      <c r="CO227" s="73"/>
      <c r="CP227" s="56"/>
    </row>
    <row r="228" spans="1:94" ht="20.25" customHeight="1">
      <c r="A228" s="75" t="s">
        <v>601</v>
      </c>
      <c r="B228" s="1" t="s">
        <v>602</v>
      </c>
      <c r="C228" s="58" t="s">
        <v>603</v>
      </c>
      <c r="D228" s="58">
        <f>+VLOOKUP(A228,'[1]BDD-Avk Tx'!B:CE,82,0)</f>
        <v>140</v>
      </c>
      <c r="E228" s="59">
        <v>231.4</v>
      </c>
      <c r="G228" s="60">
        <v>45142</v>
      </c>
      <c r="H228" s="60">
        <f t="shared" si="98"/>
        <v>45647</v>
      </c>
      <c r="I228" s="60" t="str">
        <f>+VLOOKUP(A228,'[1]BDD-Avk Tx'!B:BZ,77,0)</f>
        <v>CDD</v>
      </c>
      <c r="J228" s="60">
        <f t="shared" si="99"/>
        <v>45647</v>
      </c>
      <c r="N228" s="3"/>
      <c r="P228" s="54">
        <f>DATEDIF(G228,$AD$6,"m")/12</f>
        <v>2.3333333333333335</v>
      </c>
      <c r="Q228" s="61">
        <v>14</v>
      </c>
      <c r="R228" s="62">
        <f t="shared" si="104"/>
        <v>18</v>
      </c>
      <c r="S228" s="54">
        <f t="shared" si="111"/>
        <v>1.5</v>
      </c>
      <c r="T228" s="54">
        <f t="shared" si="111"/>
        <v>1.5</v>
      </c>
      <c r="U228" s="54">
        <f t="shared" si="111"/>
        <v>1.5</v>
      </c>
      <c r="V228" s="54">
        <f t="shared" si="111"/>
        <v>1.5</v>
      </c>
      <c r="W228" s="54">
        <f t="shared" si="111"/>
        <v>1.5</v>
      </c>
      <c r="X228" s="54">
        <f t="shared" si="111"/>
        <v>1.5</v>
      </c>
      <c r="Y228" s="54">
        <f t="shared" si="111"/>
        <v>1.5</v>
      </c>
      <c r="Z228" s="54">
        <f t="shared" si="111"/>
        <v>1.5</v>
      </c>
      <c r="AA228" s="54">
        <f t="shared" si="111"/>
        <v>1.5</v>
      </c>
      <c r="AB228" s="54">
        <f t="shared" si="111"/>
        <v>1.5</v>
      </c>
      <c r="AC228" s="54">
        <f t="shared" si="111"/>
        <v>1.5</v>
      </c>
      <c r="AD228" s="54">
        <f t="shared" si="111"/>
        <v>1.5</v>
      </c>
      <c r="AF228" s="63">
        <f t="shared" si="119"/>
        <v>7</v>
      </c>
      <c r="AG228" s="64">
        <v>7</v>
      </c>
      <c r="AH228" s="64">
        <v>0</v>
      </c>
      <c r="AI228" s="65">
        <v>0</v>
      </c>
      <c r="AJ228" s="66"/>
      <c r="AK228" s="64"/>
      <c r="AL228" s="64"/>
      <c r="AM228" s="64"/>
      <c r="AN228" s="64"/>
      <c r="AO228" s="64"/>
      <c r="AP228" s="64"/>
      <c r="AQ228" s="64"/>
      <c r="AR228" s="64"/>
      <c r="AS228" s="70">
        <f t="shared" si="100"/>
        <v>25</v>
      </c>
      <c r="AT228" s="68"/>
      <c r="AU228" s="69">
        <v>124.59999999999997</v>
      </c>
      <c r="AV228" s="63">
        <f t="shared" si="110"/>
        <v>160.19999999999996</v>
      </c>
      <c r="AW228" s="54">
        <f t="shared" si="93"/>
        <v>13.350000000000001</v>
      </c>
      <c r="AX228" s="54">
        <f t="shared" si="93"/>
        <v>13.350000000000001</v>
      </c>
      <c r="AY228" s="54">
        <f t="shared" si="93"/>
        <v>13.350000000000001</v>
      </c>
      <c r="AZ228" s="54">
        <f t="shared" ref="AZ228:BH260" si="120">+IF($K228="",$E228/26*V228,IF(MONTH($K228)=MONTH(AZ$5),$L228/26*V228,IF(AND($K228&lt;AZ$5,(MONTH($K228)&lt;&gt;MONTH(AZ$5))),$L228/26*V228,$E228/26*V228)))</f>
        <v>13.350000000000001</v>
      </c>
      <c r="BA228" s="54">
        <f t="shared" si="120"/>
        <v>13.350000000000001</v>
      </c>
      <c r="BB228" s="54">
        <f t="shared" si="120"/>
        <v>13.350000000000001</v>
      </c>
      <c r="BC228" s="54">
        <f t="shared" si="120"/>
        <v>13.350000000000001</v>
      </c>
      <c r="BD228" s="54">
        <f t="shared" si="120"/>
        <v>13.350000000000001</v>
      </c>
      <c r="BE228" s="54">
        <f t="shared" si="120"/>
        <v>13.350000000000001</v>
      </c>
      <c r="BF228" s="54">
        <f t="shared" si="120"/>
        <v>13.350000000000001</v>
      </c>
      <c r="BG228" s="54">
        <f t="shared" si="120"/>
        <v>13.350000000000001</v>
      </c>
      <c r="BH228" s="54">
        <f t="shared" si="120"/>
        <v>13.350000000000001</v>
      </c>
      <c r="BI228" s="63">
        <f t="shared" si="117"/>
        <v>-62.300000000000004</v>
      </c>
      <c r="BJ228" s="59">
        <f t="shared" si="112"/>
        <v>-62.300000000000004</v>
      </c>
      <c r="BK228" s="59">
        <f t="shared" si="112"/>
        <v>0</v>
      </c>
      <c r="BL228" s="59">
        <f t="shared" si="112"/>
        <v>0</v>
      </c>
      <c r="BM228" s="59">
        <f t="shared" si="112"/>
        <v>0</v>
      </c>
      <c r="BN228" s="59">
        <f t="shared" si="112"/>
        <v>0</v>
      </c>
      <c r="BO228" s="59">
        <f t="shared" si="112"/>
        <v>0</v>
      </c>
      <c r="BP228" s="59">
        <f t="shared" si="112"/>
        <v>0</v>
      </c>
      <c r="BQ228" s="59">
        <f t="shared" si="112"/>
        <v>0</v>
      </c>
      <c r="BR228" s="59">
        <f t="shared" si="112"/>
        <v>0</v>
      </c>
      <c r="BS228" s="59">
        <f t="shared" si="112"/>
        <v>0</v>
      </c>
      <c r="BT228" s="59">
        <f t="shared" si="112"/>
        <v>0</v>
      </c>
      <c r="BU228" s="59">
        <f t="shared" si="112"/>
        <v>0</v>
      </c>
      <c r="BV228" s="70">
        <f t="shared" si="101"/>
        <v>222.49999999999994</v>
      </c>
      <c r="BX228" s="54">
        <f t="shared" si="91"/>
        <v>19.283333333333335</v>
      </c>
      <c r="BY228" s="54">
        <f t="shared" si="91"/>
        <v>19.283333333333335</v>
      </c>
      <c r="BZ228" s="54">
        <f t="shared" si="91"/>
        <v>19.283333333333335</v>
      </c>
      <c r="CA228" s="54">
        <f t="shared" si="91"/>
        <v>19.283333333333335</v>
      </c>
      <c r="CB228" s="54">
        <f t="shared" si="91"/>
        <v>19.283333333333335</v>
      </c>
      <c r="CC228" s="54">
        <f t="shared" si="91"/>
        <v>19.283333333333335</v>
      </c>
      <c r="CD228" s="54">
        <f t="shared" si="115"/>
        <v>19.283333333333335</v>
      </c>
      <c r="CE228" s="54">
        <f t="shared" si="115"/>
        <v>19.283333333333335</v>
      </c>
      <c r="CF228" s="54">
        <f t="shared" si="115"/>
        <v>19.283333333333335</v>
      </c>
      <c r="CG228" s="54">
        <f t="shared" si="115"/>
        <v>19.283333333333335</v>
      </c>
      <c r="CH228" s="54">
        <f t="shared" si="115"/>
        <v>19.283333333333335</v>
      </c>
      <c r="CI228" s="54">
        <f t="shared" si="115"/>
        <v>19.283333333333335</v>
      </c>
      <c r="CJ228" s="70">
        <f t="shared" si="118"/>
        <v>231.4</v>
      </c>
      <c r="CK228" s="59">
        <f t="shared" si="107"/>
        <v>18</v>
      </c>
      <c r="CL228" s="59">
        <f t="shared" si="108"/>
        <v>0</v>
      </c>
      <c r="CM228" s="71">
        <f t="shared" si="102"/>
        <v>231.4</v>
      </c>
      <c r="CN228" s="72"/>
      <c r="CO228" s="73"/>
    </row>
    <row r="229" spans="1:94" ht="20.25" customHeight="1">
      <c r="A229" s="75" t="s">
        <v>604</v>
      </c>
      <c r="B229" s="1" t="s">
        <v>605</v>
      </c>
      <c r="C229" s="58" t="s">
        <v>567</v>
      </c>
      <c r="D229" s="58">
        <f>+VLOOKUP(A229,'[1]BDD-Avk Tx'!B:CE,82,0)</f>
        <v>120</v>
      </c>
      <c r="E229" s="59">
        <v>130</v>
      </c>
      <c r="G229" s="4">
        <v>45273</v>
      </c>
      <c r="H229" s="60">
        <f t="shared" si="98"/>
        <v>45647</v>
      </c>
      <c r="I229" s="60" t="str">
        <f>+VLOOKUP(A229,'[1]BDD-Avk Tx'!B:BZ,77,0)</f>
        <v>CDD</v>
      </c>
      <c r="J229" s="60">
        <f t="shared" si="99"/>
        <v>45647</v>
      </c>
      <c r="N229" s="3"/>
      <c r="P229" s="54">
        <f t="shared" ref="P229:P238" si="121">DATEDIF(G229,$AD$6,"m")/12</f>
        <v>2</v>
      </c>
      <c r="Q229" s="61">
        <v>17</v>
      </c>
      <c r="R229" s="62">
        <f t="shared" si="104"/>
        <v>18</v>
      </c>
      <c r="S229" s="54">
        <f t="shared" si="111"/>
        <v>1.5</v>
      </c>
      <c r="T229" s="54">
        <f t="shared" si="111"/>
        <v>1.5</v>
      </c>
      <c r="U229" s="54">
        <f t="shared" si="111"/>
        <v>1.5</v>
      </c>
      <c r="V229" s="54">
        <f t="shared" si="111"/>
        <v>1.5</v>
      </c>
      <c r="W229" s="54">
        <f t="shared" si="111"/>
        <v>1.5</v>
      </c>
      <c r="X229" s="54">
        <f t="shared" si="111"/>
        <v>1.5</v>
      </c>
      <c r="Y229" s="54">
        <f t="shared" si="111"/>
        <v>1.5</v>
      </c>
      <c r="Z229" s="54">
        <f t="shared" si="111"/>
        <v>1.5</v>
      </c>
      <c r="AA229" s="54">
        <f t="shared" si="111"/>
        <v>1.5</v>
      </c>
      <c r="AB229" s="54">
        <f t="shared" si="111"/>
        <v>1.5</v>
      </c>
      <c r="AC229" s="54">
        <f t="shared" si="111"/>
        <v>1.5</v>
      </c>
      <c r="AD229" s="54">
        <f t="shared" si="111"/>
        <v>1.5</v>
      </c>
      <c r="AF229" s="63">
        <f t="shared" ref="AF229:AF250" si="122">SUM(AG229:AR229)</f>
        <v>12</v>
      </c>
      <c r="AG229" s="64">
        <v>12</v>
      </c>
      <c r="AH229" s="64">
        <v>0</v>
      </c>
      <c r="AI229" s="65">
        <v>0</v>
      </c>
      <c r="AJ229" s="66"/>
      <c r="AK229" s="64"/>
      <c r="AL229" s="64"/>
      <c r="AM229" s="64"/>
      <c r="AN229" s="64"/>
      <c r="AO229" s="64"/>
      <c r="AP229" s="64"/>
      <c r="AQ229" s="64"/>
      <c r="AR229" s="64"/>
      <c r="AS229" s="70">
        <f t="shared" si="100"/>
        <v>23</v>
      </c>
      <c r="AT229" s="68"/>
      <c r="AU229" s="69">
        <v>85</v>
      </c>
      <c r="AV229" s="63">
        <f t="shared" ref="AV229" si="123">SUM(AW229:BH229)</f>
        <v>90</v>
      </c>
      <c r="AW229" s="54">
        <f t="shared" ref="AW229:AY261" si="124">+IF($K229="",$E229/26*S229,IF(MONTH($K229)=MONTH(AW$5),$L229/26*S229,IF(AND($K229&lt;AW$5,(MONTH($K229)&lt;&gt;MONTH(AW$5))),$L229/26*S229,$E229/26*S229)))</f>
        <v>7.5</v>
      </c>
      <c r="AX229" s="54">
        <f t="shared" si="124"/>
        <v>7.5</v>
      </c>
      <c r="AY229" s="54">
        <f t="shared" si="124"/>
        <v>7.5</v>
      </c>
      <c r="AZ229" s="54">
        <f t="shared" si="120"/>
        <v>7.5</v>
      </c>
      <c r="BA229" s="54">
        <f t="shared" si="120"/>
        <v>7.5</v>
      </c>
      <c r="BB229" s="54">
        <f t="shared" si="120"/>
        <v>7.5</v>
      </c>
      <c r="BC229" s="54">
        <f t="shared" si="120"/>
        <v>7.5</v>
      </c>
      <c r="BD229" s="54">
        <f t="shared" si="120"/>
        <v>7.5</v>
      </c>
      <c r="BE229" s="54">
        <f t="shared" si="120"/>
        <v>7.5</v>
      </c>
      <c r="BF229" s="54">
        <f t="shared" si="120"/>
        <v>7.5</v>
      </c>
      <c r="BG229" s="54">
        <f t="shared" si="120"/>
        <v>7.5</v>
      </c>
      <c r="BH229" s="54">
        <f t="shared" si="120"/>
        <v>7.5</v>
      </c>
      <c r="BI229" s="63">
        <f t="shared" ref="BI229" si="125">SUM(BJ229:BU229)</f>
        <v>-60</v>
      </c>
      <c r="BJ229" s="59">
        <f t="shared" si="112"/>
        <v>-60</v>
      </c>
      <c r="BK229" s="59">
        <f t="shared" si="112"/>
        <v>0</v>
      </c>
      <c r="BL229" s="59">
        <f t="shared" si="112"/>
        <v>0</v>
      </c>
      <c r="BM229" s="59">
        <f t="shared" si="112"/>
        <v>0</v>
      </c>
      <c r="BN229" s="59">
        <f t="shared" si="112"/>
        <v>0</v>
      </c>
      <c r="BO229" s="59">
        <f t="shared" si="112"/>
        <v>0</v>
      </c>
      <c r="BP229" s="59">
        <f t="shared" si="112"/>
        <v>0</v>
      </c>
      <c r="BQ229" s="59">
        <f t="shared" si="112"/>
        <v>0</v>
      </c>
      <c r="BR229" s="59">
        <f t="shared" si="112"/>
        <v>0</v>
      </c>
      <c r="BS229" s="59">
        <f t="shared" si="112"/>
        <v>0</v>
      </c>
      <c r="BT229" s="59">
        <f t="shared" si="112"/>
        <v>0</v>
      </c>
      <c r="BU229" s="59">
        <f t="shared" si="112"/>
        <v>0</v>
      </c>
      <c r="BV229" s="70">
        <f t="shared" si="101"/>
        <v>115</v>
      </c>
      <c r="BX229" s="54">
        <f t="shared" si="91"/>
        <v>10.833333333333334</v>
      </c>
      <c r="BY229" s="54">
        <f t="shared" si="91"/>
        <v>10.833333333333334</v>
      </c>
      <c r="BZ229" s="54">
        <f t="shared" si="91"/>
        <v>10.833333333333334</v>
      </c>
      <c r="CA229" s="54">
        <f t="shared" si="91"/>
        <v>10.833333333333334</v>
      </c>
      <c r="CB229" s="54">
        <f t="shared" si="91"/>
        <v>10.833333333333334</v>
      </c>
      <c r="CC229" s="54">
        <f t="shared" si="91"/>
        <v>10.833333333333334</v>
      </c>
      <c r="CD229" s="54">
        <f t="shared" si="115"/>
        <v>10.833333333333334</v>
      </c>
      <c r="CE229" s="54">
        <f t="shared" si="115"/>
        <v>10.833333333333334</v>
      </c>
      <c r="CF229" s="54">
        <f t="shared" si="115"/>
        <v>10.833333333333334</v>
      </c>
      <c r="CG229" s="54">
        <f t="shared" si="115"/>
        <v>10.833333333333334</v>
      </c>
      <c r="CH229" s="54">
        <f t="shared" si="115"/>
        <v>10.833333333333334</v>
      </c>
      <c r="CI229" s="54">
        <f t="shared" si="115"/>
        <v>10.833333333333334</v>
      </c>
      <c r="CJ229" s="70">
        <f t="shared" ref="CJ229" si="126">SUM(BX229:CI229)</f>
        <v>129.99999999999997</v>
      </c>
      <c r="CK229" s="59">
        <f t="shared" si="107"/>
        <v>18</v>
      </c>
      <c r="CL229" s="59">
        <f t="shared" si="108"/>
        <v>0</v>
      </c>
      <c r="CM229" s="71">
        <f t="shared" si="102"/>
        <v>130</v>
      </c>
      <c r="CN229" s="72"/>
      <c r="CO229" s="73"/>
    </row>
    <row r="230" spans="1:94" ht="20.25" customHeight="1">
      <c r="A230" s="75" t="s">
        <v>606</v>
      </c>
      <c r="B230" s="1" t="s">
        <v>607</v>
      </c>
      <c r="C230" s="58" t="s">
        <v>608</v>
      </c>
      <c r="D230" s="58">
        <f>+VLOOKUP(A230,'[1]BDD-Avk Tx'!B:CE,82,0)</f>
        <v>160</v>
      </c>
      <c r="E230" s="59">
        <v>231.41</v>
      </c>
      <c r="G230" s="4">
        <v>45349</v>
      </c>
      <c r="H230" s="60">
        <f t="shared" si="98"/>
        <v>45647</v>
      </c>
      <c r="I230" s="60" t="str">
        <f>+VLOOKUP(A230,'[1]BDD-Avk Tx'!B:BZ,77,0)</f>
        <v>CDD</v>
      </c>
      <c r="J230" s="60">
        <f t="shared" si="99"/>
        <v>45647</v>
      </c>
      <c r="N230" s="3"/>
      <c r="P230" s="54">
        <f t="shared" si="121"/>
        <v>1.75</v>
      </c>
      <c r="Q230" s="61">
        <v>9</v>
      </c>
      <c r="R230" s="62">
        <f t="shared" si="104"/>
        <v>18</v>
      </c>
      <c r="S230" s="54">
        <f t="shared" si="111"/>
        <v>1.5</v>
      </c>
      <c r="T230" s="54">
        <f t="shared" si="111"/>
        <v>1.5</v>
      </c>
      <c r="U230" s="54">
        <f t="shared" si="111"/>
        <v>1.5</v>
      </c>
      <c r="V230" s="54">
        <f t="shared" si="111"/>
        <v>1.5</v>
      </c>
      <c r="W230" s="54">
        <f t="shared" si="111"/>
        <v>1.5</v>
      </c>
      <c r="X230" s="54">
        <f t="shared" si="111"/>
        <v>1.5</v>
      </c>
      <c r="Y230" s="54">
        <f t="shared" si="111"/>
        <v>1.5</v>
      </c>
      <c r="Z230" s="54">
        <f t="shared" si="111"/>
        <v>1.5</v>
      </c>
      <c r="AA230" s="54">
        <f t="shared" si="111"/>
        <v>1.5</v>
      </c>
      <c r="AB230" s="54">
        <f t="shared" si="111"/>
        <v>1.5</v>
      </c>
      <c r="AC230" s="54">
        <f t="shared" si="111"/>
        <v>1.5</v>
      </c>
      <c r="AD230" s="54">
        <f t="shared" si="111"/>
        <v>1.5</v>
      </c>
      <c r="AF230" s="63">
        <f t="shared" si="122"/>
        <v>6</v>
      </c>
      <c r="AG230" s="64">
        <v>6</v>
      </c>
      <c r="AH230" s="64">
        <v>0</v>
      </c>
      <c r="AI230" s="65">
        <v>0</v>
      </c>
      <c r="AJ230" s="66"/>
      <c r="AK230" s="64"/>
      <c r="AL230" s="64"/>
      <c r="AM230" s="64"/>
      <c r="AN230" s="64"/>
      <c r="AO230" s="64"/>
      <c r="AP230" s="64"/>
      <c r="AQ230" s="64"/>
      <c r="AR230" s="64"/>
      <c r="AS230" s="70">
        <f t="shared" si="100"/>
        <v>21</v>
      </c>
      <c r="AT230" s="68"/>
      <c r="AU230" s="69">
        <v>80.103461538461517</v>
      </c>
      <c r="AV230" s="63">
        <f t="shared" ref="AV230:AV247" si="127">SUM(AW230:BH230)</f>
        <v>160.206923076923</v>
      </c>
      <c r="AW230" s="54">
        <f t="shared" si="124"/>
        <v>13.350576923076922</v>
      </c>
      <c r="AX230" s="54">
        <f t="shared" si="124"/>
        <v>13.350576923076922</v>
      </c>
      <c r="AY230" s="54">
        <f t="shared" si="124"/>
        <v>13.350576923076922</v>
      </c>
      <c r="AZ230" s="54">
        <f t="shared" si="120"/>
        <v>13.350576923076922</v>
      </c>
      <c r="BA230" s="54">
        <f t="shared" si="120"/>
        <v>13.350576923076922</v>
      </c>
      <c r="BB230" s="54">
        <f t="shared" si="120"/>
        <v>13.350576923076922</v>
      </c>
      <c r="BC230" s="54">
        <f t="shared" si="120"/>
        <v>13.350576923076922</v>
      </c>
      <c r="BD230" s="54">
        <f t="shared" si="120"/>
        <v>13.350576923076922</v>
      </c>
      <c r="BE230" s="54">
        <f t="shared" si="120"/>
        <v>13.350576923076922</v>
      </c>
      <c r="BF230" s="54">
        <f t="shared" si="120"/>
        <v>13.350576923076922</v>
      </c>
      <c r="BG230" s="54">
        <f t="shared" si="120"/>
        <v>13.350576923076922</v>
      </c>
      <c r="BH230" s="54">
        <f t="shared" si="120"/>
        <v>13.350576923076922</v>
      </c>
      <c r="BI230" s="63">
        <f t="shared" ref="BI230:BI234" si="128">SUM(BJ230:BU230)</f>
        <v>-53.402307692307687</v>
      </c>
      <c r="BJ230" s="59">
        <f t="shared" si="112"/>
        <v>-53.402307692307687</v>
      </c>
      <c r="BK230" s="59">
        <f t="shared" si="112"/>
        <v>0</v>
      </c>
      <c r="BL230" s="59">
        <f t="shared" si="112"/>
        <v>0</v>
      </c>
      <c r="BM230" s="59">
        <f t="shared" si="112"/>
        <v>0</v>
      </c>
      <c r="BN230" s="59">
        <f t="shared" si="112"/>
        <v>0</v>
      </c>
      <c r="BO230" s="59">
        <f t="shared" si="112"/>
        <v>0</v>
      </c>
      <c r="BP230" s="59">
        <f t="shared" si="112"/>
        <v>0</v>
      </c>
      <c r="BQ230" s="59">
        <f t="shared" si="112"/>
        <v>0</v>
      </c>
      <c r="BR230" s="59">
        <f t="shared" si="112"/>
        <v>0</v>
      </c>
      <c r="BS230" s="59">
        <f t="shared" si="112"/>
        <v>0</v>
      </c>
      <c r="BT230" s="59">
        <f t="shared" si="112"/>
        <v>0</v>
      </c>
      <c r="BU230" s="59">
        <f t="shared" si="112"/>
        <v>0</v>
      </c>
      <c r="BV230" s="70">
        <f t="shared" si="101"/>
        <v>186.90807692307683</v>
      </c>
      <c r="BX230" s="54">
        <f t="shared" si="91"/>
        <v>19.284166666666668</v>
      </c>
      <c r="BY230" s="54">
        <f t="shared" si="91"/>
        <v>19.284166666666668</v>
      </c>
      <c r="BZ230" s="54">
        <f t="shared" si="91"/>
        <v>19.284166666666668</v>
      </c>
      <c r="CA230" s="54">
        <f t="shared" si="91"/>
        <v>19.284166666666668</v>
      </c>
      <c r="CB230" s="54">
        <f t="shared" si="91"/>
        <v>19.284166666666668</v>
      </c>
      <c r="CC230" s="54">
        <f t="shared" si="91"/>
        <v>19.284166666666668</v>
      </c>
      <c r="CD230" s="54">
        <f t="shared" si="115"/>
        <v>19.284166666666668</v>
      </c>
      <c r="CE230" s="54">
        <f t="shared" si="115"/>
        <v>19.284166666666668</v>
      </c>
      <c r="CF230" s="54">
        <f t="shared" si="115"/>
        <v>19.284166666666668</v>
      </c>
      <c r="CG230" s="54">
        <f t="shared" si="115"/>
        <v>19.284166666666668</v>
      </c>
      <c r="CH230" s="54">
        <f t="shared" si="115"/>
        <v>19.284166666666668</v>
      </c>
      <c r="CI230" s="54">
        <f t="shared" si="115"/>
        <v>19.284166666666668</v>
      </c>
      <c r="CJ230" s="70">
        <f>SUM(BX230:CI230)</f>
        <v>231.41</v>
      </c>
      <c r="CK230" s="59">
        <f t="shared" si="107"/>
        <v>18</v>
      </c>
      <c r="CL230" s="59">
        <f t="shared" si="108"/>
        <v>0</v>
      </c>
      <c r="CM230" s="71">
        <f t="shared" si="102"/>
        <v>231.41</v>
      </c>
      <c r="CN230" s="72"/>
      <c r="CO230" s="73"/>
    </row>
    <row r="231" spans="1:94" ht="20.25" customHeight="1">
      <c r="A231" s="75" t="s">
        <v>609</v>
      </c>
      <c r="B231" s="1" t="s">
        <v>610</v>
      </c>
      <c r="C231" s="58" t="s">
        <v>564</v>
      </c>
      <c r="D231" s="58">
        <f>+VLOOKUP(A231,'[1]BDD-Avk Tx'!B:CE,82,0)</f>
        <v>281</v>
      </c>
      <c r="E231" s="59">
        <v>130</v>
      </c>
      <c r="G231" s="60">
        <v>45350</v>
      </c>
      <c r="H231" s="60">
        <f>+IF(YEAR(G231)&lt;YEAR($H$5),$H$4,G231)</f>
        <v>45647</v>
      </c>
      <c r="I231" s="60" t="str">
        <f>+VLOOKUP(A231,'[1]BDD-Avk Tx'!B:BZ,77,0)</f>
        <v>CDD</v>
      </c>
      <c r="J231" s="60">
        <f t="shared" si="99"/>
        <v>45647</v>
      </c>
      <c r="N231" s="3"/>
      <c r="P231" s="54">
        <f t="shared" si="121"/>
        <v>1.75</v>
      </c>
      <c r="Q231" s="61">
        <v>0</v>
      </c>
      <c r="R231" s="62">
        <f t="shared" si="104"/>
        <v>18</v>
      </c>
      <c r="S231" s="54">
        <f t="shared" si="111"/>
        <v>1.5</v>
      </c>
      <c r="T231" s="54">
        <f t="shared" si="111"/>
        <v>1.5</v>
      </c>
      <c r="U231" s="54">
        <f t="shared" si="111"/>
        <v>1.5</v>
      </c>
      <c r="V231" s="54">
        <f t="shared" si="111"/>
        <v>1.5</v>
      </c>
      <c r="W231" s="54">
        <f t="shared" si="111"/>
        <v>1.5</v>
      </c>
      <c r="X231" s="54">
        <f t="shared" si="111"/>
        <v>1.5</v>
      </c>
      <c r="Y231" s="54">
        <f t="shared" si="111"/>
        <v>1.5</v>
      </c>
      <c r="Z231" s="54">
        <f t="shared" si="111"/>
        <v>1.5</v>
      </c>
      <c r="AA231" s="54">
        <f t="shared" si="111"/>
        <v>1.5</v>
      </c>
      <c r="AB231" s="54">
        <f t="shared" si="111"/>
        <v>1.5</v>
      </c>
      <c r="AC231" s="54">
        <f t="shared" si="111"/>
        <v>1.5</v>
      </c>
      <c r="AD231" s="54">
        <f t="shared" si="111"/>
        <v>1.5</v>
      </c>
      <c r="AF231" s="63">
        <f t="shared" si="122"/>
        <v>18</v>
      </c>
      <c r="AG231" s="64">
        <v>5</v>
      </c>
      <c r="AH231" s="64">
        <v>13</v>
      </c>
      <c r="AI231" s="65">
        <v>0</v>
      </c>
      <c r="AJ231" s="66"/>
      <c r="AK231" s="64"/>
      <c r="AL231" s="64"/>
      <c r="AM231" s="64"/>
      <c r="AN231" s="64"/>
      <c r="AO231" s="64"/>
      <c r="AP231" s="64"/>
      <c r="AQ231" s="64"/>
      <c r="AR231" s="64"/>
      <c r="AS231" s="70">
        <f t="shared" si="100"/>
        <v>0</v>
      </c>
      <c r="AT231" s="68"/>
      <c r="AU231" s="69">
        <v>0</v>
      </c>
      <c r="AV231" s="63">
        <f t="shared" si="127"/>
        <v>90</v>
      </c>
      <c r="AW231" s="54">
        <f t="shared" si="124"/>
        <v>7.5</v>
      </c>
      <c r="AX231" s="54">
        <f t="shared" si="124"/>
        <v>7.5</v>
      </c>
      <c r="AY231" s="54">
        <f t="shared" si="124"/>
        <v>7.5</v>
      </c>
      <c r="AZ231" s="54">
        <f t="shared" si="120"/>
        <v>7.5</v>
      </c>
      <c r="BA231" s="54">
        <f t="shared" si="120"/>
        <v>7.5</v>
      </c>
      <c r="BB231" s="54">
        <f t="shared" si="120"/>
        <v>7.5</v>
      </c>
      <c r="BC231" s="54">
        <f t="shared" si="120"/>
        <v>7.5</v>
      </c>
      <c r="BD231" s="54">
        <f t="shared" si="120"/>
        <v>7.5</v>
      </c>
      <c r="BE231" s="54">
        <f t="shared" si="120"/>
        <v>7.5</v>
      </c>
      <c r="BF231" s="54">
        <f t="shared" si="120"/>
        <v>7.5</v>
      </c>
      <c r="BG231" s="54">
        <f t="shared" si="120"/>
        <v>7.5</v>
      </c>
      <c r="BH231" s="54">
        <f t="shared" si="120"/>
        <v>7.5</v>
      </c>
      <c r="BI231" s="63">
        <f t="shared" si="128"/>
        <v>-90</v>
      </c>
      <c r="BJ231" s="59">
        <f t="shared" si="112"/>
        <v>-25</v>
      </c>
      <c r="BK231" s="59">
        <f t="shared" si="112"/>
        <v>-65</v>
      </c>
      <c r="BL231" s="59">
        <f t="shared" si="112"/>
        <v>0</v>
      </c>
      <c r="BM231" s="59">
        <f t="shared" si="112"/>
        <v>0</v>
      </c>
      <c r="BN231" s="59">
        <f t="shared" si="112"/>
        <v>0</v>
      </c>
      <c r="BO231" s="59">
        <f t="shared" si="112"/>
        <v>0</v>
      </c>
      <c r="BP231" s="59">
        <f t="shared" si="112"/>
        <v>0</v>
      </c>
      <c r="BQ231" s="59">
        <f t="shared" si="112"/>
        <v>0</v>
      </c>
      <c r="BR231" s="59">
        <f t="shared" si="112"/>
        <v>0</v>
      </c>
      <c r="BS231" s="59">
        <f t="shared" si="112"/>
        <v>0</v>
      </c>
      <c r="BT231" s="59">
        <f t="shared" si="112"/>
        <v>0</v>
      </c>
      <c r="BU231" s="59">
        <f t="shared" si="112"/>
        <v>0</v>
      </c>
      <c r="BV231" s="70">
        <f t="shared" si="101"/>
        <v>0</v>
      </c>
      <c r="BX231" s="54">
        <f t="shared" si="91"/>
        <v>10.833333333333334</v>
      </c>
      <c r="BY231" s="54">
        <f t="shared" si="91"/>
        <v>10.833333333333334</v>
      </c>
      <c r="BZ231" s="54">
        <f t="shared" si="91"/>
        <v>10.833333333333334</v>
      </c>
      <c r="CA231" s="54">
        <f t="shared" si="91"/>
        <v>10.833333333333334</v>
      </c>
      <c r="CB231" s="54">
        <f t="shared" si="91"/>
        <v>10.833333333333334</v>
      </c>
      <c r="CC231" s="54">
        <f t="shared" si="91"/>
        <v>10.833333333333334</v>
      </c>
      <c r="CD231" s="54">
        <f t="shared" si="115"/>
        <v>10.833333333333334</v>
      </c>
      <c r="CE231" s="54">
        <f t="shared" si="115"/>
        <v>10.833333333333334</v>
      </c>
      <c r="CF231" s="54">
        <f t="shared" si="115"/>
        <v>10.833333333333334</v>
      </c>
      <c r="CG231" s="54">
        <f t="shared" si="115"/>
        <v>10.833333333333334</v>
      </c>
      <c r="CH231" s="54">
        <f t="shared" si="115"/>
        <v>10.833333333333334</v>
      </c>
      <c r="CI231" s="54">
        <f t="shared" si="115"/>
        <v>10.833333333333334</v>
      </c>
      <c r="CJ231" s="70">
        <f t="shared" ref="CJ231:CJ235" si="129">SUM(BX231:CI231)</f>
        <v>129.99999999999997</v>
      </c>
      <c r="CK231" s="59">
        <f t="shared" si="107"/>
        <v>18</v>
      </c>
      <c r="CL231" s="59">
        <f t="shared" si="108"/>
        <v>0</v>
      </c>
      <c r="CM231" s="71">
        <f t="shared" si="102"/>
        <v>130</v>
      </c>
      <c r="CN231" s="77"/>
      <c r="CO231" s="73"/>
      <c r="CP231" s="78"/>
    </row>
    <row r="232" spans="1:94" ht="20.25" customHeight="1">
      <c r="A232" s="75" t="s">
        <v>611</v>
      </c>
      <c r="B232" s="1" t="s">
        <v>612</v>
      </c>
      <c r="C232" s="58" t="s">
        <v>564</v>
      </c>
      <c r="D232" s="58">
        <f>+VLOOKUP(A232,'[1]BDD-Avk Tx'!B:CE,82,0)</f>
        <v>281</v>
      </c>
      <c r="E232" s="59">
        <v>130</v>
      </c>
      <c r="G232" s="60">
        <v>45350</v>
      </c>
      <c r="H232" s="60">
        <f t="shared" si="98"/>
        <v>45647</v>
      </c>
      <c r="I232" s="60" t="str">
        <f>+VLOOKUP(A232,'[1]BDD-Avk Tx'!B:BZ,77,0)</f>
        <v>CDD</v>
      </c>
      <c r="J232" s="60">
        <f t="shared" si="99"/>
        <v>45647</v>
      </c>
      <c r="N232" s="3"/>
      <c r="P232" s="54">
        <f t="shared" si="121"/>
        <v>1.75</v>
      </c>
      <c r="Q232" s="61">
        <v>0</v>
      </c>
      <c r="R232" s="62">
        <f>SUM(S232:AD232)</f>
        <v>18</v>
      </c>
      <c r="S232" s="54">
        <f t="shared" si="111"/>
        <v>1.5</v>
      </c>
      <c r="T232" s="54">
        <f t="shared" si="111"/>
        <v>1.5</v>
      </c>
      <c r="U232" s="54">
        <f t="shared" si="111"/>
        <v>1.5</v>
      </c>
      <c r="V232" s="54">
        <f t="shared" si="111"/>
        <v>1.5</v>
      </c>
      <c r="W232" s="54">
        <f t="shared" si="111"/>
        <v>1.5</v>
      </c>
      <c r="X232" s="54">
        <f t="shared" si="111"/>
        <v>1.5</v>
      </c>
      <c r="Y232" s="54">
        <f t="shared" si="111"/>
        <v>1.5</v>
      </c>
      <c r="Z232" s="54">
        <f t="shared" si="111"/>
        <v>1.5</v>
      </c>
      <c r="AA232" s="54">
        <f t="shared" si="111"/>
        <v>1.5</v>
      </c>
      <c r="AB232" s="54">
        <f t="shared" si="111"/>
        <v>1.5</v>
      </c>
      <c r="AC232" s="54">
        <f t="shared" si="111"/>
        <v>1.5</v>
      </c>
      <c r="AD232" s="54">
        <f t="shared" si="111"/>
        <v>1.5</v>
      </c>
      <c r="AF232" s="63">
        <f t="shared" si="122"/>
        <v>18</v>
      </c>
      <c r="AG232" s="64">
        <v>0</v>
      </c>
      <c r="AH232" s="64">
        <v>18</v>
      </c>
      <c r="AI232" s="65">
        <v>0</v>
      </c>
      <c r="AJ232" s="66"/>
      <c r="AK232" s="64"/>
      <c r="AL232" s="64"/>
      <c r="AM232" s="64"/>
      <c r="AN232" s="64"/>
      <c r="AO232" s="64"/>
      <c r="AP232" s="64"/>
      <c r="AQ232" s="64"/>
      <c r="AR232" s="64"/>
      <c r="AS232" s="70">
        <f t="shared" si="100"/>
        <v>0</v>
      </c>
      <c r="AT232" s="68"/>
      <c r="AU232" s="69">
        <v>0</v>
      </c>
      <c r="AV232" s="63">
        <f t="shared" si="127"/>
        <v>90</v>
      </c>
      <c r="AW232" s="54">
        <f t="shared" si="124"/>
        <v>7.5</v>
      </c>
      <c r="AX232" s="54">
        <f t="shared" si="124"/>
        <v>7.5</v>
      </c>
      <c r="AY232" s="54">
        <f t="shared" si="124"/>
        <v>7.5</v>
      </c>
      <c r="AZ232" s="54">
        <f t="shared" si="120"/>
        <v>7.5</v>
      </c>
      <c r="BA232" s="54">
        <f t="shared" si="120"/>
        <v>7.5</v>
      </c>
      <c r="BB232" s="54">
        <f t="shared" si="120"/>
        <v>7.5</v>
      </c>
      <c r="BC232" s="54">
        <f t="shared" si="120"/>
        <v>7.5</v>
      </c>
      <c r="BD232" s="54">
        <f t="shared" si="120"/>
        <v>7.5</v>
      </c>
      <c r="BE232" s="54">
        <f t="shared" si="120"/>
        <v>7.5</v>
      </c>
      <c r="BF232" s="54">
        <f t="shared" si="120"/>
        <v>7.5</v>
      </c>
      <c r="BG232" s="54">
        <f t="shared" si="120"/>
        <v>7.5</v>
      </c>
      <c r="BH232" s="54">
        <f t="shared" si="120"/>
        <v>7.5</v>
      </c>
      <c r="BI232" s="63">
        <f t="shared" si="128"/>
        <v>-90</v>
      </c>
      <c r="BJ232" s="59">
        <f t="shared" si="112"/>
        <v>0</v>
      </c>
      <c r="BK232" s="59">
        <f t="shared" si="112"/>
        <v>-90</v>
      </c>
      <c r="BL232" s="59">
        <f t="shared" si="112"/>
        <v>0</v>
      </c>
      <c r="BM232" s="59">
        <f t="shared" si="112"/>
        <v>0</v>
      </c>
      <c r="BN232" s="59">
        <f t="shared" si="112"/>
        <v>0</v>
      </c>
      <c r="BO232" s="59">
        <f t="shared" si="112"/>
        <v>0</v>
      </c>
      <c r="BP232" s="59">
        <f t="shared" si="112"/>
        <v>0</v>
      </c>
      <c r="BQ232" s="59">
        <f t="shared" si="112"/>
        <v>0</v>
      </c>
      <c r="BR232" s="59">
        <f t="shared" si="112"/>
        <v>0</v>
      </c>
      <c r="BS232" s="59">
        <f t="shared" si="112"/>
        <v>0</v>
      </c>
      <c r="BT232" s="59">
        <f t="shared" si="112"/>
        <v>0</v>
      </c>
      <c r="BU232" s="59">
        <f t="shared" si="112"/>
        <v>0</v>
      </c>
      <c r="BV232" s="70">
        <f t="shared" si="101"/>
        <v>0</v>
      </c>
      <c r="BX232" s="54">
        <f t="shared" si="91"/>
        <v>10.833333333333334</v>
      </c>
      <c r="BY232" s="54">
        <f t="shared" si="91"/>
        <v>10.833333333333334</v>
      </c>
      <c r="BZ232" s="54">
        <f t="shared" si="91"/>
        <v>10.833333333333334</v>
      </c>
      <c r="CA232" s="54">
        <f t="shared" si="91"/>
        <v>10.833333333333334</v>
      </c>
      <c r="CB232" s="54">
        <f t="shared" si="91"/>
        <v>10.833333333333334</v>
      </c>
      <c r="CC232" s="54">
        <f t="shared" si="91"/>
        <v>10.833333333333334</v>
      </c>
      <c r="CD232" s="54">
        <f t="shared" si="115"/>
        <v>10.833333333333334</v>
      </c>
      <c r="CE232" s="54">
        <f t="shared" si="115"/>
        <v>10.833333333333334</v>
      </c>
      <c r="CF232" s="54">
        <f t="shared" si="115"/>
        <v>10.833333333333334</v>
      </c>
      <c r="CG232" s="54">
        <f t="shared" si="115"/>
        <v>10.833333333333334</v>
      </c>
      <c r="CH232" s="54">
        <f t="shared" si="115"/>
        <v>10.833333333333334</v>
      </c>
      <c r="CI232" s="54">
        <f t="shared" si="115"/>
        <v>10.833333333333334</v>
      </c>
      <c r="CJ232" s="70">
        <f t="shared" si="129"/>
        <v>129.99999999999997</v>
      </c>
      <c r="CK232" s="59">
        <f t="shared" si="107"/>
        <v>18</v>
      </c>
      <c r="CL232" s="59">
        <f t="shared" si="108"/>
        <v>0</v>
      </c>
      <c r="CM232" s="71">
        <f t="shared" si="102"/>
        <v>130</v>
      </c>
      <c r="CN232" s="77"/>
      <c r="CO232" s="73"/>
      <c r="CP232" s="78"/>
    </row>
    <row r="233" spans="1:94" ht="20.25" customHeight="1">
      <c r="A233" s="75" t="s">
        <v>613</v>
      </c>
      <c r="B233" s="1" t="s">
        <v>614</v>
      </c>
      <c r="C233" s="58" t="s">
        <v>206</v>
      </c>
      <c r="D233" s="58">
        <f>+VLOOKUP(A233,'[1]BDD-Avk Tx'!B:CE,82,0)</f>
        <v>216</v>
      </c>
      <c r="E233" s="59">
        <v>130</v>
      </c>
      <c r="G233" s="60">
        <v>45350</v>
      </c>
      <c r="H233" s="60">
        <f t="shared" si="98"/>
        <v>45647</v>
      </c>
      <c r="I233" s="60" t="str">
        <f>+VLOOKUP(A233,'[1]BDD-Avk Tx'!B:BZ,77,0)</f>
        <v>CDD</v>
      </c>
      <c r="J233" s="60">
        <f t="shared" si="99"/>
        <v>45647</v>
      </c>
      <c r="N233" s="3"/>
      <c r="P233" s="54">
        <f t="shared" si="121"/>
        <v>1.75</v>
      </c>
      <c r="Q233" s="61">
        <v>15</v>
      </c>
      <c r="R233" s="62">
        <f t="shared" si="104"/>
        <v>18</v>
      </c>
      <c r="S233" s="54">
        <f t="shared" si="111"/>
        <v>1.5</v>
      </c>
      <c r="T233" s="54">
        <f t="shared" si="111"/>
        <v>1.5</v>
      </c>
      <c r="U233" s="54">
        <f t="shared" si="111"/>
        <v>1.5</v>
      </c>
      <c r="V233" s="54">
        <f t="shared" si="111"/>
        <v>1.5</v>
      </c>
      <c r="W233" s="54">
        <f t="shared" si="111"/>
        <v>1.5</v>
      </c>
      <c r="X233" s="54">
        <f t="shared" si="111"/>
        <v>1.5</v>
      </c>
      <c r="Y233" s="54">
        <f t="shared" si="111"/>
        <v>1.5</v>
      </c>
      <c r="Z233" s="54">
        <f t="shared" si="111"/>
        <v>1.5</v>
      </c>
      <c r="AA233" s="54">
        <f t="shared" si="111"/>
        <v>1.5</v>
      </c>
      <c r="AB233" s="54">
        <f t="shared" si="111"/>
        <v>1.5</v>
      </c>
      <c r="AC233" s="54">
        <f t="shared" si="111"/>
        <v>1.5</v>
      </c>
      <c r="AD233" s="54">
        <f t="shared" si="111"/>
        <v>1.5</v>
      </c>
      <c r="AF233" s="63">
        <f t="shared" si="122"/>
        <v>0</v>
      </c>
      <c r="AG233" s="64">
        <v>0</v>
      </c>
      <c r="AH233" s="64">
        <v>0</v>
      </c>
      <c r="AI233" s="65">
        <v>0</v>
      </c>
      <c r="AJ233" s="66"/>
      <c r="AK233" s="64"/>
      <c r="AL233" s="64"/>
      <c r="AM233" s="64"/>
      <c r="AN233" s="64"/>
      <c r="AO233" s="64"/>
      <c r="AP233" s="64"/>
      <c r="AQ233" s="64"/>
      <c r="AR233" s="66"/>
      <c r="AS233" s="70">
        <f>+Q233+R233-AF233</f>
        <v>33</v>
      </c>
      <c r="AT233" s="68"/>
      <c r="AU233" s="69">
        <v>75</v>
      </c>
      <c r="AV233" s="63">
        <f t="shared" si="127"/>
        <v>90</v>
      </c>
      <c r="AW233" s="54">
        <f t="shared" si="124"/>
        <v>7.5</v>
      </c>
      <c r="AX233" s="54">
        <f t="shared" si="124"/>
        <v>7.5</v>
      </c>
      <c r="AY233" s="54">
        <f t="shared" si="124"/>
        <v>7.5</v>
      </c>
      <c r="AZ233" s="54">
        <f t="shared" si="120"/>
        <v>7.5</v>
      </c>
      <c r="BA233" s="54">
        <f t="shared" si="120"/>
        <v>7.5</v>
      </c>
      <c r="BB233" s="54">
        <f t="shared" si="120"/>
        <v>7.5</v>
      </c>
      <c r="BC233" s="54">
        <f t="shared" si="120"/>
        <v>7.5</v>
      </c>
      <c r="BD233" s="54">
        <f t="shared" si="120"/>
        <v>7.5</v>
      </c>
      <c r="BE233" s="54">
        <f t="shared" si="120"/>
        <v>7.5</v>
      </c>
      <c r="BF233" s="54">
        <f t="shared" si="120"/>
        <v>7.5</v>
      </c>
      <c r="BG233" s="54">
        <f t="shared" si="120"/>
        <v>7.5</v>
      </c>
      <c r="BH233" s="54">
        <f t="shared" si="120"/>
        <v>7.5</v>
      </c>
      <c r="BI233" s="63">
        <f t="shared" si="128"/>
        <v>0</v>
      </c>
      <c r="BJ233" s="59">
        <f t="shared" si="112"/>
        <v>0</v>
      </c>
      <c r="BK233" s="59">
        <f t="shared" si="112"/>
        <v>0</v>
      </c>
      <c r="BL233" s="59">
        <f t="shared" si="112"/>
        <v>0</v>
      </c>
      <c r="BM233" s="59">
        <f t="shared" si="112"/>
        <v>0</v>
      </c>
      <c r="BN233" s="59">
        <f t="shared" si="112"/>
        <v>0</v>
      </c>
      <c r="BO233" s="59">
        <f t="shared" si="112"/>
        <v>0</v>
      </c>
      <c r="BP233" s="59">
        <f t="shared" si="112"/>
        <v>0</v>
      </c>
      <c r="BQ233" s="59">
        <f t="shared" si="112"/>
        <v>0</v>
      </c>
      <c r="BR233" s="59">
        <f t="shared" si="112"/>
        <v>0</v>
      </c>
      <c r="BS233" s="59">
        <f t="shared" si="112"/>
        <v>0</v>
      </c>
      <c r="BT233" s="59">
        <f t="shared" si="112"/>
        <v>0</v>
      </c>
      <c r="BU233" s="59">
        <f t="shared" si="112"/>
        <v>0</v>
      </c>
      <c r="BV233" s="70">
        <f t="shared" si="101"/>
        <v>165</v>
      </c>
      <c r="BX233" s="54">
        <f t="shared" si="91"/>
        <v>10.833333333333334</v>
      </c>
      <c r="BY233" s="54">
        <f t="shared" si="91"/>
        <v>10.833333333333334</v>
      </c>
      <c r="BZ233" s="54">
        <f t="shared" si="91"/>
        <v>10.833333333333334</v>
      </c>
      <c r="CA233" s="54">
        <f t="shared" si="91"/>
        <v>10.833333333333334</v>
      </c>
      <c r="CB233" s="54">
        <f t="shared" si="91"/>
        <v>10.833333333333334</v>
      </c>
      <c r="CC233" s="54">
        <f t="shared" si="91"/>
        <v>10.833333333333334</v>
      </c>
      <c r="CD233" s="54">
        <f t="shared" si="115"/>
        <v>10.833333333333334</v>
      </c>
      <c r="CE233" s="54">
        <f t="shared" si="115"/>
        <v>10.833333333333334</v>
      </c>
      <c r="CF233" s="54">
        <f t="shared" si="115"/>
        <v>10.833333333333334</v>
      </c>
      <c r="CG233" s="54">
        <f t="shared" si="115"/>
        <v>10.833333333333334</v>
      </c>
      <c r="CH233" s="54">
        <f t="shared" si="115"/>
        <v>10.833333333333334</v>
      </c>
      <c r="CI233" s="54">
        <f t="shared" si="115"/>
        <v>10.833333333333334</v>
      </c>
      <c r="CJ233" s="70">
        <f t="shared" si="129"/>
        <v>129.99999999999997</v>
      </c>
      <c r="CK233" s="59">
        <f t="shared" si="107"/>
        <v>18</v>
      </c>
      <c r="CL233" s="59">
        <f t="shared" si="108"/>
        <v>0</v>
      </c>
      <c r="CM233" s="71">
        <f t="shared" si="102"/>
        <v>130</v>
      </c>
      <c r="CN233" s="77"/>
      <c r="CO233" s="73"/>
      <c r="CP233" s="78"/>
    </row>
    <row r="234" spans="1:94" ht="20.25" customHeight="1">
      <c r="A234" s="75" t="s">
        <v>615</v>
      </c>
      <c r="B234" s="1" t="s">
        <v>616</v>
      </c>
      <c r="C234" s="58" t="s">
        <v>427</v>
      </c>
      <c r="D234" s="58">
        <f>+VLOOKUP(A234,'[1]BDD-Avk Tx'!B:CE,82,0)</f>
        <v>282</v>
      </c>
      <c r="E234" s="59">
        <v>130</v>
      </c>
      <c r="G234" s="60">
        <v>45355</v>
      </c>
      <c r="H234" s="60">
        <f t="shared" si="98"/>
        <v>45647</v>
      </c>
      <c r="I234" s="60" t="str">
        <f>+VLOOKUP(A234,'[1]BDD-Avk Tx'!B:BZ,77,0)</f>
        <v>CDD</v>
      </c>
      <c r="J234" s="60">
        <f t="shared" si="99"/>
        <v>45647</v>
      </c>
      <c r="N234" s="3"/>
      <c r="P234" s="54">
        <f t="shared" si="121"/>
        <v>1.75</v>
      </c>
      <c r="Q234" s="61">
        <v>1.5</v>
      </c>
      <c r="R234" s="62">
        <f t="shared" si="104"/>
        <v>18</v>
      </c>
      <c r="S234" s="54">
        <f t="shared" si="111"/>
        <v>1.5</v>
      </c>
      <c r="T234" s="54">
        <f t="shared" si="111"/>
        <v>1.5</v>
      </c>
      <c r="U234" s="54">
        <f t="shared" si="111"/>
        <v>1.5</v>
      </c>
      <c r="V234" s="54">
        <f t="shared" si="111"/>
        <v>1.5</v>
      </c>
      <c r="W234" s="54">
        <f t="shared" si="111"/>
        <v>1.5</v>
      </c>
      <c r="X234" s="54">
        <f t="shared" si="111"/>
        <v>1.5</v>
      </c>
      <c r="Y234" s="54">
        <f t="shared" si="111"/>
        <v>1.5</v>
      </c>
      <c r="Z234" s="54">
        <f t="shared" si="111"/>
        <v>1.5</v>
      </c>
      <c r="AA234" s="54">
        <f t="shared" si="111"/>
        <v>1.5</v>
      </c>
      <c r="AB234" s="54">
        <f t="shared" si="111"/>
        <v>1.5</v>
      </c>
      <c r="AC234" s="54">
        <f t="shared" si="111"/>
        <v>1.5</v>
      </c>
      <c r="AD234" s="54">
        <f t="shared" si="111"/>
        <v>1.5</v>
      </c>
      <c r="AF234" s="63">
        <f t="shared" si="122"/>
        <v>0</v>
      </c>
      <c r="AG234" s="64">
        <v>0</v>
      </c>
      <c r="AH234" s="64">
        <v>0</v>
      </c>
      <c r="AI234" s="65">
        <v>0</v>
      </c>
      <c r="AJ234" s="66"/>
      <c r="AK234" s="64"/>
      <c r="AL234" s="64"/>
      <c r="AM234" s="64"/>
      <c r="AN234" s="64"/>
      <c r="AO234" s="64"/>
      <c r="AP234" s="64"/>
      <c r="AQ234" s="64"/>
      <c r="AR234" s="64"/>
      <c r="AS234" s="70">
        <f t="shared" si="100"/>
        <v>19.5</v>
      </c>
      <c r="AT234" s="68"/>
      <c r="AU234" s="69">
        <v>7.5</v>
      </c>
      <c r="AV234" s="63">
        <f t="shared" si="127"/>
        <v>90</v>
      </c>
      <c r="AW234" s="54">
        <f t="shared" si="124"/>
        <v>7.5</v>
      </c>
      <c r="AX234" s="54">
        <f t="shared" si="124"/>
        <v>7.5</v>
      </c>
      <c r="AY234" s="54">
        <f t="shared" si="124"/>
        <v>7.5</v>
      </c>
      <c r="AZ234" s="54">
        <f t="shared" si="120"/>
        <v>7.5</v>
      </c>
      <c r="BA234" s="54">
        <f t="shared" si="120"/>
        <v>7.5</v>
      </c>
      <c r="BB234" s="54">
        <f t="shared" si="120"/>
        <v>7.5</v>
      </c>
      <c r="BC234" s="54">
        <f t="shared" si="120"/>
        <v>7.5</v>
      </c>
      <c r="BD234" s="54">
        <f t="shared" si="120"/>
        <v>7.5</v>
      </c>
      <c r="BE234" s="54">
        <f t="shared" si="120"/>
        <v>7.5</v>
      </c>
      <c r="BF234" s="54">
        <f t="shared" si="120"/>
        <v>7.5</v>
      </c>
      <c r="BG234" s="54">
        <f t="shared" si="120"/>
        <v>7.5</v>
      </c>
      <c r="BH234" s="54">
        <f t="shared" si="120"/>
        <v>7.5</v>
      </c>
      <c r="BI234" s="63">
        <f t="shared" si="128"/>
        <v>0</v>
      </c>
      <c r="BJ234" s="59">
        <f t="shared" ref="BJ234:BU249" si="130">(+IF($K234="",$E234/26*AG234,IF(MONTH($K234)=MONTH(BJ$5),$L234/26*AG234,IF(AND($K234&lt;BJ$5,(MONTH($K234)&lt;&gt;MONTH(BJ$5))),$L234/26*AG234,$E234/26*AG234))))*-1</f>
        <v>0</v>
      </c>
      <c r="BK234" s="59">
        <f t="shared" si="130"/>
        <v>0</v>
      </c>
      <c r="BL234" s="59">
        <f t="shared" si="130"/>
        <v>0</v>
      </c>
      <c r="BM234" s="59">
        <f t="shared" si="130"/>
        <v>0</v>
      </c>
      <c r="BN234" s="59">
        <f t="shared" si="130"/>
        <v>0</v>
      </c>
      <c r="BO234" s="59">
        <f t="shared" si="130"/>
        <v>0</v>
      </c>
      <c r="BP234" s="59">
        <f t="shared" si="130"/>
        <v>0</v>
      </c>
      <c r="BQ234" s="59">
        <f t="shared" si="130"/>
        <v>0</v>
      </c>
      <c r="BR234" s="59">
        <f t="shared" si="130"/>
        <v>0</v>
      </c>
      <c r="BS234" s="59">
        <f t="shared" si="130"/>
        <v>0</v>
      </c>
      <c r="BT234" s="59">
        <f t="shared" si="130"/>
        <v>0</v>
      </c>
      <c r="BU234" s="59">
        <f t="shared" si="130"/>
        <v>0</v>
      </c>
      <c r="BV234" s="70">
        <f t="shared" si="101"/>
        <v>97.5</v>
      </c>
      <c r="BX234" s="54">
        <f t="shared" ref="BX234:CC289" si="131">+IF(AND($J234&gt;BX$5,MONTH($J234&lt;&gt;BX$5)),0,+IF(AND($J234&gt;BX$5,MONTH($J234=BX$5)),$E234/$R234*DAY($J234),IF(AND($O234&lt;&gt;"",$O234&lt;BX$5),0,IF($K234="",$E234/$R234*S234,IF(MONTH($K234)=MONTH(BX$5),$L234/$R234*S234,IF(AND($K234&lt;BX$5,(MONTH($K234)&lt;&gt;MONTH(BX$5))),$L234/$R234*S234,$E234/$R234*S234))))))</f>
        <v>10.833333333333334</v>
      </c>
      <c r="BY234" s="54">
        <f t="shared" si="131"/>
        <v>10.833333333333334</v>
      </c>
      <c r="BZ234" s="54">
        <f t="shared" si="131"/>
        <v>10.833333333333334</v>
      </c>
      <c r="CA234" s="54">
        <f t="shared" si="131"/>
        <v>10.833333333333334</v>
      </c>
      <c r="CB234" s="54">
        <f t="shared" si="131"/>
        <v>10.833333333333334</v>
      </c>
      <c r="CC234" s="54">
        <f t="shared" si="131"/>
        <v>10.833333333333334</v>
      </c>
      <c r="CD234" s="54">
        <f t="shared" si="115"/>
        <v>10.833333333333334</v>
      </c>
      <c r="CE234" s="54">
        <f t="shared" si="115"/>
        <v>10.833333333333334</v>
      </c>
      <c r="CF234" s="54">
        <f t="shared" si="115"/>
        <v>10.833333333333334</v>
      </c>
      <c r="CG234" s="54">
        <f t="shared" si="115"/>
        <v>10.833333333333334</v>
      </c>
      <c r="CH234" s="54">
        <f t="shared" si="115"/>
        <v>10.833333333333334</v>
      </c>
      <c r="CI234" s="54">
        <f t="shared" si="115"/>
        <v>10.833333333333334</v>
      </c>
      <c r="CJ234" s="70">
        <f>SUM(BX234:CI234)</f>
        <v>129.99999999999997</v>
      </c>
      <c r="CK234" s="59">
        <f t="shared" si="107"/>
        <v>18</v>
      </c>
      <c r="CL234" s="59">
        <f t="shared" si="108"/>
        <v>0</v>
      </c>
      <c r="CM234" s="71">
        <f t="shared" si="102"/>
        <v>130</v>
      </c>
      <c r="CN234" s="77"/>
      <c r="CO234" s="73"/>
      <c r="CP234" s="78"/>
    </row>
    <row r="235" spans="1:94" ht="20.25" customHeight="1">
      <c r="A235" s="75" t="s">
        <v>617</v>
      </c>
      <c r="B235" s="1" t="s">
        <v>618</v>
      </c>
      <c r="C235" s="58" t="s">
        <v>619</v>
      </c>
      <c r="D235" s="58">
        <f>+VLOOKUP(A235,'[1]BDD-Avk Tx'!B:CE,82,0)</f>
        <v>640</v>
      </c>
      <c r="E235" s="59">
        <v>1128</v>
      </c>
      <c r="G235" s="60">
        <v>45446</v>
      </c>
      <c r="H235" s="60">
        <f t="shared" si="98"/>
        <v>45647</v>
      </c>
      <c r="I235" s="60" t="str">
        <f>+VLOOKUP(A235,'[1]BDD-Avk Tx'!B:BZ,77,0)</f>
        <v>CDD</v>
      </c>
      <c r="J235" s="60">
        <f t="shared" si="99"/>
        <v>45647</v>
      </c>
      <c r="N235" s="3"/>
      <c r="P235" s="54">
        <f t="shared" si="121"/>
        <v>1.5</v>
      </c>
      <c r="Q235" s="61">
        <v>9</v>
      </c>
      <c r="R235" s="62">
        <f t="shared" si="104"/>
        <v>18</v>
      </c>
      <c r="S235" s="54">
        <f t="shared" si="111"/>
        <v>1.5</v>
      </c>
      <c r="T235" s="54">
        <f t="shared" si="111"/>
        <v>1.5</v>
      </c>
      <c r="U235" s="54">
        <f t="shared" si="111"/>
        <v>1.5</v>
      </c>
      <c r="V235" s="54">
        <f t="shared" si="111"/>
        <v>1.5</v>
      </c>
      <c r="W235" s="54">
        <f t="shared" si="111"/>
        <v>1.5</v>
      </c>
      <c r="X235" s="54">
        <f t="shared" si="111"/>
        <v>1.5</v>
      </c>
      <c r="Y235" s="54">
        <f t="shared" si="111"/>
        <v>1.5</v>
      </c>
      <c r="Z235" s="54">
        <f t="shared" si="111"/>
        <v>1.5</v>
      </c>
      <c r="AA235" s="54">
        <f t="shared" si="111"/>
        <v>1.5</v>
      </c>
      <c r="AB235" s="54">
        <f t="shared" si="111"/>
        <v>1.5</v>
      </c>
      <c r="AC235" s="54">
        <f t="shared" si="111"/>
        <v>1.5</v>
      </c>
      <c r="AD235" s="54">
        <f t="shared" si="111"/>
        <v>1.5</v>
      </c>
      <c r="AF235" s="63">
        <f t="shared" si="122"/>
        <v>0</v>
      </c>
      <c r="AG235" s="64">
        <v>0</v>
      </c>
      <c r="AH235" s="64">
        <v>0</v>
      </c>
      <c r="AI235" s="65">
        <v>0</v>
      </c>
      <c r="AJ235" s="66"/>
      <c r="AK235" s="64"/>
      <c r="AL235" s="64"/>
      <c r="AM235" s="64"/>
      <c r="AN235" s="64"/>
      <c r="AO235" s="64"/>
      <c r="AP235" s="64"/>
      <c r="AQ235" s="64"/>
      <c r="AR235" s="66"/>
      <c r="AS235" s="70">
        <f t="shared" si="100"/>
        <v>27</v>
      </c>
      <c r="AT235" s="68"/>
      <c r="AU235" s="69">
        <v>390.46153846153851</v>
      </c>
      <c r="AV235" s="63">
        <f t="shared" si="127"/>
        <v>780.92307692307702</v>
      </c>
      <c r="AW235" s="54">
        <f t="shared" si="124"/>
        <v>65.07692307692308</v>
      </c>
      <c r="AX235" s="54">
        <f t="shared" si="124"/>
        <v>65.07692307692308</v>
      </c>
      <c r="AY235" s="54">
        <f t="shared" si="124"/>
        <v>65.07692307692308</v>
      </c>
      <c r="AZ235" s="54">
        <f t="shared" si="120"/>
        <v>65.07692307692308</v>
      </c>
      <c r="BA235" s="54">
        <f t="shared" si="120"/>
        <v>65.07692307692308</v>
      </c>
      <c r="BB235" s="54">
        <f t="shared" si="120"/>
        <v>65.07692307692308</v>
      </c>
      <c r="BC235" s="54">
        <f t="shared" si="120"/>
        <v>65.07692307692308</v>
      </c>
      <c r="BD235" s="54">
        <f t="shared" si="120"/>
        <v>65.07692307692308</v>
      </c>
      <c r="BE235" s="54">
        <f t="shared" si="120"/>
        <v>65.07692307692308</v>
      </c>
      <c r="BF235" s="54">
        <f t="shared" si="120"/>
        <v>65.07692307692308</v>
      </c>
      <c r="BG235" s="54">
        <f t="shared" si="120"/>
        <v>65.07692307692308</v>
      </c>
      <c r="BH235" s="54">
        <f t="shared" si="120"/>
        <v>65.07692307692308</v>
      </c>
      <c r="BI235" s="63">
        <f t="shared" ref="BI235:BI239" si="132">SUM(BJ235:BU235)</f>
        <v>0</v>
      </c>
      <c r="BJ235" s="59">
        <f t="shared" si="130"/>
        <v>0</v>
      </c>
      <c r="BK235" s="59">
        <f t="shared" si="130"/>
        <v>0</v>
      </c>
      <c r="BL235" s="59">
        <f t="shared" si="130"/>
        <v>0</v>
      </c>
      <c r="BM235" s="59">
        <f t="shared" si="130"/>
        <v>0</v>
      </c>
      <c r="BN235" s="59">
        <f t="shared" si="130"/>
        <v>0</v>
      </c>
      <c r="BO235" s="59">
        <f t="shared" si="130"/>
        <v>0</v>
      </c>
      <c r="BP235" s="59">
        <f t="shared" si="130"/>
        <v>0</v>
      </c>
      <c r="BQ235" s="59">
        <f t="shared" si="130"/>
        <v>0</v>
      </c>
      <c r="BR235" s="59">
        <f t="shared" si="130"/>
        <v>0</v>
      </c>
      <c r="BS235" s="59">
        <f t="shared" si="130"/>
        <v>0</v>
      </c>
      <c r="BT235" s="59">
        <f t="shared" si="130"/>
        <v>0</v>
      </c>
      <c r="BU235" s="59">
        <f t="shared" si="130"/>
        <v>0</v>
      </c>
      <c r="BV235" s="70">
        <f t="shared" si="101"/>
        <v>1171.3846153846155</v>
      </c>
      <c r="BX235" s="54">
        <f t="shared" si="131"/>
        <v>94</v>
      </c>
      <c r="BY235" s="54">
        <f t="shared" si="131"/>
        <v>94</v>
      </c>
      <c r="BZ235" s="54">
        <f t="shared" si="131"/>
        <v>94</v>
      </c>
      <c r="CA235" s="54">
        <f t="shared" si="131"/>
        <v>94</v>
      </c>
      <c r="CB235" s="54">
        <f t="shared" si="131"/>
        <v>94</v>
      </c>
      <c r="CC235" s="54">
        <f t="shared" si="131"/>
        <v>94</v>
      </c>
      <c r="CD235" s="54">
        <f t="shared" si="115"/>
        <v>94</v>
      </c>
      <c r="CE235" s="54">
        <f t="shared" si="115"/>
        <v>94</v>
      </c>
      <c r="CF235" s="54">
        <f t="shared" si="115"/>
        <v>94</v>
      </c>
      <c r="CG235" s="54">
        <f t="shared" si="115"/>
        <v>94</v>
      </c>
      <c r="CH235" s="54">
        <f t="shared" si="115"/>
        <v>94</v>
      </c>
      <c r="CI235" s="54">
        <f t="shared" si="115"/>
        <v>94</v>
      </c>
      <c r="CJ235" s="70">
        <f t="shared" si="129"/>
        <v>1128</v>
      </c>
      <c r="CK235" s="59">
        <f t="shared" si="107"/>
        <v>18</v>
      </c>
      <c r="CL235" s="59">
        <f t="shared" si="108"/>
        <v>0</v>
      </c>
      <c r="CM235" s="71">
        <f t="shared" si="102"/>
        <v>1128</v>
      </c>
      <c r="CN235" s="77"/>
      <c r="CO235" s="73"/>
      <c r="CP235" s="78"/>
    </row>
    <row r="236" spans="1:94" ht="20.25" customHeight="1">
      <c r="A236" s="75" t="s">
        <v>620</v>
      </c>
      <c r="B236" s="1" t="s">
        <v>621</v>
      </c>
      <c r="C236" s="58" t="s">
        <v>46</v>
      </c>
      <c r="D236" s="58">
        <f>+VLOOKUP(A236,'[1]BDD-Avk Tx'!B:CE,82,0)</f>
        <v>620</v>
      </c>
      <c r="E236" s="59">
        <v>308</v>
      </c>
      <c r="G236" s="60">
        <v>45446</v>
      </c>
      <c r="H236" s="60">
        <f t="shared" si="98"/>
        <v>45647</v>
      </c>
      <c r="I236" s="60" t="str">
        <f>+VLOOKUP(A236,'[1]BDD-Avk Tx'!B:BZ,77,0)</f>
        <v>CDD</v>
      </c>
      <c r="J236" s="60">
        <f t="shared" si="99"/>
        <v>45647</v>
      </c>
      <c r="N236" s="3"/>
      <c r="P236" s="54">
        <f t="shared" si="121"/>
        <v>1.5</v>
      </c>
      <c r="Q236" s="61">
        <v>9</v>
      </c>
      <c r="R236" s="62">
        <f>SUM(S236:AD236)</f>
        <v>18</v>
      </c>
      <c r="S236" s="54">
        <f t="shared" si="111"/>
        <v>1.5</v>
      </c>
      <c r="T236" s="54">
        <f t="shared" si="111"/>
        <v>1.5</v>
      </c>
      <c r="U236" s="54">
        <f t="shared" si="111"/>
        <v>1.5</v>
      </c>
      <c r="V236" s="54">
        <f t="shared" si="111"/>
        <v>1.5</v>
      </c>
      <c r="W236" s="54">
        <f t="shared" si="111"/>
        <v>1.5</v>
      </c>
      <c r="X236" s="54">
        <f t="shared" si="111"/>
        <v>1.5</v>
      </c>
      <c r="Y236" s="54">
        <f t="shared" si="111"/>
        <v>1.5</v>
      </c>
      <c r="Z236" s="54">
        <f t="shared" si="111"/>
        <v>1.5</v>
      </c>
      <c r="AA236" s="54">
        <f t="shared" si="111"/>
        <v>1.5</v>
      </c>
      <c r="AB236" s="54">
        <f t="shared" si="111"/>
        <v>1.5</v>
      </c>
      <c r="AC236" s="54">
        <f t="shared" si="111"/>
        <v>1.5</v>
      </c>
      <c r="AD236" s="54">
        <f t="shared" si="111"/>
        <v>1.5</v>
      </c>
      <c r="AF236" s="63">
        <f t="shared" si="122"/>
        <v>0</v>
      </c>
      <c r="AG236" s="64">
        <v>0</v>
      </c>
      <c r="AH236" s="64">
        <v>0</v>
      </c>
      <c r="AI236" s="65">
        <v>0</v>
      </c>
      <c r="AJ236" s="66"/>
      <c r="AK236" s="64"/>
      <c r="AL236" s="64"/>
      <c r="AM236" s="64"/>
      <c r="AN236" s="64"/>
      <c r="AO236" s="64"/>
      <c r="AP236" s="64"/>
      <c r="AQ236" s="64"/>
      <c r="AR236" s="66"/>
      <c r="AS236" s="70">
        <f t="shared" si="100"/>
        <v>27</v>
      </c>
      <c r="AT236" s="68"/>
      <c r="AU236" s="69">
        <v>106.61538461538463</v>
      </c>
      <c r="AV236" s="63">
        <f t="shared" si="127"/>
        <v>213.23076923076925</v>
      </c>
      <c r="AW236" s="54">
        <f t="shared" si="124"/>
        <v>17.76923076923077</v>
      </c>
      <c r="AX236" s="54">
        <f t="shared" si="124"/>
        <v>17.76923076923077</v>
      </c>
      <c r="AY236" s="54">
        <f t="shared" si="124"/>
        <v>17.76923076923077</v>
      </c>
      <c r="AZ236" s="54">
        <f t="shared" si="120"/>
        <v>17.76923076923077</v>
      </c>
      <c r="BA236" s="54">
        <f t="shared" si="120"/>
        <v>17.76923076923077</v>
      </c>
      <c r="BB236" s="54">
        <f t="shared" si="120"/>
        <v>17.76923076923077</v>
      </c>
      <c r="BC236" s="54">
        <f t="shared" si="120"/>
        <v>17.76923076923077</v>
      </c>
      <c r="BD236" s="54">
        <f t="shared" si="120"/>
        <v>17.76923076923077</v>
      </c>
      <c r="BE236" s="54">
        <f t="shared" si="120"/>
        <v>17.76923076923077</v>
      </c>
      <c r="BF236" s="54">
        <f t="shared" si="120"/>
        <v>17.76923076923077</v>
      </c>
      <c r="BG236" s="54">
        <f t="shared" si="120"/>
        <v>17.76923076923077</v>
      </c>
      <c r="BH236" s="54">
        <f t="shared" si="120"/>
        <v>17.76923076923077</v>
      </c>
      <c r="BI236" s="63">
        <f t="shared" si="132"/>
        <v>0</v>
      </c>
      <c r="BJ236" s="59">
        <f t="shared" si="130"/>
        <v>0</v>
      </c>
      <c r="BK236" s="59">
        <f t="shared" si="130"/>
        <v>0</v>
      </c>
      <c r="BL236" s="59">
        <f t="shared" si="130"/>
        <v>0</v>
      </c>
      <c r="BM236" s="59">
        <f t="shared" si="130"/>
        <v>0</v>
      </c>
      <c r="BN236" s="59">
        <f t="shared" si="130"/>
        <v>0</v>
      </c>
      <c r="BO236" s="59">
        <f t="shared" si="130"/>
        <v>0</v>
      </c>
      <c r="BP236" s="59">
        <f t="shared" si="130"/>
        <v>0</v>
      </c>
      <c r="BQ236" s="59">
        <f t="shared" si="130"/>
        <v>0</v>
      </c>
      <c r="BR236" s="59">
        <f t="shared" si="130"/>
        <v>0</v>
      </c>
      <c r="BS236" s="59">
        <f t="shared" si="130"/>
        <v>0</v>
      </c>
      <c r="BT236" s="59">
        <f t="shared" si="130"/>
        <v>0</v>
      </c>
      <c r="BU236" s="59">
        <f t="shared" si="130"/>
        <v>0</v>
      </c>
      <c r="BV236" s="70">
        <f t="shared" si="101"/>
        <v>319.84615384615387</v>
      </c>
      <c r="BX236" s="54">
        <f t="shared" si="131"/>
        <v>25.666666666666664</v>
      </c>
      <c r="BY236" s="54">
        <f t="shared" si="131"/>
        <v>25.666666666666664</v>
      </c>
      <c r="BZ236" s="54">
        <f t="shared" si="131"/>
        <v>25.666666666666664</v>
      </c>
      <c r="CA236" s="54">
        <f t="shared" si="131"/>
        <v>25.666666666666664</v>
      </c>
      <c r="CB236" s="54">
        <f t="shared" si="131"/>
        <v>25.666666666666664</v>
      </c>
      <c r="CC236" s="54">
        <f t="shared" si="131"/>
        <v>25.666666666666664</v>
      </c>
      <c r="CD236" s="54">
        <f t="shared" si="115"/>
        <v>25.666666666666664</v>
      </c>
      <c r="CE236" s="54">
        <f t="shared" si="115"/>
        <v>25.666666666666664</v>
      </c>
      <c r="CF236" s="54">
        <f t="shared" si="115"/>
        <v>25.666666666666664</v>
      </c>
      <c r="CG236" s="54">
        <f t="shared" si="115"/>
        <v>25.666666666666664</v>
      </c>
      <c r="CH236" s="54">
        <f t="shared" si="115"/>
        <v>25.666666666666664</v>
      </c>
      <c r="CI236" s="54">
        <f t="shared" si="115"/>
        <v>25.666666666666664</v>
      </c>
      <c r="CJ236" s="70">
        <f t="shared" ref="CJ236:CJ238" si="133">SUM(BX236:CI236)</f>
        <v>308</v>
      </c>
      <c r="CK236" s="59">
        <f t="shared" si="107"/>
        <v>18</v>
      </c>
      <c r="CL236" s="59">
        <f t="shared" si="108"/>
        <v>0</v>
      </c>
      <c r="CM236" s="71">
        <f t="shared" si="102"/>
        <v>308</v>
      </c>
      <c r="CN236" s="77"/>
      <c r="CO236" s="73"/>
      <c r="CP236" s="78"/>
    </row>
    <row r="237" spans="1:94" ht="20.25" customHeight="1">
      <c r="A237" s="1" t="s">
        <v>622</v>
      </c>
      <c r="B237" s="1" t="s">
        <v>623</v>
      </c>
      <c r="C237" s="58" t="s">
        <v>624</v>
      </c>
      <c r="D237" s="58">
        <f>+VLOOKUP(A237,'[1]BDD-Avk Tx'!B:CE,82,0)</f>
        <v>640</v>
      </c>
      <c r="E237" s="59">
        <v>475.8</v>
      </c>
      <c r="G237" s="60">
        <v>45495</v>
      </c>
      <c r="H237" s="60">
        <f t="shared" si="98"/>
        <v>45647</v>
      </c>
      <c r="I237" s="60" t="str">
        <f>+VLOOKUP(A237,'[1]BDD-Avk Tx'!B:BZ,77,0)</f>
        <v>CDD</v>
      </c>
      <c r="J237" s="60">
        <f t="shared" si="99"/>
        <v>45647</v>
      </c>
      <c r="N237" s="3"/>
      <c r="P237" s="54">
        <f>DATEDIF(G237,$AD$6,"m")/12</f>
        <v>1.3333333333333333</v>
      </c>
      <c r="Q237" s="61">
        <v>7.5</v>
      </c>
      <c r="R237" s="62">
        <f t="shared" si="104"/>
        <v>18</v>
      </c>
      <c r="S237" s="54">
        <f t="shared" si="111"/>
        <v>1.5</v>
      </c>
      <c r="T237" s="54">
        <f t="shared" si="111"/>
        <v>1.5</v>
      </c>
      <c r="U237" s="54">
        <f t="shared" si="111"/>
        <v>1.5</v>
      </c>
      <c r="V237" s="54">
        <f t="shared" si="111"/>
        <v>1.5</v>
      </c>
      <c r="W237" s="54">
        <f t="shared" si="111"/>
        <v>1.5</v>
      </c>
      <c r="X237" s="54">
        <f t="shared" si="111"/>
        <v>1.5</v>
      </c>
      <c r="Y237" s="54">
        <f t="shared" si="111"/>
        <v>1.5</v>
      </c>
      <c r="Z237" s="54">
        <f t="shared" si="111"/>
        <v>1.5</v>
      </c>
      <c r="AA237" s="54">
        <f t="shared" si="111"/>
        <v>1.5</v>
      </c>
      <c r="AB237" s="54">
        <f t="shared" si="111"/>
        <v>1.5</v>
      </c>
      <c r="AC237" s="54">
        <f t="shared" si="111"/>
        <v>1.5</v>
      </c>
      <c r="AD237" s="54">
        <f t="shared" si="111"/>
        <v>1.5</v>
      </c>
      <c r="AF237" s="63">
        <f t="shared" si="122"/>
        <v>1</v>
      </c>
      <c r="AG237" s="64">
        <v>0</v>
      </c>
      <c r="AH237" s="64">
        <v>1</v>
      </c>
      <c r="AI237" s="65">
        <v>0</v>
      </c>
      <c r="AJ237" s="66"/>
      <c r="AK237" s="64"/>
      <c r="AL237" s="64"/>
      <c r="AM237" s="64"/>
      <c r="AN237" s="64"/>
      <c r="AO237" s="64"/>
      <c r="AP237" s="64"/>
      <c r="AQ237" s="64"/>
      <c r="AR237" s="66"/>
      <c r="AS237" s="70">
        <f t="shared" si="100"/>
        <v>24.5</v>
      </c>
      <c r="AT237" s="68"/>
      <c r="AU237" s="69">
        <v>137.25000000000003</v>
      </c>
      <c r="AV237" s="63">
        <f t="shared" si="127"/>
        <v>329.39999999999992</v>
      </c>
      <c r="AW237" s="54">
        <f t="shared" si="124"/>
        <v>27.450000000000003</v>
      </c>
      <c r="AX237" s="54">
        <f t="shared" si="124"/>
        <v>27.450000000000003</v>
      </c>
      <c r="AY237" s="54">
        <f t="shared" si="124"/>
        <v>27.450000000000003</v>
      </c>
      <c r="AZ237" s="54">
        <f t="shared" si="120"/>
        <v>27.450000000000003</v>
      </c>
      <c r="BA237" s="54">
        <f t="shared" si="120"/>
        <v>27.450000000000003</v>
      </c>
      <c r="BB237" s="54">
        <f t="shared" si="120"/>
        <v>27.450000000000003</v>
      </c>
      <c r="BC237" s="54">
        <f t="shared" si="120"/>
        <v>27.450000000000003</v>
      </c>
      <c r="BD237" s="54">
        <f t="shared" si="120"/>
        <v>27.450000000000003</v>
      </c>
      <c r="BE237" s="54">
        <f t="shared" si="120"/>
        <v>27.450000000000003</v>
      </c>
      <c r="BF237" s="54">
        <f t="shared" si="120"/>
        <v>27.450000000000003</v>
      </c>
      <c r="BG237" s="54">
        <f t="shared" si="120"/>
        <v>27.450000000000003</v>
      </c>
      <c r="BH237" s="54">
        <f t="shared" si="120"/>
        <v>27.450000000000003</v>
      </c>
      <c r="BI237" s="63">
        <f t="shared" si="132"/>
        <v>-18.3</v>
      </c>
      <c r="BJ237" s="59">
        <f t="shared" si="130"/>
        <v>0</v>
      </c>
      <c r="BK237" s="59">
        <f t="shared" si="130"/>
        <v>-18.3</v>
      </c>
      <c r="BL237" s="59">
        <f t="shared" si="130"/>
        <v>0</v>
      </c>
      <c r="BM237" s="59">
        <f t="shared" si="130"/>
        <v>0</v>
      </c>
      <c r="BN237" s="59">
        <f t="shared" si="130"/>
        <v>0</v>
      </c>
      <c r="BO237" s="59">
        <f t="shared" si="130"/>
        <v>0</v>
      </c>
      <c r="BP237" s="59">
        <f t="shared" si="130"/>
        <v>0</v>
      </c>
      <c r="BQ237" s="59">
        <f t="shared" si="130"/>
        <v>0</v>
      </c>
      <c r="BR237" s="59">
        <f t="shared" si="130"/>
        <v>0</v>
      </c>
      <c r="BS237" s="59">
        <f t="shared" si="130"/>
        <v>0</v>
      </c>
      <c r="BT237" s="59">
        <f t="shared" si="130"/>
        <v>0</v>
      </c>
      <c r="BU237" s="59">
        <f t="shared" si="130"/>
        <v>0</v>
      </c>
      <c r="BV237" s="70">
        <f t="shared" si="101"/>
        <v>448.34999999999997</v>
      </c>
      <c r="BX237" s="54">
        <f t="shared" si="131"/>
        <v>39.65</v>
      </c>
      <c r="BY237" s="54">
        <f t="shared" si="131"/>
        <v>39.65</v>
      </c>
      <c r="BZ237" s="54">
        <f t="shared" si="131"/>
        <v>39.65</v>
      </c>
      <c r="CA237" s="54">
        <f t="shared" si="131"/>
        <v>39.65</v>
      </c>
      <c r="CB237" s="54">
        <f t="shared" si="131"/>
        <v>39.65</v>
      </c>
      <c r="CC237" s="54">
        <f t="shared" si="131"/>
        <v>39.65</v>
      </c>
      <c r="CD237" s="54">
        <f t="shared" si="115"/>
        <v>39.65</v>
      </c>
      <c r="CE237" s="54">
        <f t="shared" si="115"/>
        <v>39.65</v>
      </c>
      <c r="CF237" s="54">
        <f t="shared" si="115"/>
        <v>39.65</v>
      </c>
      <c r="CG237" s="54">
        <f t="shared" si="115"/>
        <v>39.65</v>
      </c>
      <c r="CH237" s="54">
        <f t="shared" si="115"/>
        <v>39.65</v>
      </c>
      <c r="CI237" s="54">
        <f t="shared" si="115"/>
        <v>39.65</v>
      </c>
      <c r="CJ237" s="70">
        <f t="shared" si="133"/>
        <v>475.7999999999999</v>
      </c>
      <c r="CK237" s="59">
        <f t="shared" si="107"/>
        <v>18</v>
      </c>
      <c r="CL237" s="59">
        <f>+CM237-CJ237</f>
        <v>0</v>
      </c>
      <c r="CM237" s="71">
        <f t="shared" si="102"/>
        <v>475.8</v>
      </c>
      <c r="CN237" s="77"/>
      <c r="CO237" s="73"/>
      <c r="CP237" s="78"/>
    </row>
    <row r="238" spans="1:94" ht="20.25" customHeight="1">
      <c r="A238" s="1" t="s">
        <v>625</v>
      </c>
      <c r="B238" s="1" t="s">
        <v>626</v>
      </c>
      <c r="C238" s="58" t="s">
        <v>206</v>
      </c>
      <c r="D238" s="58">
        <f>+VLOOKUP(A238,'[1]BDD-Avk Tx'!B:CE,82,0)</f>
        <v>216</v>
      </c>
      <c r="E238" s="59">
        <v>130</v>
      </c>
      <c r="G238" s="60">
        <v>45525</v>
      </c>
      <c r="H238" s="60">
        <f t="shared" si="98"/>
        <v>45647</v>
      </c>
      <c r="I238" s="60" t="str">
        <f>+VLOOKUP(A238,'[1]BDD-Avk Tx'!B:BZ,77,0)</f>
        <v>CDD</v>
      </c>
      <c r="J238" s="60">
        <f t="shared" si="99"/>
        <v>45647</v>
      </c>
      <c r="N238" s="3"/>
      <c r="P238" s="54">
        <f t="shared" si="121"/>
        <v>1.25</v>
      </c>
      <c r="Q238" s="61">
        <v>6</v>
      </c>
      <c r="R238" s="6">
        <f t="shared" si="104"/>
        <v>18</v>
      </c>
      <c r="S238" s="54">
        <f t="shared" si="111"/>
        <v>1.5</v>
      </c>
      <c r="T238" s="54">
        <f t="shared" si="111"/>
        <v>1.5</v>
      </c>
      <c r="U238" s="54">
        <f t="shared" si="111"/>
        <v>1.5</v>
      </c>
      <c r="V238" s="54">
        <f t="shared" si="111"/>
        <v>1.5</v>
      </c>
      <c r="W238" s="54">
        <f t="shared" si="111"/>
        <v>1.5</v>
      </c>
      <c r="X238" s="54">
        <f t="shared" si="111"/>
        <v>1.5</v>
      </c>
      <c r="Y238" s="54">
        <f t="shared" si="111"/>
        <v>1.5</v>
      </c>
      <c r="Z238" s="54">
        <f t="shared" si="111"/>
        <v>1.5</v>
      </c>
      <c r="AA238" s="54">
        <f t="shared" si="111"/>
        <v>1.5</v>
      </c>
      <c r="AB238" s="54">
        <f t="shared" si="111"/>
        <v>1.5</v>
      </c>
      <c r="AC238" s="54">
        <f t="shared" si="111"/>
        <v>1.5</v>
      </c>
      <c r="AD238" s="54">
        <f t="shared" si="111"/>
        <v>1.5</v>
      </c>
      <c r="AF238" s="63">
        <f t="shared" si="122"/>
        <v>0</v>
      </c>
      <c r="AG238" s="64">
        <v>0</v>
      </c>
      <c r="AH238" s="64">
        <v>0</v>
      </c>
      <c r="AI238" s="65">
        <v>0</v>
      </c>
      <c r="AJ238" s="66"/>
      <c r="AK238" s="64"/>
      <c r="AL238" s="64"/>
      <c r="AM238" s="64"/>
      <c r="AN238" s="64"/>
      <c r="AO238" s="64"/>
      <c r="AP238" s="64"/>
      <c r="AQ238" s="64"/>
      <c r="AR238" s="64"/>
      <c r="AS238" s="70">
        <f t="shared" si="100"/>
        <v>24</v>
      </c>
      <c r="AT238" s="68"/>
      <c r="AU238" s="69">
        <v>30</v>
      </c>
      <c r="AV238" s="63">
        <f t="shared" si="127"/>
        <v>90</v>
      </c>
      <c r="AW238" s="54">
        <f t="shared" si="124"/>
        <v>7.5</v>
      </c>
      <c r="AX238" s="54">
        <f t="shared" si="124"/>
        <v>7.5</v>
      </c>
      <c r="AY238" s="54">
        <f t="shared" si="124"/>
        <v>7.5</v>
      </c>
      <c r="AZ238" s="54">
        <f t="shared" si="120"/>
        <v>7.5</v>
      </c>
      <c r="BA238" s="54">
        <f t="shared" si="120"/>
        <v>7.5</v>
      </c>
      <c r="BB238" s="54">
        <f t="shared" si="120"/>
        <v>7.5</v>
      </c>
      <c r="BC238" s="54">
        <f t="shared" si="120"/>
        <v>7.5</v>
      </c>
      <c r="BD238" s="54">
        <f t="shared" si="120"/>
        <v>7.5</v>
      </c>
      <c r="BE238" s="54">
        <f t="shared" si="120"/>
        <v>7.5</v>
      </c>
      <c r="BF238" s="54">
        <f t="shared" si="120"/>
        <v>7.5</v>
      </c>
      <c r="BG238" s="54">
        <f t="shared" si="120"/>
        <v>7.5</v>
      </c>
      <c r="BH238" s="54">
        <f t="shared" si="120"/>
        <v>7.5</v>
      </c>
      <c r="BI238" s="63">
        <f t="shared" si="132"/>
        <v>0</v>
      </c>
      <c r="BJ238" s="59">
        <f t="shared" si="130"/>
        <v>0</v>
      </c>
      <c r="BK238" s="59">
        <f t="shared" si="130"/>
        <v>0</v>
      </c>
      <c r="BL238" s="59">
        <f t="shared" si="130"/>
        <v>0</v>
      </c>
      <c r="BM238" s="59">
        <f t="shared" si="130"/>
        <v>0</v>
      </c>
      <c r="BN238" s="59">
        <f t="shared" si="130"/>
        <v>0</v>
      </c>
      <c r="BO238" s="59">
        <f t="shared" si="130"/>
        <v>0</v>
      </c>
      <c r="BP238" s="59">
        <f t="shared" si="130"/>
        <v>0</v>
      </c>
      <c r="BQ238" s="59">
        <f t="shared" si="130"/>
        <v>0</v>
      </c>
      <c r="BR238" s="59">
        <f t="shared" si="130"/>
        <v>0</v>
      </c>
      <c r="BS238" s="59">
        <f t="shared" si="130"/>
        <v>0</v>
      </c>
      <c r="BT238" s="59">
        <f t="shared" si="130"/>
        <v>0</v>
      </c>
      <c r="BU238" s="59">
        <f t="shared" si="130"/>
        <v>0</v>
      </c>
      <c r="BV238" s="70">
        <f t="shared" si="101"/>
        <v>120</v>
      </c>
      <c r="BX238" s="54">
        <f t="shared" si="131"/>
        <v>10.833333333333334</v>
      </c>
      <c r="BY238" s="54">
        <f t="shared" si="131"/>
        <v>10.833333333333334</v>
      </c>
      <c r="BZ238" s="54">
        <f t="shared" si="131"/>
        <v>10.833333333333334</v>
      </c>
      <c r="CA238" s="54">
        <f t="shared" si="131"/>
        <v>10.833333333333334</v>
      </c>
      <c r="CB238" s="54">
        <f t="shared" si="131"/>
        <v>10.833333333333334</v>
      </c>
      <c r="CC238" s="54">
        <f t="shared" si="131"/>
        <v>10.833333333333334</v>
      </c>
      <c r="CD238" s="54">
        <f t="shared" si="115"/>
        <v>10.833333333333334</v>
      </c>
      <c r="CE238" s="54">
        <f t="shared" si="115"/>
        <v>10.833333333333334</v>
      </c>
      <c r="CF238" s="54">
        <f t="shared" si="115"/>
        <v>10.833333333333334</v>
      </c>
      <c r="CG238" s="54">
        <f t="shared" si="115"/>
        <v>10.833333333333334</v>
      </c>
      <c r="CH238" s="54">
        <f t="shared" si="115"/>
        <v>10.833333333333334</v>
      </c>
      <c r="CI238" s="54">
        <f t="shared" si="115"/>
        <v>10.833333333333334</v>
      </c>
      <c r="CJ238" s="70">
        <f t="shared" si="133"/>
        <v>129.99999999999997</v>
      </c>
      <c r="CK238" s="59">
        <f t="shared" si="107"/>
        <v>18</v>
      </c>
      <c r="CL238" s="59">
        <f>+CM238-CJ238</f>
        <v>0</v>
      </c>
      <c r="CM238" s="71">
        <f t="shared" si="102"/>
        <v>130</v>
      </c>
      <c r="CN238" s="77"/>
      <c r="CO238" s="55"/>
      <c r="CP238" s="56"/>
    </row>
    <row r="239" spans="1:94" ht="20.25" customHeight="1">
      <c r="A239" s="1" t="s">
        <v>627</v>
      </c>
      <c r="B239" s="1" t="s">
        <v>628</v>
      </c>
      <c r="C239" s="58" t="s">
        <v>542</v>
      </c>
      <c r="D239" s="58">
        <f>+VLOOKUP(A239,'[1]BDD-Avk Tx'!B:CE,82,0)</f>
        <v>212</v>
      </c>
      <c r="E239" s="59">
        <v>130</v>
      </c>
      <c r="G239" s="60">
        <v>45525</v>
      </c>
      <c r="H239" s="60">
        <f t="shared" si="98"/>
        <v>45647</v>
      </c>
      <c r="I239" s="60" t="str">
        <f>+VLOOKUP(A239,'[1]BDD-Avk Tx'!B:BZ,77,0)</f>
        <v>CDD</v>
      </c>
      <c r="J239" s="60">
        <f t="shared" si="99"/>
        <v>45647</v>
      </c>
      <c r="N239" s="3"/>
      <c r="P239" s="54">
        <f>DATEDIF(G239,$AD$6,"m")/12</f>
        <v>1.25</v>
      </c>
      <c r="Q239" s="61">
        <v>6</v>
      </c>
      <c r="R239" s="62">
        <f t="shared" si="104"/>
        <v>18</v>
      </c>
      <c r="S239" s="54">
        <f t="shared" si="111"/>
        <v>1.5</v>
      </c>
      <c r="T239" s="54">
        <f t="shared" si="111"/>
        <v>1.5</v>
      </c>
      <c r="U239" s="54">
        <f t="shared" si="111"/>
        <v>1.5</v>
      </c>
      <c r="V239" s="54">
        <f t="shared" si="111"/>
        <v>1.5</v>
      </c>
      <c r="W239" s="54">
        <f t="shared" si="111"/>
        <v>1.5</v>
      </c>
      <c r="X239" s="54">
        <f t="shared" si="111"/>
        <v>1.5</v>
      </c>
      <c r="Y239" s="54">
        <f t="shared" si="111"/>
        <v>1.5</v>
      </c>
      <c r="Z239" s="54">
        <f t="shared" si="111"/>
        <v>1.5</v>
      </c>
      <c r="AA239" s="54">
        <f t="shared" si="111"/>
        <v>1.5</v>
      </c>
      <c r="AB239" s="54">
        <f t="shared" si="111"/>
        <v>1.5</v>
      </c>
      <c r="AC239" s="54">
        <f t="shared" si="111"/>
        <v>1.5</v>
      </c>
      <c r="AD239" s="54">
        <f t="shared" si="111"/>
        <v>1.5</v>
      </c>
      <c r="AF239" s="63">
        <f t="shared" si="122"/>
        <v>0</v>
      </c>
      <c r="AG239" s="64">
        <v>0</v>
      </c>
      <c r="AH239" s="64">
        <v>0</v>
      </c>
      <c r="AI239" s="65">
        <v>0</v>
      </c>
      <c r="AJ239" s="66"/>
      <c r="AK239" s="64"/>
      <c r="AL239" s="64"/>
      <c r="AM239" s="64"/>
      <c r="AN239" s="64"/>
      <c r="AO239" s="64"/>
      <c r="AP239" s="64"/>
      <c r="AQ239" s="64"/>
      <c r="AR239" s="64"/>
      <c r="AS239" s="70">
        <f t="shared" si="100"/>
        <v>24</v>
      </c>
      <c r="AT239" s="68"/>
      <c r="AU239" s="69">
        <v>30</v>
      </c>
      <c r="AV239" s="63">
        <f t="shared" si="127"/>
        <v>90</v>
      </c>
      <c r="AW239" s="54">
        <f t="shared" si="124"/>
        <v>7.5</v>
      </c>
      <c r="AX239" s="54">
        <f t="shared" si="124"/>
        <v>7.5</v>
      </c>
      <c r="AY239" s="54">
        <f t="shared" si="124"/>
        <v>7.5</v>
      </c>
      <c r="AZ239" s="54">
        <f t="shared" si="120"/>
        <v>7.5</v>
      </c>
      <c r="BA239" s="54">
        <f t="shared" si="120"/>
        <v>7.5</v>
      </c>
      <c r="BB239" s="54">
        <f t="shared" si="120"/>
        <v>7.5</v>
      </c>
      <c r="BC239" s="54">
        <f t="shared" si="120"/>
        <v>7.5</v>
      </c>
      <c r="BD239" s="54">
        <f t="shared" si="120"/>
        <v>7.5</v>
      </c>
      <c r="BE239" s="54">
        <f t="shared" si="120"/>
        <v>7.5</v>
      </c>
      <c r="BF239" s="54">
        <f t="shared" si="120"/>
        <v>7.5</v>
      </c>
      <c r="BG239" s="54">
        <f t="shared" si="120"/>
        <v>7.5</v>
      </c>
      <c r="BH239" s="54">
        <f t="shared" si="120"/>
        <v>7.5</v>
      </c>
      <c r="BI239" s="63">
        <f t="shared" si="132"/>
        <v>0</v>
      </c>
      <c r="BJ239" s="59">
        <f t="shared" si="130"/>
        <v>0</v>
      </c>
      <c r="BK239" s="59">
        <f t="shared" si="130"/>
        <v>0</v>
      </c>
      <c r="BL239" s="59">
        <f t="shared" si="130"/>
        <v>0</v>
      </c>
      <c r="BM239" s="59">
        <f t="shared" si="130"/>
        <v>0</v>
      </c>
      <c r="BN239" s="59">
        <f t="shared" si="130"/>
        <v>0</v>
      </c>
      <c r="BO239" s="59">
        <f t="shared" si="130"/>
        <v>0</v>
      </c>
      <c r="BP239" s="59">
        <f t="shared" si="130"/>
        <v>0</v>
      </c>
      <c r="BQ239" s="59">
        <f t="shared" si="130"/>
        <v>0</v>
      </c>
      <c r="BR239" s="59">
        <f t="shared" si="130"/>
        <v>0</v>
      </c>
      <c r="BS239" s="59">
        <f t="shared" si="130"/>
        <v>0</v>
      </c>
      <c r="BT239" s="59">
        <f t="shared" si="130"/>
        <v>0</v>
      </c>
      <c r="BU239" s="59">
        <f t="shared" si="130"/>
        <v>0</v>
      </c>
      <c r="BV239" s="70">
        <f t="shared" si="101"/>
        <v>120</v>
      </c>
      <c r="BX239" s="54">
        <f t="shared" si="131"/>
        <v>10.833333333333334</v>
      </c>
      <c r="BY239" s="54">
        <f t="shared" si="131"/>
        <v>10.833333333333334</v>
      </c>
      <c r="BZ239" s="54">
        <f t="shared" si="131"/>
        <v>10.833333333333334</v>
      </c>
      <c r="CA239" s="54">
        <f t="shared" si="131"/>
        <v>10.833333333333334</v>
      </c>
      <c r="CB239" s="54">
        <f t="shared" si="131"/>
        <v>10.833333333333334</v>
      </c>
      <c r="CC239" s="54">
        <f t="shared" si="131"/>
        <v>10.833333333333334</v>
      </c>
      <c r="CD239" s="54">
        <f t="shared" si="115"/>
        <v>10.833333333333334</v>
      </c>
      <c r="CE239" s="54">
        <f t="shared" si="115"/>
        <v>10.833333333333334</v>
      </c>
      <c r="CF239" s="54">
        <f t="shared" si="115"/>
        <v>10.833333333333334</v>
      </c>
      <c r="CG239" s="54">
        <f t="shared" si="115"/>
        <v>10.833333333333334</v>
      </c>
      <c r="CH239" s="54">
        <f t="shared" si="115"/>
        <v>10.833333333333334</v>
      </c>
      <c r="CI239" s="54">
        <f t="shared" si="115"/>
        <v>10.833333333333334</v>
      </c>
      <c r="CJ239" s="70">
        <f t="shared" ref="CJ239" si="134">SUM(BX239:CI239)</f>
        <v>129.99999999999997</v>
      </c>
      <c r="CK239" s="59">
        <f>+IF(P239&lt;5,18,IF(AND(P239&gt;=5,P239&lt;10),19,IF(AND(P239&gt;=10,P239&lt;15),20,IF(AND(P239&gt;=15,P239&lt;20),21,0))))</f>
        <v>18</v>
      </c>
      <c r="CL239" s="59">
        <f t="shared" ref="CL239:CL240" si="135">+CM239-CJ239</f>
        <v>0</v>
      </c>
      <c r="CM239" s="71">
        <f t="shared" si="102"/>
        <v>130</v>
      </c>
      <c r="CN239" s="77"/>
      <c r="CO239" s="55"/>
      <c r="CP239" s="56"/>
    </row>
    <row r="240" spans="1:94" ht="20.25" customHeight="1">
      <c r="A240" s="1" t="s">
        <v>629</v>
      </c>
      <c r="B240" s="1" t="s">
        <v>630</v>
      </c>
      <c r="C240" s="58" t="s">
        <v>631</v>
      </c>
      <c r="D240" s="58">
        <f>+VLOOKUP(A240,'[1]BDD-Avk Tx'!B:CE,82,0)</f>
        <v>640</v>
      </c>
      <c r="E240" s="59">
        <v>475.8</v>
      </c>
      <c r="G240" s="4">
        <v>45558</v>
      </c>
      <c r="H240" s="60">
        <f t="shared" si="98"/>
        <v>45647</v>
      </c>
      <c r="I240" s="60" t="str">
        <f>+VLOOKUP(A240,'[1]BDD-Avk Tx'!B:BZ,77,0)</f>
        <v>CDD</v>
      </c>
      <c r="J240" s="60">
        <f t="shared" si="99"/>
        <v>45647</v>
      </c>
      <c r="N240" s="3"/>
      <c r="P240" s="54">
        <f>DATEDIF(G240,$AD$6,"m")/12</f>
        <v>1.1666666666666667</v>
      </c>
      <c r="Q240" s="61">
        <v>3</v>
      </c>
      <c r="R240" s="62">
        <f t="shared" si="104"/>
        <v>18</v>
      </c>
      <c r="S240" s="54">
        <f t="shared" si="111"/>
        <v>1.5</v>
      </c>
      <c r="T240" s="54">
        <f t="shared" si="111"/>
        <v>1.5</v>
      </c>
      <c r="U240" s="54">
        <f t="shared" si="111"/>
        <v>1.5</v>
      </c>
      <c r="V240" s="54">
        <f t="shared" si="111"/>
        <v>1.5</v>
      </c>
      <c r="W240" s="54">
        <f t="shared" si="111"/>
        <v>1.5</v>
      </c>
      <c r="X240" s="54">
        <f t="shared" si="111"/>
        <v>1.5</v>
      </c>
      <c r="Y240" s="54">
        <f t="shared" si="111"/>
        <v>1.5</v>
      </c>
      <c r="Z240" s="54">
        <f t="shared" si="111"/>
        <v>1.5</v>
      </c>
      <c r="AA240" s="54">
        <f t="shared" si="111"/>
        <v>1.5</v>
      </c>
      <c r="AB240" s="54">
        <f t="shared" si="111"/>
        <v>1.5</v>
      </c>
      <c r="AC240" s="54">
        <f t="shared" si="111"/>
        <v>1.5</v>
      </c>
      <c r="AD240" s="54">
        <f t="shared" si="111"/>
        <v>1.5</v>
      </c>
      <c r="AF240" s="63">
        <f t="shared" si="122"/>
        <v>0</v>
      </c>
      <c r="AG240" s="64">
        <v>0</v>
      </c>
      <c r="AH240" s="64">
        <v>0</v>
      </c>
      <c r="AI240" s="65">
        <v>0</v>
      </c>
      <c r="AJ240" s="64"/>
      <c r="AK240" s="64"/>
      <c r="AL240" s="64"/>
      <c r="AM240" s="64"/>
      <c r="AN240" s="64"/>
      <c r="AO240" s="64"/>
      <c r="AP240" s="64"/>
      <c r="AQ240" s="64"/>
      <c r="AR240" s="64"/>
      <c r="AS240" s="70">
        <f t="shared" si="100"/>
        <v>21</v>
      </c>
      <c r="AT240" s="68"/>
      <c r="AU240" s="69">
        <v>54.900000000000006</v>
      </c>
      <c r="AV240" s="63">
        <f t="shared" si="127"/>
        <v>329.39999999999992</v>
      </c>
      <c r="AW240" s="54">
        <f t="shared" si="124"/>
        <v>27.450000000000003</v>
      </c>
      <c r="AX240" s="54">
        <f t="shared" si="124"/>
        <v>27.450000000000003</v>
      </c>
      <c r="AY240" s="54">
        <f t="shared" si="124"/>
        <v>27.450000000000003</v>
      </c>
      <c r="AZ240" s="54">
        <f t="shared" si="120"/>
        <v>27.450000000000003</v>
      </c>
      <c r="BA240" s="54">
        <f t="shared" si="120"/>
        <v>27.450000000000003</v>
      </c>
      <c r="BB240" s="54">
        <f t="shared" si="120"/>
        <v>27.450000000000003</v>
      </c>
      <c r="BC240" s="54">
        <f t="shared" si="120"/>
        <v>27.450000000000003</v>
      </c>
      <c r="BD240" s="54">
        <f t="shared" si="120"/>
        <v>27.450000000000003</v>
      </c>
      <c r="BE240" s="54">
        <f t="shared" si="120"/>
        <v>27.450000000000003</v>
      </c>
      <c r="BF240" s="54">
        <f t="shared" si="120"/>
        <v>27.450000000000003</v>
      </c>
      <c r="BG240" s="54">
        <f t="shared" si="120"/>
        <v>27.450000000000003</v>
      </c>
      <c r="BH240" s="54">
        <f t="shared" si="120"/>
        <v>27.450000000000003</v>
      </c>
      <c r="BI240" s="63">
        <f t="shared" ref="BI240:BI243" si="136">SUM(BJ240:BU240)</f>
        <v>0</v>
      </c>
      <c r="BJ240" s="59">
        <f t="shared" si="130"/>
        <v>0</v>
      </c>
      <c r="BK240" s="59">
        <f t="shared" si="130"/>
        <v>0</v>
      </c>
      <c r="BL240" s="59">
        <f t="shared" si="130"/>
        <v>0</v>
      </c>
      <c r="BM240" s="59">
        <f t="shared" si="130"/>
        <v>0</v>
      </c>
      <c r="BN240" s="59">
        <f t="shared" si="130"/>
        <v>0</v>
      </c>
      <c r="BO240" s="59">
        <f t="shared" si="130"/>
        <v>0</v>
      </c>
      <c r="BP240" s="59">
        <f t="shared" si="130"/>
        <v>0</v>
      </c>
      <c r="BQ240" s="59">
        <f t="shared" si="130"/>
        <v>0</v>
      </c>
      <c r="BR240" s="59">
        <f t="shared" si="130"/>
        <v>0</v>
      </c>
      <c r="BS240" s="59">
        <f t="shared" si="130"/>
        <v>0</v>
      </c>
      <c r="BT240" s="59">
        <f t="shared" si="130"/>
        <v>0</v>
      </c>
      <c r="BU240" s="59">
        <f t="shared" si="130"/>
        <v>0</v>
      </c>
      <c r="BV240" s="70">
        <f t="shared" si="101"/>
        <v>384.29999999999995</v>
      </c>
      <c r="BX240" s="54">
        <f t="shared" si="131"/>
        <v>39.65</v>
      </c>
      <c r="BY240" s="54">
        <f t="shared" si="131"/>
        <v>39.65</v>
      </c>
      <c r="BZ240" s="54">
        <f t="shared" si="131"/>
        <v>39.65</v>
      </c>
      <c r="CA240" s="54">
        <f t="shared" si="131"/>
        <v>39.65</v>
      </c>
      <c r="CB240" s="54">
        <f t="shared" si="131"/>
        <v>39.65</v>
      </c>
      <c r="CC240" s="54">
        <f t="shared" si="131"/>
        <v>39.65</v>
      </c>
      <c r="CD240" s="54">
        <f t="shared" si="115"/>
        <v>39.65</v>
      </c>
      <c r="CE240" s="54">
        <f t="shared" si="115"/>
        <v>39.65</v>
      </c>
      <c r="CF240" s="54">
        <f t="shared" si="115"/>
        <v>39.65</v>
      </c>
      <c r="CG240" s="54">
        <f t="shared" si="115"/>
        <v>39.65</v>
      </c>
      <c r="CH240" s="54">
        <f t="shared" si="115"/>
        <v>39.65</v>
      </c>
      <c r="CI240" s="54">
        <f t="shared" si="115"/>
        <v>39.65</v>
      </c>
      <c r="CJ240" s="70">
        <f t="shared" ref="CJ240" si="137">SUM(BX240:CI240)</f>
        <v>475.7999999999999</v>
      </c>
      <c r="CK240" s="59">
        <f>+IF(P240&lt;5,18,IF(AND(P240&gt;=5,P240&lt;10),19,IF(AND(P240&gt;=10,P240&lt;15),20,IF(AND(P240&gt;=15,P240&lt;20),21,0))))</f>
        <v>18</v>
      </c>
      <c r="CL240" s="59">
        <f t="shared" si="135"/>
        <v>0</v>
      </c>
      <c r="CM240" s="71">
        <f t="shared" si="102"/>
        <v>475.8</v>
      </c>
      <c r="CN240" s="77"/>
      <c r="CO240" s="55"/>
      <c r="CP240" s="56"/>
    </row>
    <row r="241" spans="1:94" ht="20.25" customHeight="1">
      <c r="A241" s="1" t="s">
        <v>632</v>
      </c>
      <c r="B241" s="1" t="s">
        <v>633</v>
      </c>
      <c r="C241" s="58" t="s">
        <v>634</v>
      </c>
      <c r="D241" s="58">
        <f>+VLOOKUP(A241,'[1]BDD-Avk Tx'!B:CE,82,0)</f>
        <v>481</v>
      </c>
      <c r="E241" s="59">
        <v>150.80000000000001</v>
      </c>
      <c r="G241" s="4">
        <v>45590</v>
      </c>
      <c r="H241" s="60">
        <f t="shared" si="98"/>
        <v>45647</v>
      </c>
      <c r="I241" s="60" t="str">
        <f>+VLOOKUP(A241,'[1]BDD-Avk Tx'!B:BZ,77,0)</f>
        <v>CDD</v>
      </c>
      <c r="J241" s="60">
        <f t="shared" si="99"/>
        <v>45647</v>
      </c>
      <c r="N241" s="3"/>
      <c r="P241" s="54">
        <f t="shared" ref="P241:P242" si="138">DATEDIF(G241,$AD$6,"m")/12</f>
        <v>1.0833333333333333</v>
      </c>
      <c r="Q241" s="61">
        <v>3</v>
      </c>
      <c r="R241" s="62">
        <f t="shared" si="104"/>
        <v>18</v>
      </c>
      <c r="S241" s="54">
        <f t="shared" si="111"/>
        <v>1.5</v>
      </c>
      <c r="T241" s="54">
        <f t="shared" si="111"/>
        <v>1.5</v>
      </c>
      <c r="U241" s="54">
        <f t="shared" si="111"/>
        <v>1.5</v>
      </c>
      <c r="V241" s="54">
        <f t="shared" si="111"/>
        <v>1.5</v>
      </c>
      <c r="W241" s="54">
        <f t="shared" si="111"/>
        <v>1.5</v>
      </c>
      <c r="X241" s="54">
        <f t="shared" si="111"/>
        <v>1.5</v>
      </c>
      <c r="Y241" s="54">
        <f t="shared" si="111"/>
        <v>1.5</v>
      </c>
      <c r="Z241" s="54">
        <f t="shared" si="111"/>
        <v>1.5</v>
      </c>
      <c r="AA241" s="54">
        <f t="shared" si="111"/>
        <v>1.5</v>
      </c>
      <c r="AB241" s="54">
        <f t="shared" si="111"/>
        <v>1.5</v>
      </c>
      <c r="AC241" s="54">
        <f t="shared" si="111"/>
        <v>1.5</v>
      </c>
      <c r="AD241" s="54">
        <f t="shared" si="111"/>
        <v>1.5</v>
      </c>
      <c r="AF241" s="63">
        <f t="shared" si="122"/>
        <v>0</v>
      </c>
      <c r="AG241" s="64">
        <v>0</v>
      </c>
      <c r="AH241" s="64">
        <v>0</v>
      </c>
      <c r="AI241" s="65">
        <v>0</v>
      </c>
      <c r="AJ241" s="64"/>
      <c r="AK241" s="64"/>
      <c r="AL241" s="64"/>
      <c r="AM241" s="64"/>
      <c r="AN241" s="64"/>
      <c r="AO241" s="64"/>
      <c r="AP241" s="64"/>
      <c r="AQ241" s="64"/>
      <c r="AR241" s="66"/>
      <c r="AS241" s="70">
        <f t="shared" si="100"/>
        <v>21</v>
      </c>
      <c r="AT241" s="68"/>
      <c r="AU241" s="69">
        <v>17.400000000000002</v>
      </c>
      <c r="AV241" s="63">
        <f t="shared" si="127"/>
        <v>104.40000000000002</v>
      </c>
      <c r="AW241" s="54">
        <f t="shared" si="124"/>
        <v>8.7000000000000011</v>
      </c>
      <c r="AX241" s="54">
        <f t="shared" si="124"/>
        <v>8.7000000000000011</v>
      </c>
      <c r="AY241" s="54">
        <f t="shared" si="124"/>
        <v>8.7000000000000011</v>
      </c>
      <c r="AZ241" s="54">
        <f t="shared" si="120"/>
        <v>8.7000000000000011</v>
      </c>
      <c r="BA241" s="54">
        <f t="shared" si="120"/>
        <v>8.7000000000000011</v>
      </c>
      <c r="BB241" s="54">
        <f t="shared" si="120"/>
        <v>8.7000000000000011</v>
      </c>
      <c r="BC241" s="54">
        <f t="shared" si="120"/>
        <v>8.7000000000000011</v>
      </c>
      <c r="BD241" s="54">
        <f t="shared" si="120"/>
        <v>8.7000000000000011</v>
      </c>
      <c r="BE241" s="54">
        <f t="shared" si="120"/>
        <v>8.7000000000000011</v>
      </c>
      <c r="BF241" s="54">
        <f t="shared" si="120"/>
        <v>8.7000000000000011</v>
      </c>
      <c r="BG241" s="54">
        <f t="shared" si="120"/>
        <v>8.7000000000000011</v>
      </c>
      <c r="BH241" s="54">
        <f t="shared" si="120"/>
        <v>8.7000000000000011</v>
      </c>
      <c r="BI241" s="63">
        <f t="shared" si="136"/>
        <v>0</v>
      </c>
      <c r="BJ241" s="59">
        <f t="shared" si="130"/>
        <v>0</v>
      </c>
      <c r="BK241" s="59">
        <f t="shared" si="130"/>
        <v>0</v>
      </c>
      <c r="BL241" s="59">
        <f t="shared" si="130"/>
        <v>0</v>
      </c>
      <c r="BM241" s="59">
        <f t="shared" si="130"/>
        <v>0</v>
      </c>
      <c r="BN241" s="59">
        <f t="shared" si="130"/>
        <v>0</v>
      </c>
      <c r="BO241" s="59">
        <f t="shared" si="130"/>
        <v>0</v>
      </c>
      <c r="BP241" s="59">
        <f t="shared" si="130"/>
        <v>0</v>
      </c>
      <c r="BQ241" s="59">
        <f t="shared" si="130"/>
        <v>0</v>
      </c>
      <c r="BR241" s="59">
        <f t="shared" si="130"/>
        <v>0</v>
      </c>
      <c r="BS241" s="59">
        <f t="shared" si="130"/>
        <v>0</v>
      </c>
      <c r="BT241" s="59">
        <f t="shared" si="130"/>
        <v>0</v>
      </c>
      <c r="BU241" s="59">
        <f t="shared" si="130"/>
        <v>0</v>
      </c>
      <c r="BV241" s="70">
        <f t="shared" si="101"/>
        <v>121.80000000000003</v>
      </c>
      <c r="BX241" s="54">
        <f t="shared" si="131"/>
        <v>12.566666666666666</v>
      </c>
      <c r="BY241" s="54">
        <f t="shared" si="131"/>
        <v>12.566666666666666</v>
      </c>
      <c r="BZ241" s="54">
        <f t="shared" si="131"/>
        <v>12.566666666666666</v>
      </c>
      <c r="CA241" s="54">
        <f t="shared" si="131"/>
        <v>12.566666666666666</v>
      </c>
      <c r="CB241" s="54">
        <f t="shared" si="131"/>
        <v>12.566666666666666</v>
      </c>
      <c r="CC241" s="54">
        <f t="shared" si="131"/>
        <v>12.566666666666666</v>
      </c>
      <c r="CD241" s="54">
        <f t="shared" si="115"/>
        <v>12.566666666666666</v>
      </c>
      <c r="CE241" s="54">
        <f t="shared" si="115"/>
        <v>12.566666666666666</v>
      </c>
      <c r="CF241" s="54">
        <f t="shared" si="115"/>
        <v>12.566666666666666</v>
      </c>
      <c r="CG241" s="54">
        <f t="shared" si="115"/>
        <v>12.566666666666666</v>
      </c>
      <c r="CH241" s="54">
        <f t="shared" si="115"/>
        <v>12.566666666666666</v>
      </c>
      <c r="CI241" s="54">
        <f t="shared" si="115"/>
        <v>12.566666666666666</v>
      </c>
      <c r="CJ241" s="70">
        <f t="shared" ref="CJ241:CJ250" si="139">SUM(BX241:CI241)</f>
        <v>150.79999999999998</v>
      </c>
      <c r="CK241" s="59">
        <f t="shared" ref="CK241:CK248" si="140">+IF(P241&lt;5,18,IF(AND(P241&gt;=5,P241&lt;10),19,IF(AND(P241&gt;=10,P241&lt;15),20,IF(AND(P241&gt;=15,P241&lt;20),21,0))))</f>
        <v>18</v>
      </c>
      <c r="CL241" s="59">
        <f>+CM241-CJ241</f>
        <v>0</v>
      </c>
      <c r="CM241" s="71">
        <f t="shared" si="102"/>
        <v>150.80000000000001</v>
      </c>
      <c r="CN241" s="77"/>
      <c r="CO241" s="55"/>
      <c r="CP241" s="56"/>
    </row>
    <row r="242" spans="1:94" ht="20.25" customHeight="1">
      <c r="A242" s="1" t="s">
        <v>635</v>
      </c>
      <c r="B242" s="1" t="s">
        <v>636</v>
      </c>
      <c r="C242" s="58" t="s">
        <v>637</v>
      </c>
      <c r="D242" s="58">
        <f>+VLOOKUP(A242,'[1]BDD-Avk Tx'!B:CE,82,0)</f>
        <v>120</v>
      </c>
      <c r="E242" s="59">
        <v>267</v>
      </c>
      <c r="G242" s="4">
        <v>45621</v>
      </c>
      <c r="H242" s="60">
        <f>+IF(YEAR(G242)&lt;YEAR($H$5),$H$4,G242)</f>
        <v>45647</v>
      </c>
      <c r="I242" s="60" t="str">
        <f>+VLOOKUP(A242,'[1]BDD-Avk Tx'!B:BZ,77,0)</f>
        <v>CDD</v>
      </c>
      <c r="J242" s="60">
        <f>+IF(I242="CDI",H242,H242+0)</f>
        <v>45647</v>
      </c>
      <c r="N242" s="3"/>
      <c r="P242" s="54">
        <f t="shared" si="138"/>
        <v>1</v>
      </c>
      <c r="Q242" s="61">
        <v>1.5</v>
      </c>
      <c r="R242" s="62">
        <f t="shared" si="104"/>
        <v>18</v>
      </c>
      <c r="S242" s="54">
        <f t="shared" si="111"/>
        <v>1.5</v>
      </c>
      <c r="T242" s="54">
        <f t="shared" si="111"/>
        <v>1.5</v>
      </c>
      <c r="U242" s="54">
        <f t="shared" si="111"/>
        <v>1.5</v>
      </c>
      <c r="V242" s="54">
        <f t="shared" si="111"/>
        <v>1.5</v>
      </c>
      <c r="W242" s="54">
        <f t="shared" si="111"/>
        <v>1.5</v>
      </c>
      <c r="X242" s="54">
        <f t="shared" si="111"/>
        <v>1.5</v>
      </c>
      <c r="Y242" s="54">
        <f t="shared" si="111"/>
        <v>1.5</v>
      </c>
      <c r="Z242" s="54">
        <f t="shared" si="111"/>
        <v>1.5</v>
      </c>
      <c r="AA242" s="54">
        <f t="shared" si="111"/>
        <v>1.5</v>
      </c>
      <c r="AB242" s="54">
        <f t="shared" si="111"/>
        <v>1.5</v>
      </c>
      <c r="AC242" s="54">
        <f t="shared" si="111"/>
        <v>1.5</v>
      </c>
      <c r="AD242" s="54">
        <f t="shared" si="111"/>
        <v>1.5</v>
      </c>
      <c r="AF242" s="63">
        <f t="shared" si="122"/>
        <v>0</v>
      </c>
      <c r="AG242" s="64">
        <v>0</v>
      </c>
      <c r="AH242" s="64">
        <v>0</v>
      </c>
      <c r="AI242" s="65">
        <v>0</v>
      </c>
      <c r="AJ242" s="64"/>
      <c r="AK242" s="64"/>
      <c r="AL242" s="64"/>
      <c r="AM242" s="64"/>
      <c r="AN242" s="64"/>
      <c r="AO242" s="64"/>
      <c r="AP242" s="64"/>
      <c r="AQ242" s="64"/>
      <c r="AR242" s="66"/>
      <c r="AS242" s="70">
        <f t="shared" si="100"/>
        <v>19.5</v>
      </c>
      <c r="AT242" s="68"/>
      <c r="AU242" s="69">
        <v>15.403846153846155</v>
      </c>
      <c r="AV242" s="63">
        <f t="shared" si="127"/>
        <v>184.8461538461539</v>
      </c>
      <c r="AW242" s="54">
        <f t="shared" si="124"/>
        <v>15.403846153846155</v>
      </c>
      <c r="AX242" s="54">
        <f t="shared" si="124"/>
        <v>15.403846153846155</v>
      </c>
      <c r="AY242" s="54">
        <f t="shared" si="124"/>
        <v>15.403846153846155</v>
      </c>
      <c r="AZ242" s="54">
        <f t="shared" si="120"/>
        <v>15.403846153846155</v>
      </c>
      <c r="BA242" s="54">
        <f t="shared" si="120"/>
        <v>15.403846153846155</v>
      </c>
      <c r="BB242" s="54">
        <f t="shared" si="120"/>
        <v>15.403846153846155</v>
      </c>
      <c r="BC242" s="54">
        <f t="shared" si="120"/>
        <v>15.403846153846155</v>
      </c>
      <c r="BD242" s="54">
        <f t="shared" si="120"/>
        <v>15.403846153846155</v>
      </c>
      <c r="BE242" s="54">
        <f t="shared" si="120"/>
        <v>15.403846153846155</v>
      </c>
      <c r="BF242" s="54">
        <f t="shared" si="120"/>
        <v>15.403846153846155</v>
      </c>
      <c r="BG242" s="54">
        <f t="shared" si="120"/>
        <v>15.403846153846155</v>
      </c>
      <c r="BH242" s="54">
        <f t="shared" si="120"/>
        <v>15.403846153846155</v>
      </c>
      <c r="BI242" s="63">
        <f t="shared" si="136"/>
        <v>0</v>
      </c>
      <c r="BJ242" s="59">
        <f t="shared" si="130"/>
        <v>0</v>
      </c>
      <c r="BK242" s="59">
        <f t="shared" si="130"/>
        <v>0</v>
      </c>
      <c r="BL242" s="59">
        <f t="shared" si="130"/>
        <v>0</v>
      </c>
      <c r="BM242" s="59">
        <f t="shared" si="130"/>
        <v>0</v>
      </c>
      <c r="BN242" s="59">
        <f t="shared" si="130"/>
        <v>0</v>
      </c>
      <c r="BO242" s="59">
        <f t="shared" si="130"/>
        <v>0</v>
      </c>
      <c r="BP242" s="59">
        <f t="shared" si="130"/>
        <v>0</v>
      </c>
      <c r="BQ242" s="59">
        <f t="shared" si="130"/>
        <v>0</v>
      </c>
      <c r="BR242" s="59">
        <f t="shared" si="130"/>
        <v>0</v>
      </c>
      <c r="BS242" s="59">
        <f t="shared" si="130"/>
        <v>0</v>
      </c>
      <c r="BT242" s="59">
        <f t="shared" si="130"/>
        <v>0</v>
      </c>
      <c r="BU242" s="59">
        <f t="shared" si="130"/>
        <v>0</v>
      </c>
      <c r="BV242" s="70">
        <f t="shared" si="101"/>
        <v>200.25000000000006</v>
      </c>
      <c r="BX242" s="54">
        <f t="shared" si="131"/>
        <v>22.25</v>
      </c>
      <c r="BY242" s="54">
        <f t="shared" si="131"/>
        <v>22.25</v>
      </c>
      <c r="BZ242" s="54">
        <f t="shared" si="131"/>
        <v>22.25</v>
      </c>
      <c r="CA242" s="54">
        <f t="shared" si="131"/>
        <v>22.25</v>
      </c>
      <c r="CB242" s="54">
        <f t="shared" si="131"/>
        <v>22.25</v>
      </c>
      <c r="CC242" s="54">
        <f t="shared" si="131"/>
        <v>22.25</v>
      </c>
      <c r="CD242" s="54">
        <f t="shared" si="115"/>
        <v>22.25</v>
      </c>
      <c r="CE242" s="54">
        <f t="shared" si="115"/>
        <v>22.25</v>
      </c>
      <c r="CF242" s="54">
        <f t="shared" si="115"/>
        <v>22.25</v>
      </c>
      <c r="CG242" s="54">
        <f t="shared" si="115"/>
        <v>22.25</v>
      </c>
      <c r="CH242" s="54">
        <f t="shared" si="115"/>
        <v>22.25</v>
      </c>
      <c r="CI242" s="54">
        <f t="shared" si="115"/>
        <v>22.25</v>
      </c>
      <c r="CJ242" s="70">
        <f t="shared" si="139"/>
        <v>267</v>
      </c>
      <c r="CK242" s="59">
        <f t="shared" si="140"/>
        <v>18</v>
      </c>
      <c r="CL242" s="59">
        <f>+CM242-CJ242</f>
        <v>0</v>
      </c>
      <c r="CM242" s="71">
        <f t="shared" si="102"/>
        <v>267</v>
      </c>
      <c r="CN242" s="77"/>
      <c r="CO242" s="55"/>
      <c r="CP242" s="56"/>
    </row>
    <row r="243" spans="1:94" ht="20.25" customHeight="1">
      <c r="A243" s="1" t="s">
        <v>638</v>
      </c>
      <c r="B243" s="1" t="s">
        <v>639</v>
      </c>
      <c r="C243" s="58" t="s">
        <v>70</v>
      </c>
      <c r="D243" s="58">
        <f>+VLOOKUP(A243,'[1]BDD-Avk Tx'!B:CE,82,0)</f>
        <v>420</v>
      </c>
      <c r="E243" s="59">
        <v>130</v>
      </c>
      <c r="G243" s="4">
        <v>45639</v>
      </c>
      <c r="H243" s="60">
        <f t="shared" si="98"/>
        <v>45647</v>
      </c>
      <c r="I243" s="60" t="str">
        <f>+VLOOKUP(A243,'[1]BDD-Avk Tx'!B:BZ,77,0)</f>
        <v>CDD</v>
      </c>
      <c r="J243" s="60">
        <f t="shared" si="99"/>
        <v>45647</v>
      </c>
      <c r="N243" s="3"/>
      <c r="P243" s="54">
        <f>DATEDIF(G243,$AD$6,"m")/12</f>
        <v>1</v>
      </c>
      <c r="Q243" s="61">
        <v>0</v>
      </c>
      <c r="R243" s="62">
        <f t="shared" si="104"/>
        <v>18</v>
      </c>
      <c r="S243" s="54">
        <f t="shared" si="111"/>
        <v>1.5</v>
      </c>
      <c r="T243" s="54">
        <f t="shared" si="111"/>
        <v>1.5</v>
      </c>
      <c r="U243" s="54">
        <f t="shared" si="111"/>
        <v>1.5</v>
      </c>
      <c r="V243" s="54">
        <f t="shared" si="111"/>
        <v>1.5</v>
      </c>
      <c r="W243" s="54">
        <f t="shared" si="111"/>
        <v>1.5</v>
      </c>
      <c r="X243" s="54">
        <f t="shared" si="111"/>
        <v>1.5</v>
      </c>
      <c r="Y243" s="54">
        <f t="shared" si="111"/>
        <v>1.5</v>
      </c>
      <c r="Z243" s="54">
        <f t="shared" si="111"/>
        <v>1.5</v>
      </c>
      <c r="AA243" s="54">
        <f t="shared" si="111"/>
        <v>1.5</v>
      </c>
      <c r="AB243" s="54">
        <f t="shared" si="111"/>
        <v>1.5</v>
      </c>
      <c r="AC243" s="54">
        <f t="shared" si="111"/>
        <v>1.5</v>
      </c>
      <c r="AD243" s="54">
        <f t="shared" si="111"/>
        <v>1.5</v>
      </c>
      <c r="AF243" s="63">
        <f t="shared" si="122"/>
        <v>0</v>
      </c>
      <c r="AG243" s="64">
        <v>0</v>
      </c>
      <c r="AH243" s="64">
        <v>0</v>
      </c>
      <c r="AI243" s="65">
        <v>0</v>
      </c>
      <c r="AJ243" s="64"/>
      <c r="AK243" s="64"/>
      <c r="AL243" s="64"/>
      <c r="AM243" s="64"/>
      <c r="AN243" s="64"/>
      <c r="AO243" s="64"/>
      <c r="AP243" s="64"/>
      <c r="AQ243" s="64"/>
      <c r="AR243" s="64"/>
      <c r="AS243" s="70">
        <f t="shared" si="100"/>
        <v>18</v>
      </c>
      <c r="AT243" s="68"/>
      <c r="AU243" s="69">
        <v>0</v>
      </c>
      <c r="AV243" s="63">
        <f t="shared" si="127"/>
        <v>90</v>
      </c>
      <c r="AW243" s="54">
        <f t="shared" si="124"/>
        <v>7.5</v>
      </c>
      <c r="AX243" s="54">
        <f t="shared" si="124"/>
        <v>7.5</v>
      </c>
      <c r="AY243" s="54">
        <f t="shared" si="124"/>
        <v>7.5</v>
      </c>
      <c r="AZ243" s="54">
        <f t="shared" si="120"/>
        <v>7.5</v>
      </c>
      <c r="BA243" s="54">
        <f t="shared" si="120"/>
        <v>7.5</v>
      </c>
      <c r="BB243" s="54">
        <f t="shared" si="120"/>
        <v>7.5</v>
      </c>
      <c r="BC243" s="54">
        <f t="shared" si="120"/>
        <v>7.5</v>
      </c>
      <c r="BD243" s="54">
        <f t="shared" si="120"/>
        <v>7.5</v>
      </c>
      <c r="BE243" s="54">
        <f t="shared" si="120"/>
        <v>7.5</v>
      </c>
      <c r="BF243" s="54">
        <f t="shared" si="120"/>
        <v>7.5</v>
      </c>
      <c r="BG243" s="54">
        <f t="shared" si="120"/>
        <v>7.5</v>
      </c>
      <c r="BH243" s="54">
        <f t="shared" si="120"/>
        <v>7.5</v>
      </c>
      <c r="BI243" s="63">
        <f t="shared" si="136"/>
        <v>0</v>
      </c>
      <c r="BJ243" s="59">
        <f t="shared" si="130"/>
        <v>0</v>
      </c>
      <c r="BK243" s="59">
        <f t="shared" si="130"/>
        <v>0</v>
      </c>
      <c r="BL243" s="59">
        <f t="shared" si="130"/>
        <v>0</v>
      </c>
      <c r="BM243" s="59">
        <f t="shared" si="130"/>
        <v>0</v>
      </c>
      <c r="BN243" s="59">
        <f t="shared" si="130"/>
        <v>0</v>
      </c>
      <c r="BO243" s="59">
        <f t="shared" si="130"/>
        <v>0</v>
      </c>
      <c r="BP243" s="59">
        <f t="shared" si="130"/>
        <v>0</v>
      </c>
      <c r="BQ243" s="59">
        <f t="shared" si="130"/>
        <v>0</v>
      </c>
      <c r="BR243" s="59">
        <f t="shared" si="130"/>
        <v>0</v>
      </c>
      <c r="BS243" s="59">
        <f t="shared" si="130"/>
        <v>0</v>
      </c>
      <c r="BT243" s="59">
        <f t="shared" si="130"/>
        <v>0</v>
      </c>
      <c r="BU243" s="59">
        <f t="shared" si="130"/>
        <v>0</v>
      </c>
      <c r="BV243" s="70">
        <f>+AU243+AV243+BI243</f>
        <v>90</v>
      </c>
      <c r="BX243" s="54">
        <f t="shared" si="131"/>
        <v>10.833333333333334</v>
      </c>
      <c r="BY243" s="54">
        <f t="shared" si="131"/>
        <v>10.833333333333334</v>
      </c>
      <c r="BZ243" s="54">
        <f t="shared" si="131"/>
        <v>10.833333333333334</v>
      </c>
      <c r="CA243" s="54">
        <f t="shared" si="131"/>
        <v>10.833333333333334</v>
      </c>
      <c r="CB243" s="54">
        <f t="shared" si="131"/>
        <v>10.833333333333334</v>
      </c>
      <c r="CC243" s="54">
        <f t="shared" si="131"/>
        <v>10.833333333333334</v>
      </c>
      <c r="CD243" s="54">
        <f t="shared" si="115"/>
        <v>10.833333333333334</v>
      </c>
      <c r="CE243" s="54">
        <f t="shared" si="115"/>
        <v>10.833333333333334</v>
      </c>
      <c r="CF243" s="54">
        <f t="shared" si="115"/>
        <v>10.833333333333334</v>
      </c>
      <c r="CG243" s="54">
        <f t="shared" si="115"/>
        <v>10.833333333333334</v>
      </c>
      <c r="CH243" s="54">
        <f t="shared" si="115"/>
        <v>10.833333333333334</v>
      </c>
      <c r="CI243" s="54">
        <f t="shared" si="115"/>
        <v>10.833333333333334</v>
      </c>
      <c r="CJ243" s="70">
        <f t="shared" si="139"/>
        <v>129.99999999999997</v>
      </c>
      <c r="CK243" s="59">
        <f t="shared" si="140"/>
        <v>18</v>
      </c>
      <c r="CL243" s="59">
        <f t="shared" ref="CL243:CL248" si="141">+CM243-CJ243</f>
        <v>0</v>
      </c>
      <c r="CM243" s="71">
        <f t="shared" si="102"/>
        <v>130</v>
      </c>
      <c r="CN243" s="77"/>
      <c r="CO243" s="55"/>
      <c r="CP243" s="56"/>
    </row>
    <row r="244" spans="1:94" ht="20.25" customHeight="1">
      <c r="A244" s="1" t="s">
        <v>640</v>
      </c>
      <c r="B244" s="1" t="s">
        <v>641</v>
      </c>
      <c r="C244" s="58" t="s">
        <v>206</v>
      </c>
      <c r="D244" s="58">
        <f>+VLOOKUP(A244,'[1]BDD-Avk Tx'!B:CE,82,0)</f>
        <v>212</v>
      </c>
      <c r="E244" s="59">
        <v>130</v>
      </c>
      <c r="G244" s="4">
        <v>45647</v>
      </c>
      <c r="H244" s="60">
        <f t="shared" si="98"/>
        <v>45647</v>
      </c>
      <c r="I244" s="60" t="str">
        <f>+VLOOKUP(A244,'[1]BDD-Avk Tx'!B:BZ,77,0)</f>
        <v>CDD</v>
      </c>
      <c r="J244" s="60">
        <f t="shared" si="99"/>
        <v>45647</v>
      </c>
      <c r="N244" s="3"/>
      <c r="P244" s="54">
        <f t="shared" ref="P244:P247" si="142">DATEDIF(G244,$AD$6,"m")/12</f>
        <v>0.91666666666666663</v>
      </c>
      <c r="Q244" s="61">
        <v>0</v>
      </c>
      <c r="R244" s="62">
        <f t="shared" si="104"/>
        <v>18</v>
      </c>
      <c r="S244" s="54">
        <f t="shared" ref="S244:AD260" si="143">+IF(AND(AND($O244="",$P244&gt;=10,MONTH($G244)=MONTH(S$5))),1.5+2,+IF(AND(AND($O244="",$P244&gt;=5,MONTH($G244)=MONTH(S$5))),1.5+1,+IF(AND(AND($P244=5,$O244="",MONTH($G244)=MONTH(S$5))),1.5,+IF(AND($H244&gt;S$5,MONTH($H244)=MONTH(S$5)),1.5/30*(S$4-DAY($H244)),+IF(AND(MONTH($H244)&lt;MONTH(S$5),$O244=""),1.5,+IF(AND($H244=$S$5,$O244=""),1.5,IF($O244&lt;S$5,0,IF(MONTH($O244)=MONTH(S$5),1.5/30*($O244-S$5),1.5))))))))</f>
        <v>1.5</v>
      </c>
      <c r="T244" s="54">
        <f t="shared" si="143"/>
        <v>1.5</v>
      </c>
      <c r="U244" s="54">
        <f t="shared" si="143"/>
        <v>1.5</v>
      </c>
      <c r="V244" s="54">
        <f t="shared" si="143"/>
        <v>1.5</v>
      </c>
      <c r="W244" s="54">
        <f t="shared" si="143"/>
        <v>1.5</v>
      </c>
      <c r="X244" s="54">
        <f t="shared" si="143"/>
        <v>1.5</v>
      </c>
      <c r="Y244" s="54">
        <f t="shared" si="143"/>
        <v>1.5</v>
      </c>
      <c r="Z244" s="54">
        <f t="shared" si="143"/>
        <v>1.5</v>
      </c>
      <c r="AA244" s="54">
        <f t="shared" si="143"/>
        <v>1.5</v>
      </c>
      <c r="AB244" s="54">
        <f t="shared" si="143"/>
        <v>1.5</v>
      </c>
      <c r="AC244" s="54">
        <f t="shared" si="143"/>
        <v>1.5</v>
      </c>
      <c r="AD244" s="54">
        <f t="shared" si="143"/>
        <v>1.5</v>
      </c>
      <c r="AF244" s="63">
        <f t="shared" si="122"/>
        <v>0</v>
      </c>
      <c r="AG244" s="64">
        <v>0</v>
      </c>
      <c r="AH244" s="64">
        <v>0</v>
      </c>
      <c r="AI244" s="65">
        <v>0</v>
      </c>
      <c r="AJ244" s="64"/>
      <c r="AK244" s="64"/>
      <c r="AL244" s="64"/>
      <c r="AM244" s="64"/>
      <c r="AN244" s="64"/>
      <c r="AO244" s="64"/>
      <c r="AP244" s="64"/>
      <c r="AQ244" s="64"/>
      <c r="AR244" s="66"/>
      <c r="AS244" s="70">
        <f t="shared" si="100"/>
        <v>18</v>
      </c>
      <c r="AT244" s="68"/>
      <c r="AU244" s="69">
        <v>0</v>
      </c>
      <c r="AV244" s="63">
        <f t="shared" si="127"/>
        <v>90</v>
      </c>
      <c r="AW244" s="54">
        <f t="shared" si="124"/>
        <v>7.5</v>
      </c>
      <c r="AX244" s="54">
        <f t="shared" si="124"/>
        <v>7.5</v>
      </c>
      <c r="AY244" s="54">
        <f t="shared" si="124"/>
        <v>7.5</v>
      </c>
      <c r="AZ244" s="54">
        <f t="shared" si="120"/>
        <v>7.5</v>
      </c>
      <c r="BA244" s="54">
        <f t="shared" si="120"/>
        <v>7.5</v>
      </c>
      <c r="BB244" s="54">
        <f t="shared" si="120"/>
        <v>7.5</v>
      </c>
      <c r="BC244" s="54">
        <f t="shared" si="120"/>
        <v>7.5</v>
      </c>
      <c r="BD244" s="54">
        <f t="shared" si="120"/>
        <v>7.5</v>
      </c>
      <c r="BE244" s="54">
        <f t="shared" si="120"/>
        <v>7.5</v>
      </c>
      <c r="BF244" s="54">
        <f t="shared" si="120"/>
        <v>7.5</v>
      </c>
      <c r="BG244" s="54">
        <f t="shared" si="120"/>
        <v>7.5</v>
      </c>
      <c r="BH244" s="54">
        <f t="shared" si="120"/>
        <v>7.5</v>
      </c>
      <c r="BI244" s="63">
        <f t="shared" ref="BI244:BI250" si="144">SUM(BJ244:BU244)</f>
        <v>0</v>
      </c>
      <c r="BJ244" s="59">
        <f t="shared" si="130"/>
        <v>0</v>
      </c>
      <c r="BK244" s="59">
        <f t="shared" si="130"/>
        <v>0</v>
      </c>
      <c r="BL244" s="59">
        <f t="shared" si="130"/>
        <v>0</v>
      </c>
      <c r="BM244" s="59">
        <f t="shared" si="130"/>
        <v>0</v>
      </c>
      <c r="BN244" s="59">
        <f t="shared" si="130"/>
        <v>0</v>
      </c>
      <c r="BO244" s="59">
        <f t="shared" si="130"/>
        <v>0</v>
      </c>
      <c r="BP244" s="59">
        <f t="shared" si="130"/>
        <v>0</v>
      </c>
      <c r="BQ244" s="59">
        <f t="shared" si="130"/>
        <v>0</v>
      </c>
      <c r="BR244" s="59">
        <f t="shared" si="130"/>
        <v>0</v>
      </c>
      <c r="BS244" s="59">
        <f t="shared" si="130"/>
        <v>0</v>
      </c>
      <c r="BT244" s="59">
        <f t="shared" si="130"/>
        <v>0</v>
      </c>
      <c r="BU244" s="59">
        <f t="shared" si="130"/>
        <v>0</v>
      </c>
      <c r="BV244" s="70">
        <f t="shared" ref="BV244:BV250" si="145">+AU244+AV244+BI244</f>
        <v>90</v>
      </c>
      <c r="BX244" s="54">
        <f t="shared" si="131"/>
        <v>10.833333333333334</v>
      </c>
      <c r="BY244" s="54">
        <f t="shared" si="131"/>
        <v>10.833333333333334</v>
      </c>
      <c r="BZ244" s="54">
        <f t="shared" si="131"/>
        <v>10.833333333333334</v>
      </c>
      <c r="CA244" s="54">
        <f t="shared" si="131"/>
        <v>10.833333333333334</v>
      </c>
      <c r="CB244" s="54">
        <f t="shared" si="131"/>
        <v>10.833333333333334</v>
      </c>
      <c r="CC244" s="54">
        <f t="shared" si="131"/>
        <v>10.833333333333334</v>
      </c>
      <c r="CD244" s="54">
        <f t="shared" si="115"/>
        <v>10.833333333333334</v>
      </c>
      <c r="CE244" s="54">
        <f t="shared" si="115"/>
        <v>10.833333333333334</v>
      </c>
      <c r="CF244" s="54">
        <f t="shared" si="115"/>
        <v>10.833333333333334</v>
      </c>
      <c r="CG244" s="54">
        <f t="shared" si="115"/>
        <v>10.833333333333334</v>
      </c>
      <c r="CH244" s="54">
        <f t="shared" si="115"/>
        <v>10.833333333333334</v>
      </c>
      <c r="CI244" s="54">
        <f t="shared" si="115"/>
        <v>10.833333333333334</v>
      </c>
      <c r="CJ244" s="70">
        <f t="shared" si="139"/>
        <v>129.99999999999997</v>
      </c>
      <c r="CK244" s="59">
        <f t="shared" si="140"/>
        <v>18</v>
      </c>
      <c r="CL244" s="59">
        <f t="shared" si="141"/>
        <v>0</v>
      </c>
      <c r="CM244" s="71">
        <f t="shared" si="102"/>
        <v>130</v>
      </c>
      <c r="CN244" s="77"/>
      <c r="CO244" s="55"/>
      <c r="CP244" s="56"/>
    </row>
    <row r="245" spans="1:94" ht="20.25" customHeight="1">
      <c r="A245" s="1" t="s">
        <v>642</v>
      </c>
      <c r="B245" s="1" t="s">
        <v>643</v>
      </c>
      <c r="C245" s="58" t="s">
        <v>206</v>
      </c>
      <c r="D245" s="58">
        <f>+VLOOKUP(A245,'[1]BDD-Avk Tx'!B:CE,82,0)</f>
        <v>212</v>
      </c>
      <c r="E245" s="59">
        <v>130</v>
      </c>
      <c r="G245" s="4">
        <v>45647</v>
      </c>
      <c r="H245" s="60">
        <f t="shared" si="98"/>
        <v>45647</v>
      </c>
      <c r="I245" s="60" t="str">
        <f>+VLOOKUP(A245,'[1]BDD-Avk Tx'!B:BZ,77,0)</f>
        <v>CDD</v>
      </c>
      <c r="J245" s="60">
        <f t="shared" si="99"/>
        <v>45647</v>
      </c>
      <c r="N245" s="3"/>
      <c r="P245" s="54">
        <f t="shared" si="142"/>
        <v>0.91666666666666663</v>
      </c>
      <c r="Q245" s="61">
        <v>0</v>
      </c>
      <c r="R245" s="62">
        <f t="shared" si="104"/>
        <v>18</v>
      </c>
      <c r="S245" s="54">
        <f t="shared" si="143"/>
        <v>1.5</v>
      </c>
      <c r="T245" s="54">
        <f t="shared" si="143"/>
        <v>1.5</v>
      </c>
      <c r="U245" s="54">
        <f t="shared" si="143"/>
        <v>1.5</v>
      </c>
      <c r="V245" s="54">
        <f t="shared" si="143"/>
        <v>1.5</v>
      </c>
      <c r="W245" s="54">
        <f t="shared" si="143"/>
        <v>1.5</v>
      </c>
      <c r="X245" s="54">
        <f t="shared" si="143"/>
        <v>1.5</v>
      </c>
      <c r="Y245" s="54">
        <f t="shared" si="143"/>
        <v>1.5</v>
      </c>
      <c r="Z245" s="54">
        <f t="shared" si="143"/>
        <v>1.5</v>
      </c>
      <c r="AA245" s="54">
        <f t="shared" si="143"/>
        <v>1.5</v>
      </c>
      <c r="AB245" s="54">
        <f t="shared" si="143"/>
        <v>1.5</v>
      </c>
      <c r="AC245" s="54">
        <f t="shared" si="143"/>
        <v>1.5</v>
      </c>
      <c r="AD245" s="54">
        <f t="shared" si="143"/>
        <v>1.5</v>
      </c>
      <c r="AF245" s="63">
        <f t="shared" si="122"/>
        <v>0</v>
      </c>
      <c r="AG245" s="64">
        <v>0</v>
      </c>
      <c r="AH245" s="64">
        <v>0</v>
      </c>
      <c r="AI245" s="65">
        <v>0</v>
      </c>
      <c r="AJ245" s="64"/>
      <c r="AK245" s="64"/>
      <c r="AL245" s="64"/>
      <c r="AM245" s="64"/>
      <c r="AN245" s="64"/>
      <c r="AO245" s="64"/>
      <c r="AP245" s="64"/>
      <c r="AQ245" s="64"/>
      <c r="AR245" s="66"/>
      <c r="AS245" s="70">
        <f t="shared" si="100"/>
        <v>18</v>
      </c>
      <c r="AT245" s="68"/>
      <c r="AU245" s="69"/>
      <c r="AV245" s="63">
        <f t="shared" si="127"/>
        <v>90</v>
      </c>
      <c r="AW245" s="54">
        <f t="shared" si="124"/>
        <v>7.5</v>
      </c>
      <c r="AX245" s="54">
        <f t="shared" si="124"/>
        <v>7.5</v>
      </c>
      <c r="AY245" s="54">
        <f t="shared" si="124"/>
        <v>7.5</v>
      </c>
      <c r="AZ245" s="54">
        <f t="shared" si="120"/>
        <v>7.5</v>
      </c>
      <c r="BA245" s="54">
        <f t="shared" si="120"/>
        <v>7.5</v>
      </c>
      <c r="BB245" s="54">
        <f t="shared" si="120"/>
        <v>7.5</v>
      </c>
      <c r="BC245" s="54">
        <f t="shared" si="120"/>
        <v>7.5</v>
      </c>
      <c r="BD245" s="54">
        <f t="shared" si="120"/>
        <v>7.5</v>
      </c>
      <c r="BE245" s="54">
        <f t="shared" si="120"/>
        <v>7.5</v>
      </c>
      <c r="BF245" s="54">
        <f t="shared" si="120"/>
        <v>7.5</v>
      </c>
      <c r="BG245" s="54">
        <f t="shared" si="120"/>
        <v>7.5</v>
      </c>
      <c r="BH245" s="54">
        <f t="shared" si="120"/>
        <v>7.5</v>
      </c>
      <c r="BI245" s="63">
        <f t="shared" si="144"/>
        <v>0</v>
      </c>
      <c r="BJ245" s="59">
        <f t="shared" si="130"/>
        <v>0</v>
      </c>
      <c r="BK245" s="59">
        <f t="shared" si="130"/>
        <v>0</v>
      </c>
      <c r="BL245" s="59">
        <f t="shared" si="130"/>
        <v>0</v>
      </c>
      <c r="BM245" s="59">
        <f t="shared" si="130"/>
        <v>0</v>
      </c>
      <c r="BN245" s="59">
        <f t="shared" si="130"/>
        <v>0</v>
      </c>
      <c r="BO245" s="59">
        <f t="shared" si="130"/>
        <v>0</v>
      </c>
      <c r="BP245" s="59">
        <f t="shared" si="130"/>
        <v>0</v>
      </c>
      <c r="BQ245" s="59">
        <f t="shared" si="130"/>
        <v>0</v>
      </c>
      <c r="BR245" s="59">
        <f t="shared" si="130"/>
        <v>0</v>
      </c>
      <c r="BS245" s="59">
        <f t="shared" si="130"/>
        <v>0</v>
      </c>
      <c r="BT245" s="59">
        <f t="shared" si="130"/>
        <v>0</v>
      </c>
      <c r="BU245" s="59">
        <f t="shared" si="130"/>
        <v>0</v>
      </c>
      <c r="BV245" s="70">
        <f t="shared" si="145"/>
        <v>90</v>
      </c>
      <c r="BX245" s="54">
        <f t="shared" si="131"/>
        <v>10.833333333333334</v>
      </c>
      <c r="BY245" s="54">
        <f t="shared" si="131"/>
        <v>10.833333333333334</v>
      </c>
      <c r="BZ245" s="54">
        <f t="shared" si="131"/>
        <v>10.833333333333334</v>
      </c>
      <c r="CA245" s="54">
        <f t="shared" si="131"/>
        <v>10.833333333333334</v>
      </c>
      <c r="CB245" s="54">
        <f t="shared" si="131"/>
        <v>10.833333333333334</v>
      </c>
      <c r="CC245" s="54">
        <f t="shared" si="131"/>
        <v>10.833333333333334</v>
      </c>
      <c r="CD245" s="54">
        <f t="shared" si="115"/>
        <v>10.833333333333334</v>
      </c>
      <c r="CE245" s="54">
        <f t="shared" si="115"/>
        <v>10.833333333333334</v>
      </c>
      <c r="CF245" s="54">
        <f t="shared" si="115"/>
        <v>10.833333333333334</v>
      </c>
      <c r="CG245" s="54">
        <f t="shared" si="115"/>
        <v>10.833333333333334</v>
      </c>
      <c r="CH245" s="54">
        <f t="shared" si="115"/>
        <v>10.833333333333334</v>
      </c>
      <c r="CI245" s="54">
        <f t="shared" si="115"/>
        <v>10.833333333333334</v>
      </c>
      <c r="CJ245" s="70">
        <f t="shared" si="139"/>
        <v>129.99999999999997</v>
      </c>
      <c r="CK245" s="59">
        <f t="shared" si="140"/>
        <v>18</v>
      </c>
      <c r="CL245" s="59">
        <f t="shared" si="141"/>
        <v>0</v>
      </c>
      <c r="CM245" s="71">
        <f t="shared" si="102"/>
        <v>130</v>
      </c>
      <c r="CN245" s="77"/>
      <c r="CO245" s="55"/>
      <c r="CP245" s="56"/>
    </row>
    <row r="246" spans="1:94" ht="20.25" customHeight="1">
      <c r="A246" s="1" t="s">
        <v>644</v>
      </c>
      <c r="B246" s="1" t="s">
        <v>645</v>
      </c>
      <c r="C246" s="58" t="s">
        <v>206</v>
      </c>
      <c r="D246" s="58">
        <f>+VLOOKUP(A246,'[1]BDD-Avk Tx'!B:CE,82,0)</f>
        <v>212</v>
      </c>
      <c r="E246" s="59">
        <v>130</v>
      </c>
      <c r="G246" s="4">
        <v>45647</v>
      </c>
      <c r="H246" s="60">
        <f t="shared" si="98"/>
        <v>45647</v>
      </c>
      <c r="I246" s="60" t="str">
        <f>+VLOOKUP(A246,'[1]BDD-Avk Tx'!B:BZ,77,0)</f>
        <v>CDD</v>
      </c>
      <c r="J246" s="60">
        <f t="shared" si="99"/>
        <v>45647</v>
      </c>
      <c r="N246" s="3"/>
      <c r="P246" s="54">
        <f t="shared" si="142"/>
        <v>0.91666666666666663</v>
      </c>
      <c r="Q246" s="61">
        <v>0</v>
      </c>
      <c r="R246" s="62">
        <f t="shared" si="104"/>
        <v>18</v>
      </c>
      <c r="S246" s="54">
        <f t="shared" si="143"/>
        <v>1.5</v>
      </c>
      <c r="T246" s="54">
        <f t="shared" si="143"/>
        <v>1.5</v>
      </c>
      <c r="U246" s="54">
        <f t="shared" si="143"/>
        <v>1.5</v>
      </c>
      <c r="V246" s="54">
        <f t="shared" si="143"/>
        <v>1.5</v>
      </c>
      <c r="W246" s="54">
        <f t="shared" si="143"/>
        <v>1.5</v>
      </c>
      <c r="X246" s="54">
        <f t="shared" si="143"/>
        <v>1.5</v>
      </c>
      <c r="Y246" s="54">
        <f t="shared" si="143"/>
        <v>1.5</v>
      </c>
      <c r="Z246" s="54">
        <f t="shared" si="143"/>
        <v>1.5</v>
      </c>
      <c r="AA246" s="54">
        <f t="shared" si="143"/>
        <v>1.5</v>
      </c>
      <c r="AB246" s="54">
        <f t="shared" si="143"/>
        <v>1.5</v>
      </c>
      <c r="AC246" s="54">
        <f t="shared" si="143"/>
        <v>1.5</v>
      </c>
      <c r="AD246" s="54">
        <f t="shared" si="143"/>
        <v>1.5</v>
      </c>
      <c r="AF246" s="63">
        <f t="shared" si="122"/>
        <v>0</v>
      </c>
      <c r="AG246" s="64">
        <v>0</v>
      </c>
      <c r="AH246" s="64">
        <v>0</v>
      </c>
      <c r="AI246" s="65">
        <v>0</v>
      </c>
      <c r="AJ246" s="64"/>
      <c r="AK246" s="64"/>
      <c r="AL246" s="64"/>
      <c r="AM246" s="64"/>
      <c r="AN246" s="64"/>
      <c r="AO246" s="64"/>
      <c r="AP246" s="64"/>
      <c r="AQ246" s="64"/>
      <c r="AR246" s="66"/>
      <c r="AS246" s="70">
        <f t="shared" si="100"/>
        <v>18</v>
      </c>
      <c r="AT246" s="68"/>
      <c r="AU246" s="69"/>
      <c r="AV246" s="63">
        <f t="shared" si="127"/>
        <v>90</v>
      </c>
      <c r="AW246" s="54">
        <f t="shared" si="124"/>
        <v>7.5</v>
      </c>
      <c r="AX246" s="54">
        <f t="shared" si="124"/>
        <v>7.5</v>
      </c>
      <c r="AY246" s="54">
        <f t="shared" si="124"/>
        <v>7.5</v>
      </c>
      <c r="AZ246" s="54">
        <f t="shared" si="120"/>
        <v>7.5</v>
      </c>
      <c r="BA246" s="54">
        <f t="shared" si="120"/>
        <v>7.5</v>
      </c>
      <c r="BB246" s="54">
        <f t="shared" si="120"/>
        <v>7.5</v>
      </c>
      <c r="BC246" s="54">
        <f t="shared" si="120"/>
        <v>7.5</v>
      </c>
      <c r="BD246" s="54">
        <f t="shared" si="120"/>
        <v>7.5</v>
      </c>
      <c r="BE246" s="54">
        <f t="shared" si="120"/>
        <v>7.5</v>
      </c>
      <c r="BF246" s="54">
        <f t="shared" si="120"/>
        <v>7.5</v>
      </c>
      <c r="BG246" s="54">
        <f t="shared" si="120"/>
        <v>7.5</v>
      </c>
      <c r="BH246" s="54">
        <f t="shared" si="120"/>
        <v>7.5</v>
      </c>
      <c r="BI246" s="63">
        <f t="shared" si="144"/>
        <v>0</v>
      </c>
      <c r="BJ246" s="59">
        <f t="shared" si="130"/>
        <v>0</v>
      </c>
      <c r="BK246" s="59">
        <f t="shared" si="130"/>
        <v>0</v>
      </c>
      <c r="BL246" s="59">
        <f t="shared" si="130"/>
        <v>0</v>
      </c>
      <c r="BM246" s="59">
        <f t="shared" si="130"/>
        <v>0</v>
      </c>
      <c r="BN246" s="59">
        <f t="shared" si="130"/>
        <v>0</v>
      </c>
      <c r="BO246" s="59">
        <f t="shared" si="130"/>
        <v>0</v>
      </c>
      <c r="BP246" s="59">
        <f t="shared" si="130"/>
        <v>0</v>
      </c>
      <c r="BQ246" s="59">
        <f t="shared" si="130"/>
        <v>0</v>
      </c>
      <c r="BR246" s="59">
        <f t="shared" si="130"/>
        <v>0</v>
      </c>
      <c r="BS246" s="59">
        <f t="shared" si="130"/>
        <v>0</v>
      </c>
      <c r="BT246" s="59">
        <f t="shared" si="130"/>
        <v>0</v>
      </c>
      <c r="BU246" s="59">
        <f t="shared" si="130"/>
        <v>0</v>
      </c>
      <c r="BV246" s="70">
        <f t="shared" si="145"/>
        <v>90</v>
      </c>
      <c r="BX246" s="54">
        <f t="shared" si="131"/>
        <v>10.833333333333334</v>
      </c>
      <c r="BY246" s="54">
        <f t="shared" si="131"/>
        <v>10.833333333333334</v>
      </c>
      <c r="BZ246" s="54">
        <f t="shared" si="131"/>
        <v>10.833333333333334</v>
      </c>
      <c r="CA246" s="54">
        <f t="shared" si="131"/>
        <v>10.833333333333334</v>
      </c>
      <c r="CB246" s="54">
        <f t="shared" si="131"/>
        <v>10.833333333333334</v>
      </c>
      <c r="CC246" s="54">
        <f t="shared" si="131"/>
        <v>10.833333333333334</v>
      </c>
      <c r="CD246" s="54">
        <f t="shared" si="115"/>
        <v>10.833333333333334</v>
      </c>
      <c r="CE246" s="54">
        <f t="shared" si="115"/>
        <v>10.833333333333334</v>
      </c>
      <c r="CF246" s="54">
        <f t="shared" si="115"/>
        <v>10.833333333333334</v>
      </c>
      <c r="CG246" s="54">
        <f t="shared" si="115"/>
        <v>10.833333333333334</v>
      </c>
      <c r="CH246" s="54">
        <f t="shared" si="115"/>
        <v>10.833333333333334</v>
      </c>
      <c r="CI246" s="54">
        <f t="shared" si="115"/>
        <v>10.833333333333334</v>
      </c>
      <c r="CJ246" s="70">
        <f t="shared" si="139"/>
        <v>129.99999999999997</v>
      </c>
      <c r="CK246" s="59">
        <f t="shared" si="140"/>
        <v>18</v>
      </c>
      <c r="CL246" s="59">
        <f t="shared" si="141"/>
        <v>0</v>
      </c>
      <c r="CM246" s="71">
        <f t="shared" si="102"/>
        <v>130</v>
      </c>
      <c r="CN246" s="77"/>
      <c r="CO246" s="55"/>
      <c r="CP246" s="56"/>
    </row>
    <row r="247" spans="1:94" ht="20.25" customHeight="1">
      <c r="A247" s="1" t="s">
        <v>646</v>
      </c>
      <c r="B247" s="1" t="s">
        <v>647</v>
      </c>
      <c r="C247" s="58" t="s">
        <v>206</v>
      </c>
      <c r="D247" s="58">
        <f>+VLOOKUP(A247,'[1]BDD-Avk Tx'!B:CE,82,0)</f>
        <v>212</v>
      </c>
      <c r="E247" s="59">
        <v>130</v>
      </c>
      <c r="G247" s="4">
        <v>45647</v>
      </c>
      <c r="H247" s="60">
        <f t="shared" si="98"/>
        <v>45647</v>
      </c>
      <c r="I247" s="60" t="str">
        <f>+VLOOKUP(A247,'[1]BDD-Avk Tx'!B:BZ,77,0)</f>
        <v>CDD</v>
      </c>
      <c r="J247" s="60">
        <f t="shared" si="99"/>
        <v>45647</v>
      </c>
      <c r="N247" s="3"/>
      <c r="P247" s="54">
        <f t="shared" si="142"/>
        <v>0.91666666666666663</v>
      </c>
      <c r="Q247" s="61">
        <v>0</v>
      </c>
      <c r="R247" s="62">
        <f t="shared" si="104"/>
        <v>18</v>
      </c>
      <c r="S247" s="54">
        <f t="shared" si="143"/>
        <v>1.5</v>
      </c>
      <c r="T247" s="54">
        <f t="shared" si="143"/>
        <v>1.5</v>
      </c>
      <c r="U247" s="54">
        <f t="shared" si="143"/>
        <v>1.5</v>
      </c>
      <c r="V247" s="54">
        <f t="shared" si="143"/>
        <v>1.5</v>
      </c>
      <c r="W247" s="54">
        <f t="shared" si="143"/>
        <v>1.5</v>
      </c>
      <c r="X247" s="54">
        <f t="shared" si="143"/>
        <v>1.5</v>
      </c>
      <c r="Y247" s="54">
        <f t="shared" si="143"/>
        <v>1.5</v>
      </c>
      <c r="Z247" s="54">
        <f t="shared" si="143"/>
        <v>1.5</v>
      </c>
      <c r="AA247" s="54">
        <f t="shared" si="143"/>
        <v>1.5</v>
      </c>
      <c r="AB247" s="54">
        <f t="shared" si="143"/>
        <v>1.5</v>
      </c>
      <c r="AC247" s="54">
        <f t="shared" si="143"/>
        <v>1.5</v>
      </c>
      <c r="AD247" s="54">
        <f t="shared" si="143"/>
        <v>1.5</v>
      </c>
      <c r="AF247" s="63">
        <f t="shared" si="122"/>
        <v>0</v>
      </c>
      <c r="AG247" s="64">
        <v>0</v>
      </c>
      <c r="AH247" s="64">
        <v>0</v>
      </c>
      <c r="AI247" s="65">
        <v>0</v>
      </c>
      <c r="AJ247" s="64"/>
      <c r="AK247" s="64"/>
      <c r="AL247" s="64"/>
      <c r="AM247" s="64"/>
      <c r="AN247" s="64"/>
      <c r="AO247" s="64"/>
      <c r="AP247" s="64"/>
      <c r="AQ247" s="64"/>
      <c r="AR247" s="66"/>
      <c r="AS247" s="70">
        <f t="shared" si="100"/>
        <v>18</v>
      </c>
      <c r="AT247" s="68"/>
      <c r="AU247" s="69"/>
      <c r="AV247" s="63">
        <f t="shared" si="127"/>
        <v>90</v>
      </c>
      <c r="AW247" s="54">
        <f t="shared" si="124"/>
        <v>7.5</v>
      </c>
      <c r="AX247" s="54">
        <f t="shared" si="124"/>
        <v>7.5</v>
      </c>
      <c r="AY247" s="54">
        <f t="shared" si="124"/>
        <v>7.5</v>
      </c>
      <c r="AZ247" s="54">
        <f t="shared" si="120"/>
        <v>7.5</v>
      </c>
      <c r="BA247" s="54">
        <f t="shared" si="120"/>
        <v>7.5</v>
      </c>
      <c r="BB247" s="54">
        <f t="shared" si="120"/>
        <v>7.5</v>
      </c>
      <c r="BC247" s="54">
        <f t="shared" si="120"/>
        <v>7.5</v>
      </c>
      <c r="BD247" s="54">
        <f t="shared" si="120"/>
        <v>7.5</v>
      </c>
      <c r="BE247" s="54">
        <f t="shared" si="120"/>
        <v>7.5</v>
      </c>
      <c r="BF247" s="54">
        <f t="shared" si="120"/>
        <v>7.5</v>
      </c>
      <c r="BG247" s="54">
        <f t="shared" si="120"/>
        <v>7.5</v>
      </c>
      <c r="BH247" s="54">
        <f t="shared" si="120"/>
        <v>7.5</v>
      </c>
      <c r="BI247" s="63">
        <f t="shared" si="144"/>
        <v>0</v>
      </c>
      <c r="BJ247" s="59">
        <f t="shared" si="130"/>
        <v>0</v>
      </c>
      <c r="BK247" s="59">
        <f t="shared" si="130"/>
        <v>0</v>
      </c>
      <c r="BL247" s="59">
        <f t="shared" si="130"/>
        <v>0</v>
      </c>
      <c r="BM247" s="59">
        <f t="shared" si="130"/>
        <v>0</v>
      </c>
      <c r="BN247" s="59">
        <f t="shared" si="130"/>
        <v>0</v>
      </c>
      <c r="BO247" s="59">
        <f t="shared" si="130"/>
        <v>0</v>
      </c>
      <c r="BP247" s="59">
        <f t="shared" si="130"/>
        <v>0</v>
      </c>
      <c r="BQ247" s="59">
        <f t="shared" si="130"/>
        <v>0</v>
      </c>
      <c r="BR247" s="59">
        <f t="shared" si="130"/>
        <v>0</v>
      </c>
      <c r="BS247" s="59">
        <f t="shared" si="130"/>
        <v>0</v>
      </c>
      <c r="BT247" s="59">
        <f t="shared" si="130"/>
        <v>0</v>
      </c>
      <c r="BU247" s="59">
        <f t="shared" si="130"/>
        <v>0</v>
      </c>
      <c r="BV247" s="70">
        <f t="shared" si="145"/>
        <v>90</v>
      </c>
      <c r="BX247" s="54">
        <f t="shared" si="131"/>
        <v>10.833333333333334</v>
      </c>
      <c r="BY247" s="54">
        <f t="shared" si="131"/>
        <v>10.833333333333334</v>
      </c>
      <c r="BZ247" s="54">
        <f t="shared" si="131"/>
        <v>10.833333333333334</v>
      </c>
      <c r="CA247" s="54">
        <f t="shared" si="131"/>
        <v>10.833333333333334</v>
      </c>
      <c r="CB247" s="54">
        <f t="shared" si="131"/>
        <v>10.833333333333334</v>
      </c>
      <c r="CC247" s="54">
        <f t="shared" si="131"/>
        <v>10.833333333333334</v>
      </c>
      <c r="CD247" s="54">
        <f t="shared" si="115"/>
        <v>10.833333333333334</v>
      </c>
      <c r="CE247" s="54">
        <f t="shared" si="115"/>
        <v>10.833333333333334</v>
      </c>
      <c r="CF247" s="54">
        <f t="shared" si="115"/>
        <v>10.833333333333334</v>
      </c>
      <c r="CG247" s="54">
        <f t="shared" si="115"/>
        <v>10.833333333333334</v>
      </c>
      <c r="CH247" s="54">
        <f t="shared" si="115"/>
        <v>10.833333333333334</v>
      </c>
      <c r="CI247" s="54">
        <f t="shared" si="115"/>
        <v>10.833333333333334</v>
      </c>
      <c r="CJ247" s="70">
        <f t="shared" si="139"/>
        <v>129.99999999999997</v>
      </c>
      <c r="CK247" s="59">
        <f t="shared" si="140"/>
        <v>18</v>
      </c>
      <c r="CL247" s="59">
        <f t="shared" si="141"/>
        <v>0</v>
      </c>
      <c r="CM247" s="71">
        <f t="shared" si="102"/>
        <v>130</v>
      </c>
      <c r="CN247" s="77"/>
      <c r="CO247" s="55"/>
      <c r="CP247" s="56"/>
    </row>
    <row r="248" spans="1:94" ht="20.25" customHeight="1">
      <c r="A248" s="1" t="s">
        <v>648</v>
      </c>
      <c r="B248" s="1" t="s">
        <v>649</v>
      </c>
      <c r="C248" s="58" t="s">
        <v>507</v>
      </c>
      <c r="D248" s="58">
        <f>+VLOOKUP(A248,'[1]BDD-Avk Tx'!B:CE,82,0)</f>
        <v>212</v>
      </c>
      <c r="E248" s="59">
        <v>150</v>
      </c>
      <c r="G248" s="4">
        <v>45658</v>
      </c>
      <c r="H248" s="60">
        <f t="shared" si="98"/>
        <v>45658</v>
      </c>
      <c r="I248" s="60" t="str">
        <f>+VLOOKUP(A248,'[1]BDD-Avk Tx'!B:BZ,77,0)</f>
        <v>CDD</v>
      </c>
      <c r="J248" s="60">
        <f t="shared" si="99"/>
        <v>45658</v>
      </c>
      <c r="N248" s="3"/>
      <c r="P248" s="54">
        <f>DATEDIF(G248,$AD$6,"m")/12</f>
        <v>0.91666666666666663</v>
      </c>
      <c r="Q248" s="61">
        <v>0</v>
      </c>
      <c r="R248" s="62">
        <f t="shared" si="104"/>
        <v>18</v>
      </c>
      <c r="S248" s="54">
        <f t="shared" si="143"/>
        <v>1.5</v>
      </c>
      <c r="T248" s="54">
        <v>1.5</v>
      </c>
      <c r="U248" s="54">
        <f t="shared" si="143"/>
        <v>1.5</v>
      </c>
      <c r="V248" s="54">
        <f t="shared" si="143"/>
        <v>1.5</v>
      </c>
      <c r="W248" s="54">
        <f t="shared" si="143"/>
        <v>1.5</v>
      </c>
      <c r="X248" s="54">
        <f t="shared" si="143"/>
        <v>1.5</v>
      </c>
      <c r="Y248" s="54">
        <f t="shared" si="143"/>
        <v>1.5</v>
      </c>
      <c r="Z248" s="54">
        <f t="shared" si="143"/>
        <v>1.5</v>
      </c>
      <c r="AA248" s="54">
        <f t="shared" si="143"/>
        <v>1.5</v>
      </c>
      <c r="AB248" s="54">
        <f t="shared" si="143"/>
        <v>1.5</v>
      </c>
      <c r="AC248" s="54">
        <f t="shared" si="143"/>
        <v>1.5</v>
      </c>
      <c r="AD248" s="54">
        <f t="shared" si="143"/>
        <v>1.5</v>
      </c>
      <c r="AF248" s="63">
        <f t="shared" si="122"/>
        <v>0</v>
      </c>
      <c r="AG248" s="64">
        <v>0</v>
      </c>
      <c r="AH248" s="64">
        <v>0</v>
      </c>
      <c r="AI248" s="65">
        <v>0</v>
      </c>
      <c r="AJ248" s="64"/>
      <c r="AK248" s="64"/>
      <c r="AL248" s="64"/>
      <c r="AM248" s="64"/>
      <c r="AN248" s="64"/>
      <c r="AO248" s="64"/>
      <c r="AP248" s="64"/>
      <c r="AQ248" s="64"/>
      <c r="AR248" s="66"/>
      <c r="AS248" s="70">
        <f t="shared" si="100"/>
        <v>18</v>
      </c>
      <c r="AT248" s="68"/>
      <c r="AU248" s="69"/>
      <c r="AV248" s="63">
        <f>SUM(AW248:BH248)</f>
        <v>103.84615384615387</v>
      </c>
      <c r="AW248" s="54">
        <f t="shared" si="124"/>
        <v>8.6538461538461533</v>
      </c>
      <c r="AX248" s="54">
        <f t="shared" si="124"/>
        <v>8.6538461538461533</v>
      </c>
      <c r="AY248" s="54">
        <f t="shared" si="124"/>
        <v>8.6538461538461533</v>
      </c>
      <c r="AZ248" s="54">
        <f t="shared" si="120"/>
        <v>8.6538461538461533</v>
      </c>
      <c r="BA248" s="54">
        <f t="shared" si="120"/>
        <v>8.6538461538461533</v>
      </c>
      <c r="BB248" s="54">
        <f t="shared" si="120"/>
        <v>8.6538461538461533</v>
      </c>
      <c r="BC248" s="54">
        <f t="shared" si="120"/>
        <v>8.6538461538461533</v>
      </c>
      <c r="BD248" s="54">
        <f t="shared" si="120"/>
        <v>8.6538461538461533</v>
      </c>
      <c r="BE248" s="54">
        <f t="shared" si="120"/>
        <v>8.6538461538461533</v>
      </c>
      <c r="BF248" s="54">
        <f t="shared" si="120"/>
        <v>8.6538461538461533</v>
      </c>
      <c r="BG248" s="54">
        <f t="shared" si="120"/>
        <v>8.6538461538461533</v>
      </c>
      <c r="BH248" s="54">
        <f t="shared" si="120"/>
        <v>8.6538461538461533</v>
      </c>
      <c r="BI248" s="63">
        <f t="shared" si="144"/>
        <v>0</v>
      </c>
      <c r="BJ248" s="59">
        <f t="shared" si="130"/>
        <v>0</v>
      </c>
      <c r="BK248" s="59">
        <f t="shared" si="130"/>
        <v>0</v>
      </c>
      <c r="BL248" s="59">
        <f t="shared" si="130"/>
        <v>0</v>
      </c>
      <c r="BM248" s="59">
        <f t="shared" si="130"/>
        <v>0</v>
      </c>
      <c r="BN248" s="59">
        <f t="shared" si="130"/>
        <v>0</v>
      </c>
      <c r="BO248" s="59">
        <f t="shared" si="130"/>
        <v>0</v>
      </c>
      <c r="BP248" s="59">
        <f t="shared" si="130"/>
        <v>0</v>
      </c>
      <c r="BQ248" s="59">
        <f t="shared" si="130"/>
        <v>0</v>
      </c>
      <c r="BR248" s="59">
        <f t="shared" si="130"/>
        <v>0</v>
      </c>
      <c r="BS248" s="59">
        <f t="shared" si="130"/>
        <v>0</v>
      </c>
      <c r="BT248" s="59">
        <f t="shared" si="130"/>
        <v>0</v>
      </c>
      <c r="BU248" s="59">
        <f t="shared" si="130"/>
        <v>0</v>
      </c>
      <c r="BV248" s="70">
        <f t="shared" si="145"/>
        <v>103.84615384615387</v>
      </c>
      <c r="BX248" s="54">
        <f t="shared" si="131"/>
        <v>12.5</v>
      </c>
      <c r="BY248" s="54">
        <f t="shared" si="131"/>
        <v>12.5</v>
      </c>
      <c r="BZ248" s="54">
        <f t="shared" si="131"/>
        <v>12.5</v>
      </c>
      <c r="CA248" s="54">
        <f t="shared" si="131"/>
        <v>12.5</v>
      </c>
      <c r="CB248" s="54">
        <f t="shared" si="131"/>
        <v>12.5</v>
      </c>
      <c r="CC248" s="54">
        <f t="shared" si="131"/>
        <v>12.5</v>
      </c>
      <c r="CD248" s="54">
        <f t="shared" si="115"/>
        <v>12.5</v>
      </c>
      <c r="CE248" s="54">
        <f t="shared" si="115"/>
        <v>12.5</v>
      </c>
      <c r="CF248" s="54">
        <f t="shared" si="115"/>
        <v>12.5</v>
      </c>
      <c r="CG248" s="54">
        <f t="shared" si="115"/>
        <v>12.5</v>
      </c>
      <c r="CH248" s="54">
        <f t="shared" si="115"/>
        <v>12.5</v>
      </c>
      <c r="CI248" s="54">
        <f t="shared" si="115"/>
        <v>12.5</v>
      </c>
      <c r="CJ248" s="70">
        <f t="shared" si="139"/>
        <v>150</v>
      </c>
      <c r="CK248" s="59">
        <f t="shared" si="140"/>
        <v>18</v>
      </c>
      <c r="CL248" s="59">
        <f t="shared" si="141"/>
        <v>0</v>
      </c>
      <c r="CM248" s="71">
        <f t="shared" si="102"/>
        <v>150</v>
      </c>
      <c r="CN248" s="77"/>
      <c r="CO248" s="55"/>
      <c r="CP248" s="56"/>
    </row>
    <row r="249" spans="1:94" ht="20.25" customHeight="1">
      <c r="A249" s="1" t="s">
        <v>650</v>
      </c>
      <c r="B249" s="1" t="s">
        <v>651</v>
      </c>
      <c r="C249" s="58" t="s">
        <v>652</v>
      </c>
      <c r="D249" s="58">
        <v>281</v>
      </c>
      <c r="E249" s="59">
        <v>130</v>
      </c>
      <c r="G249" s="4">
        <v>45678</v>
      </c>
      <c r="H249" s="60">
        <f t="shared" si="98"/>
        <v>45678</v>
      </c>
      <c r="I249" s="60" t="str">
        <f>+VLOOKUP(A249,'[1]BDD-Avk Tx'!B:BZ,77,0)</f>
        <v>CDD</v>
      </c>
      <c r="J249" s="60">
        <f t="shared" si="99"/>
        <v>45678</v>
      </c>
      <c r="N249" s="3"/>
      <c r="P249" s="54">
        <f t="shared" ref="P249:P250" si="146">DATEDIF(G249,$AD$6,"m")/12</f>
        <v>0.83333333333333337</v>
      </c>
      <c r="Q249" s="61"/>
      <c r="R249" s="62">
        <f t="shared" si="104"/>
        <v>16.5</v>
      </c>
      <c r="S249" s="54">
        <v>0</v>
      </c>
      <c r="T249" s="54">
        <v>1.5</v>
      </c>
      <c r="U249" s="54">
        <f t="shared" si="143"/>
        <v>1.5</v>
      </c>
      <c r="V249" s="54">
        <f t="shared" si="143"/>
        <v>1.5</v>
      </c>
      <c r="W249" s="54">
        <f t="shared" si="143"/>
        <v>1.5</v>
      </c>
      <c r="X249" s="54">
        <f t="shared" si="143"/>
        <v>1.5</v>
      </c>
      <c r="Y249" s="54">
        <f t="shared" si="143"/>
        <v>1.5</v>
      </c>
      <c r="Z249" s="54">
        <f t="shared" si="143"/>
        <v>1.5</v>
      </c>
      <c r="AA249" s="54">
        <f t="shared" si="143"/>
        <v>1.5</v>
      </c>
      <c r="AB249" s="54">
        <f t="shared" si="143"/>
        <v>1.5</v>
      </c>
      <c r="AC249" s="54">
        <f t="shared" si="143"/>
        <v>1.5</v>
      </c>
      <c r="AD249" s="54">
        <f t="shared" si="143"/>
        <v>1.5</v>
      </c>
      <c r="AF249" s="63">
        <f t="shared" si="122"/>
        <v>0</v>
      </c>
      <c r="AG249" s="64"/>
      <c r="AH249" s="64">
        <v>0</v>
      </c>
      <c r="AI249" s="65">
        <v>0</v>
      </c>
      <c r="AJ249" s="64"/>
      <c r="AK249" s="64"/>
      <c r="AL249" s="64"/>
      <c r="AM249" s="64"/>
      <c r="AN249" s="64"/>
      <c r="AO249" s="64"/>
      <c r="AP249" s="64"/>
      <c r="AQ249" s="64"/>
      <c r="AR249" s="66"/>
      <c r="AS249" s="70">
        <f t="shared" si="100"/>
        <v>16.5</v>
      </c>
      <c r="AT249" s="68"/>
      <c r="AU249" s="69"/>
      <c r="AV249" s="63"/>
      <c r="AW249" s="54">
        <f t="shared" si="124"/>
        <v>0</v>
      </c>
      <c r="AX249" s="54">
        <f t="shared" si="124"/>
        <v>7.5</v>
      </c>
      <c r="AY249" s="54">
        <f t="shared" si="124"/>
        <v>7.5</v>
      </c>
      <c r="AZ249" s="54">
        <f t="shared" si="120"/>
        <v>7.5</v>
      </c>
      <c r="BA249" s="54">
        <f t="shared" si="120"/>
        <v>7.5</v>
      </c>
      <c r="BB249" s="54">
        <f t="shared" si="120"/>
        <v>7.5</v>
      </c>
      <c r="BC249" s="54">
        <f t="shared" si="120"/>
        <v>7.5</v>
      </c>
      <c r="BD249" s="54">
        <f t="shared" si="120"/>
        <v>7.5</v>
      </c>
      <c r="BE249" s="54">
        <f t="shared" si="120"/>
        <v>7.5</v>
      </c>
      <c r="BF249" s="54">
        <f t="shared" si="120"/>
        <v>7.5</v>
      </c>
      <c r="BG249" s="54">
        <f t="shared" si="120"/>
        <v>7.5</v>
      </c>
      <c r="BH249" s="54">
        <f t="shared" si="120"/>
        <v>7.5</v>
      </c>
      <c r="BI249" s="63">
        <f t="shared" si="144"/>
        <v>0</v>
      </c>
      <c r="BJ249" s="59">
        <f t="shared" si="130"/>
        <v>0</v>
      </c>
      <c r="BK249" s="59">
        <f t="shared" si="130"/>
        <v>0</v>
      </c>
      <c r="BL249" s="59">
        <f t="shared" si="130"/>
        <v>0</v>
      </c>
      <c r="BM249" s="59">
        <f t="shared" si="130"/>
        <v>0</v>
      </c>
      <c r="BN249" s="59">
        <f t="shared" si="130"/>
        <v>0</v>
      </c>
      <c r="BO249" s="59">
        <f t="shared" si="130"/>
        <v>0</v>
      </c>
      <c r="BP249" s="59">
        <f t="shared" si="130"/>
        <v>0</v>
      </c>
      <c r="BQ249" s="59">
        <f t="shared" si="130"/>
        <v>0</v>
      </c>
      <c r="BR249" s="59">
        <f t="shared" si="130"/>
        <v>0</v>
      </c>
      <c r="BS249" s="59">
        <f t="shared" si="130"/>
        <v>0</v>
      </c>
      <c r="BT249" s="59">
        <f t="shared" si="130"/>
        <v>0</v>
      </c>
      <c r="BU249" s="59">
        <f t="shared" si="130"/>
        <v>0</v>
      </c>
      <c r="BV249" s="70">
        <f t="shared" si="145"/>
        <v>0</v>
      </c>
      <c r="BX249" s="54">
        <f t="shared" si="131"/>
        <v>0</v>
      </c>
      <c r="BY249" s="54">
        <f t="shared" si="131"/>
        <v>11.818181818181818</v>
      </c>
      <c r="BZ249" s="54">
        <f t="shared" si="131"/>
        <v>11.818181818181818</v>
      </c>
      <c r="CA249" s="54">
        <f t="shared" si="131"/>
        <v>11.818181818181818</v>
      </c>
      <c r="CB249" s="54">
        <f t="shared" si="131"/>
        <v>11.818181818181818</v>
      </c>
      <c r="CC249" s="54">
        <f t="shared" si="131"/>
        <v>11.818181818181818</v>
      </c>
      <c r="CD249" s="54">
        <f t="shared" si="115"/>
        <v>11.818181818181818</v>
      </c>
      <c r="CE249" s="54">
        <f t="shared" si="115"/>
        <v>11.818181818181818</v>
      </c>
      <c r="CF249" s="54">
        <f t="shared" si="115"/>
        <v>11.818181818181818</v>
      </c>
      <c r="CG249" s="54">
        <f t="shared" si="115"/>
        <v>11.818181818181818</v>
      </c>
      <c r="CH249" s="54">
        <f t="shared" si="115"/>
        <v>11.818181818181818</v>
      </c>
      <c r="CI249" s="54">
        <f t="shared" si="115"/>
        <v>11.818181818181818</v>
      </c>
      <c r="CJ249" s="70">
        <f t="shared" si="139"/>
        <v>129.99999999999997</v>
      </c>
      <c r="CK249" s="59"/>
      <c r="CL249" s="59"/>
      <c r="CM249" s="71">
        <f t="shared" si="102"/>
        <v>130</v>
      </c>
      <c r="CN249" s="77"/>
      <c r="CO249" s="55"/>
      <c r="CP249" s="56"/>
    </row>
    <row r="250" spans="1:94" ht="20.25" customHeight="1">
      <c r="A250" s="1" t="s">
        <v>653</v>
      </c>
      <c r="B250" s="1" t="s">
        <v>654</v>
      </c>
      <c r="C250" s="58" t="s">
        <v>655</v>
      </c>
      <c r="D250" s="58">
        <v>281</v>
      </c>
      <c r="E250" s="59">
        <v>130</v>
      </c>
      <c r="G250" s="4">
        <v>45678</v>
      </c>
      <c r="H250" s="60">
        <f>+IF(YEAR(G250)&lt;YEAR($H$5),$H$4,G250)</f>
        <v>45678</v>
      </c>
      <c r="I250" s="60" t="str">
        <f>+VLOOKUP(A250,'[1]BDD-Avk Tx'!B:BZ,77,0)</f>
        <v>CDD</v>
      </c>
      <c r="J250" s="60">
        <f>+IF(I250="CDI",H250,H250+0)</f>
        <v>45678</v>
      </c>
      <c r="N250" s="3"/>
      <c r="P250" s="54">
        <f t="shared" si="146"/>
        <v>0.83333333333333337</v>
      </c>
      <c r="Q250" s="61"/>
      <c r="R250" s="62">
        <f t="shared" si="104"/>
        <v>16.5</v>
      </c>
      <c r="S250" s="54">
        <v>0</v>
      </c>
      <c r="T250" s="54">
        <v>1.5</v>
      </c>
      <c r="U250" s="54">
        <f t="shared" si="143"/>
        <v>1.5</v>
      </c>
      <c r="V250" s="54">
        <f t="shared" si="143"/>
        <v>1.5</v>
      </c>
      <c r="W250" s="54">
        <f t="shared" si="143"/>
        <v>1.5</v>
      </c>
      <c r="X250" s="54">
        <f t="shared" si="143"/>
        <v>1.5</v>
      </c>
      <c r="Y250" s="54">
        <f t="shared" si="143"/>
        <v>1.5</v>
      </c>
      <c r="Z250" s="54">
        <f t="shared" si="143"/>
        <v>1.5</v>
      </c>
      <c r="AA250" s="54">
        <f t="shared" si="143"/>
        <v>1.5</v>
      </c>
      <c r="AB250" s="54">
        <f t="shared" si="143"/>
        <v>1.5</v>
      </c>
      <c r="AC250" s="54">
        <f t="shared" si="143"/>
        <v>1.5</v>
      </c>
      <c r="AD250" s="54">
        <f t="shared" si="143"/>
        <v>1.5</v>
      </c>
      <c r="AF250" s="63">
        <f t="shared" si="122"/>
        <v>0</v>
      </c>
      <c r="AG250" s="64"/>
      <c r="AH250" s="64">
        <v>0</v>
      </c>
      <c r="AI250" s="65">
        <v>0</v>
      </c>
      <c r="AJ250" s="64"/>
      <c r="AK250" s="64"/>
      <c r="AL250" s="64"/>
      <c r="AM250" s="64"/>
      <c r="AN250" s="64"/>
      <c r="AO250" s="64"/>
      <c r="AP250" s="64"/>
      <c r="AQ250" s="64"/>
      <c r="AR250" s="66"/>
      <c r="AS250" s="70">
        <f t="shared" si="100"/>
        <v>16.5</v>
      </c>
      <c r="AT250" s="68"/>
      <c r="AU250" s="69"/>
      <c r="AV250" s="63"/>
      <c r="AW250" s="54">
        <f t="shared" si="124"/>
        <v>0</v>
      </c>
      <c r="AX250" s="54">
        <f t="shared" si="124"/>
        <v>7.5</v>
      </c>
      <c r="AY250" s="54">
        <f t="shared" si="124"/>
        <v>7.5</v>
      </c>
      <c r="AZ250" s="54">
        <f t="shared" si="120"/>
        <v>7.5</v>
      </c>
      <c r="BA250" s="54">
        <f t="shared" si="120"/>
        <v>7.5</v>
      </c>
      <c r="BB250" s="54">
        <f t="shared" si="120"/>
        <v>7.5</v>
      </c>
      <c r="BC250" s="54">
        <f t="shared" si="120"/>
        <v>7.5</v>
      </c>
      <c r="BD250" s="54">
        <f t="shared" si="120"/>
        <v>7.5</v>
      </c>
      <c r="BE250" s="54">
        <f t="shared" si="120"/>
        <v>7.5</v>
      </c>
      <c r="BF250" s="54">
        <f t="shared" si="120"/>
        <v>7.5</v>
      </c>
      <c r="BG250" s="54">
        <f t="shared" si="120"/>
        <v>7.5</v>
      </c>
      <c r="BH250" s="54">
        <f t="shared" si="120"/>
        <v>7.5</v>
      </c>
      <c r="BI250" s="63">
        <f t="shared" si="144"/>
        <v>0</v>
      </c>
      <c r="BJ250" s="59">
        <f t="shared" ref="BJ250:BU251" si="147">(+IF($K250="",$E250/26*AG250,IF(MONTH($K250)=MONTH(BJ$5),$L250/26*AG250,IF(AND($K250&lt;BJ$5,(MONTH($K250)&lt;&gt;MONTH(BJ$5))),$L250/26*AG250,$E250/26*AG250))))*-1</f>
        <v>0</v>
      </c>
      <c r="BK250" s="59">
        <f t="shared" si="147"/>
        <v>0</v>
      </c>
      <c r="BL250" s="59">
        <f t="shared" si="147"/>
        <v>0</v>
      </c>
      <c r="BM250" s="59">
        <f t="shared" si="147"/>
        <v>0</v>
      </c>
      <c r="BN250" s="59">
        <f t="shared" si="147"/>
        <v>0</v>
      </c>
      <c r="BO250" s="59">
        <f t="shared" si="147"/>
        <v>0</v>
      </c>
      <c r="BP250" s="59">
        <f t="shared" si="147"/>
        <v>0</v>
      </c>
      <c r="BQ250" s="59">
        <f t="shared" si="147"/>
        <v>0</v>
      </c>
      <c r="BR250" s="59">
        <f t="shared" si="147"/>
        <v>0</v>
      </c>
      <c r="BS250" s="59">
        <f t="shared" si="147"/>
        <v>0</v>
      </c>
      <c r="BT250" s="59">
        <f t="shared" si="147"/>
        <v>0</v>
      </c>
      <c r="BU250" s="59">
        <f t="shared" si="147"/>
        <v>0</v>
      </c>
      <c r="BV250" s="70">
        <f t="shared" si="145"/>
        <v>0</v>
      </c>
      <c r="BX250" s="54">
        <f t="shared" si="131"/>
        <v>0</v>
      </c>
      <c r="BY250" s="54">
        <f t="shared" si="131"/>
        <v>11.818181818181818</v>
      </c>
      <c r="BZ250" s="54">
        <f t="shared" si="131"/>
        <v>11.818181818181818</v>
      </c>
      <c r="CA250" s="54">
        <f t="shared" si="131"/>
        <v>11.818181818181818</v>
      </c>
      <c r="CB250" s="54">
        <f t="shared" si="131"/>
        <v>11.818181818181818</v>
      </c>
      <c r="CC250" s="54">
        <f t="shared" si="131"/>
        <v>11.818181818181818</v>
      </c>
      <c r="CD250" s="54">
        <f t="shared" si="115"/>
        <v>11.818181818181818</v>
      </c>
      <c r="CE250" s="54">
        <f t="shared" si="115"/>
        <v>11.818181818181818</v>
      </c>
      <c r="CF250" s="54">
        <f t="shared" si="115"/>
        <v>11.818181818181818</v>
      </c>
      <c r="CG250" s="54">
        <f t="shared" si="115"/>
        <v>11.818181818181818</v>
      </c>
      <c r="CH250" s="54">
        <f t="shared" si="115"/>
        <v>11.818181818181818</v>
      </c>
      <c r="CI250" s="54">
        <f t="shared" si="115"/>
        <v>11.818181818181818</v>
      </c>
      <c r="CJ250" s="70">
        <f t="shared" si="139"/>
        <v>129.99999999999997</v>
      </c>
      <c r="CK250" s="59"/>
      <c r="CL250" s="59"/>
      <c r="CM250" s="71">
        <f t="shared" si="102"/>
        <v>130</v>
      </c>
      <c r="CN250" s="77"/>
      <c r="CO250" s="55"/>
      <c r="CP250" s="56"/>
    </row>
    <row r="251" spans="1:94" ht="20.25" customHeight="1">
      <c r="C251" s="58"/>
      <c r="D251" s="58"/>
      <c r="E251" s="59"/>
      <c r="H251" s="60"/>
      <c r="I251" s="60"/>
      <c r="J251" s="60"/>
      <c r="N251" s="3"/>
      <c r="P251" s="54"/>
      <c r="Q251" s="61"/>
      <c r="R251" s="6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F251" s="63"/>
      <c r="AG251" s="64"/>
      <c r="AH251" s="64"/>
      <c r="AI251" s="65"/>
      <c r="AJ251" s="64"/>
      <c r="AK251" s="64"/>
      <c r="AL251" s="64"/>
      <c r="AM251" s="64"/>
      <c r="AN251" s="64"/>
      <c r="AO251" s="64"/>
      <c r="AP251" s="64"/>
      <c r="AQ251" s="64"/>
      <c r="AR251" s="66"/>
      <c r="AS251" s="70">
        <f t="shared" si="100"/>
        <v>0</v>
      </c>
      <c r="AT251" s="68"/>
      <c r="AU251" s="69"/>
      <c r="AV251" s="63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63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70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70"/>
      <c r="CK251" s="59"/>
      <c r="CL251" s="59"/>
      <c r="CM251" s="71"/>
      <c r="CN251" s="77"/>
      <c r="CO251" s="55"/>
      <c r="CP251" s="56"/>
    </row>
    <row r="252" spans="1:94" ht="20.25" customHeight="1">
      <c r="C252" s="58"/>
      <c r="D252" s="58"/>
      <c r="E252" s="59"/>
      <c r="H252" s="60"/>
      <c r="I252" s="60"/>
      <c r="J252" s="60"/>
      <c r="N252" s="3"/>
      <c r="P252" s="54"/>
      <c r="Q252" s="61"/>
      <c r="R252" s="6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F252" s="63"/>
      <c r="AG252" s="64"/>
      <c r="AH252" s="79"/>
      <c r="AI252" s="65"/>
      <c r="AJ252" s="64"/>
      <c r="AK252" s="64"/>
      <c r="AL252" s="64"/>
      <c r="AM252" s="64"/>
      <c r="AN252" s="64"/>
      <c r="AO252" s="64"/>
      <c r="AP252" s="64"/>
      <c r="AQ252" s="64"/>
      <c r="AR252" s="66"/>
      <c r="AS252" s="70"/>
      <c r="AT252" s="68"/>
      <c r="AU252" s="69"/>
      <c r="AV252" s="63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63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70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70"/>
      <c r="CK252" s="59"/>
      <c r="CL252" s="59"/>
      <c r="CM252" s="71"/>
      <c r="CN252" s="77"/>
      <c r="CO252" s="55"/>
      <c r="CP252" s="56"/>
    </row>
    <row r="253" spans="1:94" ht="20.25" customHeight="1">
      <c r="N253" s="3"/>
      <c r="P253" s="54"/>
      <c r="Q253" s="61">
        <v>0</v>
      </c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F253" s="62"/>
      <c r="AG253" s="64"/>
      <c r="AH253" s="64"/>
      <c r="AI253" s="65"/>
      <c r="AJ253" s="64"/>
      <c r="AK253" s="64"/>
      <c r="AL253" s="64"/>
      <c r="AM253" s="64"/>
      <c r="AN253" s="64"/>
      <c r="AO253" s="64"/>
      <c r="AP253" s="64"/>
      <c r="AQ253" s="64"/>
      <c r="AR253" s="66"/>
      <c r="AS253" s="67">
        <f t="shared" si="100"/>
        <v>0</v>
      </c>
      <c r="AT253" s="68"/>
      <c r="AU253" s="80"/>
      <c r="AV253" s="62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62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67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74"/>
      <c r="CK253" s="8"/>
      <c r="CM253" s="77"/>
      <c r="CN253" s="72"/>
      <c r="CO253" s="73"/>
    </row>
    <row r="254" spans="1:94" s="81" customFormat="1" ht="20.25" customHeight="1" thickBot="1">
      <c r="E254" s="82"/>
      <c r="F254" s="82"/>
      <c r="G254" s="82"/>
      <c r="H254" s="83"/>
      <c r="I254" s="83"/>
      <c r="J254" s="83"/>
      <c r="K254" s="83"/>
      <c r="L254" s="82"/>
      <c r="M254" s="83"/>
      <c r="N254" s="82"/>
      <c r="O254" s="83"/>
      <c r="P254" s="84"/>
      <c r="Q254" s="85">
        <v>0</v>
      </c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1"/>
      <c r="AF254" s="86"/>
      <c r="AG254" s="87"/>
      <c r="AH254" s="87"/>
      <c r="AI254" s="88"/>
      <c r="AJ254" s="87"/>
      <c r="AK254" s="87"/>
      <c r="AL254" s="87"/>
      <c r="AM254" s="87"/>
      <c r="AN254" s="87"/>
      <c r="AO254" s="64"/>
      <c r="AP254" s="64"/>
      <c r="AQ254" s="87"/>
      <c r="AR254" s="88"/>
      <c r="AS254" s="67">
        <f t="shared" si="100"/>
        <v>0</v>
      </c>
      <c r="AT254" s="68"/>
      <c r="AU254" s="89"/>
      <c r="AV254" s="86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6"/>
      <c r="BJ254" s="90"/>
      <c r="BK254" s="90"/>
      <c r="BL254" s="90"/>
      <c r="BM254" s="90"/>
      <c r="BN254" s="90"/>
      <c r="BO254" s="90"/>
      <c r="BP254" s="90"/>
      <c r="BQ254" s="90"/>
      <c r="BR254" s="90"/>
      <c r="BS254" s="90"/>
      <c r="BT254" s="90"/>
      <c r="BU254" s="90"/>
      <c r="BV254" s="91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92"/>
      <c r="CJ254" s="93"/>
      <c r="CK254" s="94"/>
      <c r="CL254" s="9">
        <f t="shared" si="108"/>
        <v>0</v>
      </c>
      <c r="CM254" s="95">
        <v>0</v>
      </c>
      <c r="CN254" s="96">
        <f>SUM(BX254:CA254)</f>
        <v>0</v>
      </c>
      <c r="CO254" s="97"/>
    </row>
    <row r="255" spans="1:94" s="98" customFormat="1" ht="20.25" customHeight="1" thickTop="1">
      <c r="E255" s="99"/>
      <c r="F255" s="99"/>
      <c r="G255" s="100"/>
      <c r="H255" s="100"/>
      <c r="I255" s="100"/>
      <c r="J255" s="100"/>
      <c r="K255" s="100"/>
      <c r="L255" s="99"/>
      <c r="M255" s="100"/>
      <c r="N255" s="99"/>
      <c r="O255" s="100"/>
      <c r="P255" s="101"/>
      <c r="Q255" s="102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F255" s="103"/>
      <c r="AG255" s="104"/>
      <c r="AH255" s="104"/>
      <c r="AI255" s="105"/>
      <c r="AJ255" s="104"/>
      <c r="AK255" s="104"/>
      <c r="AL255" s="104"/>
      <c r="AM255" s="104"/>
      <c r="AN255" s="104"/>
      <c r="AO255" s="104"/>
      <c r="AP255" s="104"/>
      <c r="AQ255" s="104"/>
      <c r="AR255" s="106"/>
      <c r="AS255" s="107"/>
      <c r="AT255" s="106"/>
      <c r="AU255" s="108"/>
      <c r="AV255" s="109"/>
      <c r="AW255" s="101"/>
      <c r="AX255" s="101"/>
      <c r="AY255" s="101"/>
      <c r="AZ255" s="101"/>
      <c r="BA255" s="101"/>
      <c r="BB255" s="101"/>
      <c r="BC255" s="101"/>
      <c r="BD255" s="101"/>
      <c r="BE255" s="101"/>
      <c r="BF255" s="101"/>
      <c r="BG255" s="101"/>
      <c r="BH255" s="101"/>
      <c r="BI255" s="109"/>
      <c r="BJ255" s="110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110"/>
      <c r="BU255" s="110"/>
      <c r="BV255" s="107"/>
      <c r="BX255" s="101"/>
      <c r="BY255" s="101"/>
      <c r="BZ255" s="101"/>
      <c r="CA255" s="101"/>
      <c r="CB255" s="101"/>
      <c r="CC255" s="101"/>
      <c r="CD255" s="101"/>
      <c r="CE255" s="101"/>
      <c r="CF255" s="101"/>
      <c r="CG255" s="101"/>
      <c r="CH255" s="101"/>
      <c r="CI255" s="101"/>
      <c r="CJ255" s="111"/>
      <c r="CK255" s="112"/>
      <c r="CL255" s="113"/>
      <c r="CM255" s="114"/>
      <c r="CN255" s="114"/>
      <c r="CO255" s="115"/>
    </row>
    <row r="256" spans="1:94" s="117" customFormat="1" ht="20.25" customHeight="1">
      <c r="A256" s="116" t="s">
        <v>656</v>
      </c>
      <c r="B256" s="117" t="s">
        <v>657</v>
      </c>
      <c r="C256" s="117" t="s">
        <v>567</v>
      </c>
      <c r="D256" s="117">
        <v>120</v>
      </c>
      <c r="E256" s="118">
        <v>130</v>
      </c>
      <c r="F256" s="118"/>
      <c r="G256" s="119">
        <v>45454</v>
      </c>
      <c r="H256" s="119">
        <f t="shared" ref="H256:H259" si="148">+IF(YEAR(G256)&lt;YEAR($H$5),$H$4,G256)</f>
        <v>45647</v>
      </c>
      <c r="I256" s="119" t="s">
        <v>658</v>
      </c>
      <c r="J256" s="119">
        <f t="shared" ref="J256:J259" si="149">+IF(I256="CDI",H256,H256+0)</f>
        <v>45647</v>
      </c>
      <c r="K256" s="119"/>
      <c r="L256" s="118"/>
      <c r="M256" s="119"/>
      <c r="N256" s="118"/>
      <c r="O256" s="119">
        <v>45667</v>
      </c>
      <c r="P256" s="120">
        <f t="shared" ref="P256:P259" si="150">DATEDIF(G256,$AD$6,"m")/12</f>
        <v>1.5</v>
      </c>
      <c r="Q256" s="121">
        <v>9</v>
      </c>
      <c r="R256" s="122">
        <f t="shared" ref="R256:R259" si="151">SUM(S256:AD256)</f>
        <v>1.5</v>
      </c>
      <c r="S256" s="120">
        <f t="shared" ref="S256:AD264" si="152">+IF(AND(AND($O256="",$P256&gt;=10,MONTH($G256)=MONTH(S$5))),1.5+2,+IF(AND(AND($O256="",$P256&gt;=5,MONTH($G256)=MONTH(S$5))),1.5+1,+IF(AND(AND($P256=5,$O256="",MONTH($G256)=MONTH(S$5))),1.5,+IF(AND($H256&gt;S$5,MONTH($H256)=MONTH(S$5)),1.5/30*(S$4-DAY($H256)),+IF(AND(MONTH($H256)&lt;MONTH(S$5),$O256=""),1.5,+IF(AND($H256=$S$5,$O256=""),1.5,IF($O256&lt;S$5,0,IF(MONTH($O256)=MONTH(S$5),1.5/30*($O256-S$5),1.5))))))))</f>
        <v>1.5</v>
      </c>
      <c r="T256" s="120">
        <f t="shared" si="152"/>
        <v>0</v>
      </c>
      <c r="U256" s="120">
        <f t="shared" si="152"/>
        <v>0</v>
      </c>
      <c r="V256" s="120">
        <f t="shared" si="152"/>
        <v>0</v>
      </c>
      <c r="W256" s="120">
        <f t="shared" si="152"/>
        <v>0</v>
      </c>
      <c r="X256" s="120">
        <f t="shared" si="152"/>
        <v>0</v>
      </c>
      <c r="Y256" s="120">
        <f t="shared" si="152"/>
        <v>0</v>
      </c>
      <c r="Z256" s="120">
        <f t="shared" si="152"/>
        <v>0</v>
      </c>
      <c r="AA256" s="120">
        <f t="shared" si="152"/>
        <v>0</v>
      </c>
      <c r="AB256" s="120">
        <f t="shared" si="152"/>
        <v>0</v>
      </c>
      <c r="AC256" s="120">
        <f t="shared" si="152"/>
        <v>0</v>
      </c>
      <c r="AD256" s="120">
        <f t="shared" si="152"/>
        <v>0</v>
      </c>
      <c r="AF256" s="123">
        <f t="shared" ref="AF256" si="153">SUM(AG256:AR256)</f>
        <v>10.5</v>
      </c>
      <c r="AG256" s="79">
        <v>10.5</v>
      </c>
      <c r="AH256" s="79"/>
      <c r="AI256" s="65"/>
      <c r="AJ256" s="65"/>
      <c r="AK256" s="79"/>
      <c r="AL256" s="79"/>
      <c r="AM256" s="79"/>
      <c r="AN256" s="79"/>
      <c r="AO256" s="79"/>
      <c r="AP256" s="79"/>
      <c r="AQ256" s="79"/>
      <c r="AR256" s="65"/>
      <c r="AS256" s="124">
        <f t="shared" ref="AS256:AS259" si="154">+Q256+R256-AF256</f>
        <v>0</v>
      </c>
      <c r="AT256" s="125"/>
      <c r="AU256" s="126">
        <v>45</v>
      </c>
      <c r="AV256" s="123">
        <f>SUM(AW256:BH256)</f>
        <v>7.5</v>
      </c>
      <c r="AW256" s="120">
        <f t="shared" ref="AW256:BH264" si="155">+IF($K256="",$E256/26*S256,IF(MONTH($K256)=MONTH(AW$5),$L256/26*S256,IF(AND($K256&lt;AW$5,(MONTH($K256)&lt;&gt;MONTH(AW$5))),$L256/26*S256,$E256/26*S256)))</f>
        <v>7.5</v>
      </c>
      <c r="AX256" s="120">
        <f t="shared" si="155"/>
        <v>0</v>
      </c>
      <c r="AY256" s="120">
        <f t="shared" si="155"/>
        <v>0</v>
      </c>
      <c r="AZ256" s="120">
        <f t="shared" si="155"/>
        <v>0</v>
      </c>
      <c r="BA256" s="120">
        <f t="shared" si="155"/>
        <v>0</v>
      </c>
      <c r="BB256" s="120">
        <f t="shared" si="155"/>
        <v>0</v>
      </c>
      <c r="BC256" s="120">
        <f t="shared" si="155"/>
        <v>0</v>
      </c>
      <c r="BD256" s="120">
        <f t="shared" si="155"/>
        <v>0</v>
      </c>
      <c r="BE256" s="120">
        <f t="shared" si="155"/>
        <v>0</v>
      </c>
      <c r="BF256" s="120">
        <f t="shared" si="155"/>
        <v>0</v>
      </c>
      <c r="BG256" s="120">
        <f t="shared" si="155"/>
        <v>0</v>
      </c>
      <c r="BH256" s="120">
        <f t="shared" si="155"/>
        <v>0</v>
      </c>
      <c r="BI256" s="123">
        <f>SUM(BJ256:BU256)</f>
        <v>-52.5</v>
      </c>
      <c r="BJ256" s="118">
        <f t="shared" ref="BJ256:BU264" si="156">(+IF($K256="",$E256/26*AG256,IF(MONTH($K256)=MONTH(BJ$5),$L256/26*AG256,IF(AND($K256&lt;BJ$5,(MONTH($K256)&lt;&gt;MONTH(BJ$5))),$L256/26*AG256,$E256/26*AG256))))*-1</f>
        <v>-52.5</v>
      </c>
      <c r="BK256" s="118">
        <f t="shared" si="156"/>
        <v>0</v>
      </c>
      <c r="BL256" s="118">
        <f t="shared" si="156"/>
        <v>0</v>
      </c>
      <c r="BM256" s="118">
        <f t="shared" si="156"/>
        <v>0</v>
      </c>
      <c r="BN256" s="118">
        <f t="shared" si="156"/>
        <v>0</v>
      </c>
      <c r="BO256" s="118">
        <f t="shared" si="156"/>
        <v>0</v>
      </c>
      <c r="BP256" s="118">
        <f t="shared" si="156"/>
        <v>0</v>
      </c>
      <c r="BQ256" s="118">
        <f t="shared" si="156"/>
        <v>0</v>
      </c>
      <c r="BR256" s="118">
        <f t="shared" si="156"/>
        <v>0</v>
      </c>
      <c r="BS256" s="118">
        <f t="shared" si="156"/>
        <v>0</v>
      </c>
      <c r="BT256" s="118">
        <f t="shared" si="156"/>
        <v>0</v>
      </c>
      <c r="BU256" s="118">
        <f t="shared" si="156"/>
        <v>0</v>
      </c>
      <c r="BV256" s="124">
        <f t="shared" ref="BV256:BV259" si="157">+AU256+AV256+BI256</f>
        <v>0</v>
      </c>
      <c r="BX256" s="54">
        <v>0</v>
      </c>
      <c r="BY256" s="120">
        <f t="shared" ref="BY256:CI264" si="158">+IF(AND($J256&gt;BY$5,MONTH($J256&lt;&gt;BY$5)),0,+IF(AND($J256&gt;BY$5,MONTH($J256=BY$5)),$E256/$R256*DAY($J256),IF(AND($O256&lt;&gt;"",$O256&lt;BY$5),0,IF($K256="",$E256/$R256*T256,IF(MONTH($K256)=MONTH(BY$5),$L256/$R256*T256,IF(AND($K256&lt;BY$5,(MONTH($K256)&lt;&gt;MONTH(BY$5))),$L256/$R256*T256,$E256/$R256*T256))))))</f>
        <v>0</v>
      </c>
      <c r="BZ256" s="120">
        <f t="shared" si="158"/>
        <v>0</v>
      </c>
      <c r="CA256" s="120">
        <f t="shared" si="158"/>
        <v>0</v>
      </c>
      <c r="CB256" s="120">
        <f t="shared" si="158"/>
        <v>0</v>
      </c>
      <c r="CC256" s="120">
        <f t="shared" si="158"/>
        <v>0</v>
      </c>
      <c r="CD256" s="120">
        <f t="shared" si="158"/>
        <v>0</v>
      </c>
      <c r="CE256" s="120">
        <f t="shared" si="158"/>
        <v>0</v>
      </c>
      <c r="CF256" s="120">
        <f t="shared" si="158"/>
        <v>0</v>
      </c>
      <c r="CG256" s="120">
        <f t="shared" si="158"/>
        <v>0</v>
      </c>
      <c r="CH256" s="120">
        <f t="shared" si="158"/>
        <v>0</v>
      </c>
      <c r="CI256" s="120">
        <f t="shared" si="158"/>
        <v>0</v>
      </c>
      <c r="CJ256" s="124">
        <f t="shared" ref="CJ256:CJ264" si="159">SUM(BX256:CI256)</f>
        <v>0</v>
      </c>
      <c r="CK256" s="118">
        <f t="shared" ref="CK256:CK259" si="160">+IF(P256&lt;5,18,IF(AND(P256&gt;=5,P256&lt;10),19,IF(AND(P256&gt;=10,P256&lt;15),20,IF(AND(P256&gt;=15,P256&lt;20),21,0))))</f>
        <v>18</v>
      </c>
      <c r="CL256" s="118">
        <f t="shared" ref="CL256:CL264" si="161">+CM256-CJ256</f>
        <v>130</v>
      </c>
      <c r="CM256" s="127">
        <f t="shared" ref="CM256:CM259" si="162">IF(L256=0,E256,(L256-E256+E256))</f>
        <v>130</v>
      </c>
      <c r="CN256" s="128"/>
      <c r="CO256" s="120"/>
      <c r="CP256" s="129"/>
    </row>
    <row r="257" spans="1:94" ht="20.25" customHeight="1">
      <c r="A257" s="75" t="s">
        <v>659</v>
      </c>
      <c r="B257" s="1" t="s">
        <v>660</v>
      </c>
      <c r="C257" s="58" t="s">
        <v>661</v>
      </c>
      <c r="D257" s="58">
        <v>810</v>
      </c>
      <c r="E257" s="59">
        <v>267.8</v>
      </c>
      <c r="G257" s="60">
        <v>45251</v>
      </c>
      <c r="H257" s="60">
        <f t="shared" si="148"/>
        <v>45647</v>
      </c>
      <c r="I257" s="60" t="s">
        <v>662</v>
      </c>
      <c r="J257" s="60">
        <f t="shared" si="149"/>
        <v>45647</v>
      </c>
      <c r="N257" s="3"/>
      <c r="O257" s="4">
        <v>45708</v>
      </c>
      <c r="P257" s="54">
        <f t="shared" si="150"/>
        <v>2</v>
      </c>
      <c r="Q257" s="61">
        <v>1.5</v>
      </c>
      <c r="R257" s="62">
        <f t="shared" si="151"/>
        <v>3</v>
      </c>
      <c r="S257" s="54">
        <f t="shared" si="152"/>
        <v>1.5</v>
      </c>
      <c r="T257" s="54">
        <f t="shared" si="152"/>
        <v>1.5</v>
      </c>
      <c r="U257" s="54">
        <f t="shared" si="152"/>
        <v>0</v>
      </c>
      <c r="V257" s="54">
        <f t="shared" si="152"/>
        <v>0</v>
      </c>
      <c r="W257" s="54">
        <f t="shared" si="152"/>
        <v>0</v>
      </c>
      <c r="X257" s="54">
        <f t="shared" si="152"/>
        <v>0</v>
      </c>
      <c r="Y257" s="54">
        <f t="shared" si="152"/>
        <v>0</v>
      </c>
      <c r="Z257" s="54">
        <f t="shared" si="152"/>
        <v>0</v>
      </c>
      <c r="AA257" s="54">
        <f t="shared" si="152"/>
        <v>0</v>
      </c>
      <c r="AB257" s="54">
        <f t="shared" si="152"/>
        <v>0</v>
      </c>
      <c r="AC257" s="54">
        <f t="shared" si="152"/>
        <v>0</v>
      </c>
      <c r="AD257" s="54">
        <f t="shared" si="152"/>
        <v>0</v>
      </c>
      <c r="AF257" s="63">
        <f t="shared" ref="AF257:AF258" si="163">SUM(AG257:AR257)</f>
        <v>4.5</v>
      </c>
      <c r="AG257" s="64">
        <v>0</v>
      </c>
      <c r="AH257" s="64">
        <v>4.5</v>
      </c>
      <c r="AI257" s="65"/>
      <c r="AJ257" s="66"/>
      <c r="AK257" s="64"/>
      <c r="AL257" s="64"/>
      <c r="AM257" s="64"/>
      <c r="AN257" s="64"/>
      <c r="AO257" s="64"/>
      <c r="AP257" s="64"/>
      <c r="AQ257" s="64"/>
      <c r="AR257" s="64"/>
      <c r="AS257" s="70">
        <f t="shared" si="154"/>
        <v>0</v>
      </c>
      <c r="AT257" s="68"/>
      <c r="AU257" s="69">
        <v>15.449999999999932</v>
      </c>
      <c r="AV257" s="63">
        <f t="shared" ref="AV257:AV258" si="164">SUM(AW257:BH257)</f>
        <v>30.900000000000002</v>
      </c>
      <c r="AW257" s="54">
        <f t="shared" si="155"/>
        <v>15.450000000000001</v>
      </c>
      <c r="AX257" s="54">
        <f t="shared" si="155"/>
        <v>15.450000000000001</v>
      </c>
      <c r="AY257" s="54">
        <f t="shared" si="155"/>
        <v>0</v>
      </c>
      <c r="AZ257" s="54">
        <f t="shared" si="155"/>
        <v>0</v>
      </c>
      <c r="BA257" s="54">
        <f t="shared" si="155"/>
        <v>0</v>
      </c>
      <c r="BB257" s="54">
        <f t="shared" si="155"/>
        <v>0</v>
      </c>
      <c r="BC257" s="54">
        <f t="shared" si="155"/>
        <v>0</v>
      </c>
      <c r="BD257" s="54">
        <f t="shared" si="155"/>
        <v>0</v>
      </c>
      <c r="BE257" s="54">
        <f t="shared" si="155"/>
        <v>0</v>
      </c>
      <c r="BF257" s="54">
        <f t="shared" si="155"/>
        <v>0</v>
      </c>
      <c r="BG257" s="54">
        <f t="shared" si="155"/>
        <v>0</v>
      </c>
      <c r="BH257" s="54">
        <f t="shared" si="155"/>
        <v>0</v>
      </c>
      <c r="BI257" s="63">
        <f t="shared" ref="BI257:BI259" si="165">SUM(BJ257:BU257)</f>
        <v>-46.35</v>
      </c>
      <c r="BJ257" s="59">
        <f t="shared" si="156"/>
        <v>0</v>
      </c>
      <c r="BK257" s="59">
        <f t="shared" si="156"/>
        <v>-46.35</v>
      </c>
      <c r="BL257" s="59">
        <f t="shared" si="156"/>
        <v>0</v>
      </c>
      <c r="BM257" s="59">
        <f t="shared" si="156"/>
        <v>0</v>
      </c>
      <c r="BN257" s="59">
        <f t="shared" si="156"/>
        <v>0</v>
      </c>
      <c r="BO257" s="59">
        <f t="shared" si="156"/>
        <v>0</v>
      </c>
      <c r="BP257" s="59">
        <f t="shared" si="156"/>
        <v>0</v>
      </c>
      <c r="BQ257" s="59">
        <f t="shared" si="156"/>
        <v>0</v>
      </c>
      <c r="BR257" s="59">
        <f t="shared" si="156"/>
        <v>0</v>
      </c>
      <c r="BS257" s="59">
        <f t="shared" si="156"/>
        <v>0</v>
      </c>
      <c r="BT257" s="59">
        <f t="shared" si="156"/>
        <v>0</v>
      </c>
      <c r="BU257" s="59">
        <f t="shared" si="156"/>
        <v>0</v>
      </c>
      <c r="BV257" s="70">
        <f t="shared" si="157"/>
        <v>-6.3948846218409017E-14</v>
      </c>
      <c r="BX257" s="54">
        <v>22.32</v>
      </c>
      <c r="BY257" s="54">
        <v>-22.32</v>
      </c>
      <c r="BZ257" s="54">
        <f t="shared" si="158"/>
        <v>0</v>
      </c>
      <c r="CA257" s="54">
        <f t="shared" si="158"/>
        <v>0</v>
      </c>
      <c r="CB257" s="54">
        <f t="shared" si="158"/>
        <v>0</v>
      </c>
      <c r="CC257" s="54">
        <f t="shared" si="158"/>
        <v>0</v>
      </c>
      <c r="CD257" s="54">
        <f t="shared" si="158"/>
        <v>0</v>
      </c>
      <c r="CE257" s="54">
        <f t="shared" si="158"/>
        <v>0</v>
      </c>
      <c r="CF257" s="54">
        <f t="shared" si="158"/>
        <v>0</v>
      </c>
      <c r="CG257" s="54">
        <f t="shared" si="158"/>
        <v>0</v>
      </c>
      <c r="CH257" s="54">
        <f t="shared" si="158"/>
        <v>0</v>
      </c>
      <c r="CI257" s="54">
        <f t="shared" si="158"/>
        <v>0</v>
      </c>
      <c r="CJ257" s="70">
        <f t="shared" si="159"/>
        <v>0</v>
      </c>
      <c r="CK257" s="59">
        <f t="shared" si="160"/>
        <v>18</v>
      </c>
      <c r="CL257" s="59">
        <f t="shared" si="161"/>
        <v>267.8</v>
      </c>
      <c r="CM257" s="71">
        <f t="shared" si="162"/>
        <v>267.8</v>
      </c>
      <c r="CN257" s="72"/>
      <c r="CO257" s="73"/>
    </row>
    <row r="258" spans="1:94" ht="20.25" customHeight="1">
      <c r="A258" s="75" t="s">
        <v>663</v>
      </c>
      <c r="B258" s="1" t="s">
        <v>664</v>
      </c>
      <c r="C258" s="58" t="s">
        <v>170</v>
      </c>
      <c r="D258" s="58">
        <v>610</v>
      </c>
      <c r="E258" s="59">
        <v>231.4</v>
      </c>
      <c r="G258" s="4">
        <v>45124</v>
      </c>
      <c r="H258" s="60">
        <f t="shared" si="148"/>
        <v>45647</v>
      </c>
      <c r="I258" s="60" t="s">
        <v>658</v>
      </c>
      <c r="J258" s="60">
        <f t="shared" si="149"/>
        <v>45647</v>
      </c>
      <c r="N258" s="3"/>
      <c r="O258" s="4">
        <v>45723</v>
      </c>
      <c r="P258" s="54">
        <f t="shared" si="150"/>
        <v>2.4166666666666665</v>
      </c>
      <c r="Q258" s="61">
        <v>15.500000000000002</v>
      </c>
      <c r="R258" s="62">
        <f t="shared" si="151"/>
        <v>4.5</v>
      </c>
      <c r="S258" s="54">
        <f t="shared" si="152"/>
        <v>1.5</v>
      </c>
      <c r="T258" s="54">
        <f t="shared" si="152"/>
        <v>1.5</v>
      </c>
      <c r="U258" s="54">
        <f t="shared" si="152"/>
        <v>1.5</v>
      </c>
      <c r="V258" s="54">
        <f t="shared" si="152"/>
        <v>0</v>
      </c>
      <c r="W258" s="54">
        <f t="shared" si="152"/>
        <v>0</v>
      </c>
      <c r="X258" s="54">
        <f t="shared" si="152"/>
        <v>0</v>
      </c>
      <c r="Y258" s="54">
        <f t="shared" si="152"/>
        <v>0</v>
      </c>
      <c r="Z258" s="54">
        <f t="shared" si="152"/>
        <v>0</v>
      </c>
      <c r="AA258" s="54">
        <f t="shared" si="152"/>
        <v>0</v>
      </c>
      <c r="AB258" s="54">
        <f t="shared" si="152"/>
        <v>0</v>
      </c>
      <c r="AC258" s="54">
        <f t="shared" si="152"/>
        <v>0</v>
      </c>
      <c r="AD258" s="54">
        <f t="shared" si="152"/>
        <v>0</v>
      </c>
      <c r="AF258" s="63">
        <f t="shared" si="163"/>
        <v>20</v>
      </c>
      <c r="AG258" s="64">
        <v>9</v>
      </c>
      <c r="AH258" s="64">
        <v>0</v>
      </c>
      <c r="AI258" s="65">
        <v>11</v>
      </c>
      <c r="AJ258" s="66"/>
      <c r="AK258" s="64"/>
      <c r="AL258" s="64"/>
      <c r="AM258" s="64"/>
      <c r="AN258" s="64"/>
      <c r="AO258" s="64"/>
      <c r="AP258" s="64"/>
      <c r="AQ258" s="64"/>
      <c r="AR258" s="64"/>
      <c r="AS258" s="70">
        <f t="shared" si="154"/>
        <v>0</v>
      </c>
      <c r="AT258" s="68"/>
      <c r="AU258" s="69">
        <v>137.94999999999996</v>
      </c>
      <c r="AV258" s="63">
        <f t="shared" si="164"/>
        <v>40.050000000000004</v>
      </c>
      <c r="AW258" s="54">
        <f t="shared" si="155"/>
        <v>13.350000000000001</v>
      </c>
      <c r="AX258" s="54">
        <f t="shared" si="155"/>
        <v>13.350000000000001</v>
      </c>
      <c r="AY258" s="54">
        <f t="shared" si="155"/>
        <v>13.350000000000001</v>
      </c>
      <c r="AZ258" s="54">
        <f t="shared" si="155"/>
        <v>0</v>
      </c>
      <c r="BA258" s="54">
        <f t="shared" si="155"/>
        <v>0</v>
      </c>
      <c r="BB258" s="54">
        <f t="shared" si="155"/>
        <v>0</v>
      </c>
      <c r="BC258" s="54">
        <f t="shared" si="155"/>
        <v>0</v>
      </c>
      <c r="BD258" s="54">
        <f t="shared" si="155"/>
        <v>0</v>
      </c>
      <c r="BE258" s="54">
        <f t="shared" si="155"/>
        <v>0</v>
      </c>
      <c r="BF258" s="54">
        <f t="shared" si="155"/>
        <v>0</v>
      </c>
      <c r="BG258" s="54">
        <f t="shared" si="155"/>
        <v>0</v>
      </c>
      <c r="BH258" s="54">
        <f t="shared" si="155"/>
        <v>0</v>
      </c>
      <c r="BI258" s="63">
        <f t="shared" si="165"/>
        <v>-178</v>
      </c>
      <c r="BJ258" s="59">
        <f t="shared" si="156"/>
        <v>-80.100000000000009</v>
      </c>
      <c r="BK258" s="59">
        <f t="shared" si="156"/>
        <v>0</v>
      </c>
      <c r="BL258" s="59">
        <f t="shared" si="156"/>
        <v>-97.9</v>
      </c>
      <c r="BM258" s="59">
        <f t="shared" si="156"/>
        <v>0</v>
      </c>
      <c r="BN258" s="59">
        <f t="shared" si="156"/>
        <v>0</v>
      </c>
      <c r="BO258" s="59">
        <f t="shared" si="156"/>
        <v>0</v>
      </c>
      <c r="BP258" s="59">
        <f t="shared" si="156"/>
        <v>0</v>
      </c>
      <c r="BQ258" s="59">
        <f t="shared" si="156"/>
        <v>0</v>
      </c>
      <c r="BR258" s="59">
        <f t="shared" si="156"/>
        <v>0</v>
      </c>
      <c r="BS258" s="59">
        <f t="shared" si="156"/>
        <v>0</v>
      </c>
      <c r="BT258" s="59">
        <f t="shared" si="156"/>
        <v>0</v>
      </c>
      <c r="BU258" s="59">
        <f t="shared" si="156"/>
        <v>0</v>
      </c>
      <c r="BV258" s="70">
        <f t="shared" si="157"/>
        <v>0</v>
      </c>
      <c r="BX258" s="54">
        <v>19.283333333333335</v>
      </c>
      <c r="BY258" s="54">
        <v>19.283333333333335</v>
      </c>
      <c r="BZ258" s="54">
        <v>-38.57</v>
      </c>
      <c r="CA258" s="54">
        <f t="shared" si="158"/>
        <v>0</v>
      </c>
      <c r="CB258" s="54">
        <f t="shared" si="158"/>
        <v>0</v>
      </c>
      <c r="CC258" s="54">
        <f t="shared" si="158"/>
        <v>0</v>
      </c>
      <c r="CD258" s="54">
        <f t="shared" si="158"/>
        <v>0</v>
      </c>
      <c r="CE258" s="54">
        <f t="shared" si="158"/>
        <v>0</v>
      </c>
      <c r="CF258" s="54">
        <f t="shared" si="158"/>
        <v>0</v>
      </c>
      <c r="CG258" s="54">
        <f t="shared" si="158"/>
        <v>0</v>
      </c>
      <c r="CH258" s="54">
        <f t="shared" si="158"/>
        <v>0</v>
      </c>
      <c r="CI258" s="54">
        <f t="shared" si="158"/>
        <v>0</v>
      </c>
      <c r="CJ258" s="70">
        <f t="shared" si="159"/>
        <v>-3.3333333333303017E-3</v>
      </c>
      <c r="CK258" s="59">
        <f t="shared" si="160"/>
        <v>18</v>
      </c>
      <c r="CL258" s="59">
        <f t="shared" si="161"/>
        <v>231.40333333333334</v>
      </c>
      <c r="CM258" s="71">
        <f t="shared" si="162"/>
        <v>231.4</v>
      </c>
      <c r="CN258" s="72"/>
      <c r="CO258" s="73"/>
    </row>
    <row r="259" spans="1:94" ht="20.25" customHeight="1">
      <c r="A259" s="75" t="s">
        <v>665</v>
      </c>
      <c r="B259" s="1" t="s">
        <v>666</v>
      </c>
      <c r="C259" s="58" t="s">
        <v>564</v>
      </c>
      <c r="D259" s="58">
        <v>281</v>
      </c>
      <c r="E259" s="59">
        <v>130</v>
      </c>
      <c r="G259" s="4">
        <v>45349</v>
      </c>
      <c r="H259" s="60">
        <f t="shared" si="148"/>
        <v>45647</v>
      </c>
      <c r="I259" s="60" t="s">
        <v>658</v>
      </c>
      <c r="J259" s="60">
        <f t="shared" si="149"/>
        <v>45647</v>
      </c>
      <c r="N259" s="3"/>
      <c r="O259" s="4">
        <v>45717</v>
      </c>
      <c r="P259" s="54">
        <f t="shared" si="150"/>
        <v>1.75</v>
      </c>
      <c r="Q259" s="61">
        <v>0</v>
      </c>
      <c r="R259" s="62">
        <f t="shared" si="151"/>
        <v>4.5</v>
      </c>
      <c r="S259" s="54">
        <f t="shared" si="152"/>
        <v>1.5</v>
      </c>
      <c r="T259" s="54">
        <f t="shared" si="152"/>
        <v>1.5</v>
      </c>
      <c r="U259" s="54">
        <f t="shared" si="152"/>
        <v>1.5</v>
      </c>
      <c r="V259" s="54">
        <f t="shared" si="152"/>
        <v>0</v>
      </c>
      <c r="W259" s="54">
        <f t="shared" si="152"/>
        <v>0</v>
      </c>
      <c r="X259" s="54">
        <f t="shared" si="152"/>
        <v>0</v>
      </c>
      <c r="Y259" s="54">
        <f t="shared" si="152"/>
        <v>0</v>
      </c>
      <c r="Z259" s="54">
        <f t="shared" si="152"/>
        <v>0</v>
      </c>
      <c r="AA259" s="54">
        <f t="shared" si="152"/>
        <v>0</v>
      </c>
      <c r="AB259" s="54">
        <f t="shared" si="152"/>
        <v>0</v>
      </c>
      <c r="AC259" s="54">
        <f t="shared" si="152"/>
        <v>0</v>
      </c>
      <c r="AD259" s="54">
        <f t="shared" si="152"/>
        <v>0</v>
      </c>
      <c r="AF259" s="63">
        <f t="shared" ref="AF259" si="166">SUM(AG259:AR259)</f>
        <v>4.5</v>
      </c>
      <c r="AG259" s="64">
        <v>0</v>
      </c>
      <c r="AH259" s="64">
        <v>14</v>
      </c>
      <c r="AI259" s="65">
        <v>-9.5</v>
      </c>
      <c r="AJ259" s="66"/>
      <c r="AK259" s="64"/>
      <c r="AL259" s="64"/>
      <c r="AM259" s="64"/>
      <c r="AN259" s="64"/>
      <c r="AO259" s="64"/>
      <c r="AP259" s="64"/>
      <c r="AQ259" s="64"/>
      <c r="AR259" s="64"/>
      <c r="AS259" s="70">
        <f t="shared" si="154"/>
        <v>0</v>
      </c>
      <c r="AT259" s="68"/>
      <c r="AU259" s="69">
        <v>0</v>
      </c>
      <c r="AV259" s="63">
        <f t="shared" ref="AV259" si="167">SUM(AW259:BH259)</f>
        <v>22.5</v>
      </c>
      <c r="AW259" s="54">
        <f t="shared" si="155"/>
        <v>7.5</v>
      </c>
      <c r="AX259" s="54">
        <f t="shared" si="155"/>
        <v>7.5</v>
      </c>
      <c r="AY259" s="54">
        <f t="shared" si="155"/>
        <v>7.5</v>
      </c>
      <c r="AZ259" s="54">
        <f t="shared" si="155"/>
        <v>0</v>
      </c>
      <c r="BA259" s="54">
        <f t="shared" si="155"/>
        <v>0</v>
      </c>
      <c r="BB259" s="54">
        <f t="shared" si="155"/>
        <v>0</v>
      </c>
      <c r="BC259" s="54">
        <f t="shared" si="155"/>
        <v>0</v>
      </c>
      <c r="BD259" s="54">
        <f t="shared" si="155"/>
        <v>0</v>
      </c>
      <c r="BE259" s="54">
        <f t="shared" si="155"/>
        <v>0</v>
      </c>
      <c r="BF259" s="54">
        <f t="shared" si="155"/>
        <v>0</v>
      </c>
      <c r="BG259" s="54">
        <f t="shared" si="155"/>
        <v>0</v>
      </c>
      <c r="BH259" s="54">
        <f t="shared" si="155"/>
        <v>0</v>
      </c>
      <c r="BI259" s="63">
        <f t="shared" si="165"/>
        <v>-22.5</v>
      </c>
      <c r="BJ259" s="59">
        <f t="shared" si="156"/>
        <v>0</v>
      </c>
      <c r="BK259" s="59">
        <f t="shared" si="156"/>
        <v>-70</v>
      </c>
      <c r="BL259" s="59">
        <f t="shared" si="156"/>
        <v>47.5</v>
      </c>
      <c r="BM259" s="59">
        <f t="shared" si="156"/>
        <v>0</v>
      </c>
      <c r="BN259" s="59">
        <f t="shared" si="156"/>
        <v>0</v>
      </c>
      <c r="BO259" s="59">
        <f t="shared" si="156"/>
        <v>0</v>
      </c>
      <c r="BP259" s="59">
        <f t="shared" si="156"/>
        <v>0</v>
      </c>
      <c r="BQ259" s="59">
        <f t="shared" si="156"/>
        <v>0</v>
      </c>
      <c r="BR259" s="59">
        <f t="shared" si="156"/>
        <v>0</v>
      </c>
      <c r="BS259" s="59">
        <f t="shared" si="156"/>
        <v>0</v>
      </c>
      <c r="BT259" s="59">
        <f t="shared" si="156"/>
        <v>0</v>
      </c>
      <c r="BU259" s="59">
        <f t="shared" si="156"/>
        <v>0</v>
      </c>
      <c r="BV259" s="70">
        <f t="shared" si="157"/>
        <v>0</v>
      </c>
      <c r="BX259" s="54">
        <v>10.833333333333334</v>
      </c>
      <c r="BY259" s="54">
        <v>10.833333333333334</v>
      </c>
      <c r="BZ259" s="54">
        <v>-21.67</v>
      </c>
      <c r="CA259" s="54">
        <f t="shared" si="158"/>
        <v>0</v>
      </c>
      <c r="CB259" s="54">
        <f t="shared" si="158"/>
        <v>0</v>
      </c>
      <c r="CC259" s="54">
        <f t="shared" si="158"/>
        <v>0</v>
      </c>
      <c r="CD259" s="54">
        <f t="shared" si="158"/>
        <v>0</v>
      </c>
      <c r="CE259" s="54">
        <f t="shared" si="158"/>
        <v>0</v>
      </c>
      <c r="CF259" s="54">
        <f t="shared" si="158"/>
        <v>0</v>
      </c>
      <c r="CG259" s="54">
        <f t="shared" si="158"/>
        <v>0</v>
      </c>
      <c r="CH259" s="54">
        <f t="shared" si="158"/>
        <v>0</v>
      </c>
      <c r="CI259" s="54">
        <f t="shared" si="158"/>
        <v>0</v>
      </c>
      <c r="CJ259" s="70">
        <f t="shared" si="159"/>
        <v>-3.3333333333338544E-3</v>
      </c>
      <c r="CK259" s="59">
        <f t="shared" si="160"/>
        <v>18</v>
      </c>
      <c r="CL259" s="59">
        <f t="shared" si="161"/>
        <v>130.00333333333333</v>
      </c>
      <c r="CM259" s="71">
        <f t="shared" si="162"/>
        <v>130</v>
      </c>
      <c r="CN259" s="77"/>
      <c r="CO259" s="73"/>
      <c r="CP259" s="78"/>
    </row>
    <row r="260" spans="1:94" ht="20.25" customHeight="1">
      <c r="A260" s="1" t="s">
        <v>667</v>
      </c>
      <c r="B260" s="1" t="s">
        <v>668</v>
      </c>
      <c r="C260" s="1" t="s">
        <v>134</v>
      </c>
      <c r="D260" s="58">
        <v>160</v>
      </c>
      <c r="E260" s="59">
        <v>172.9</v>
      </c>
      <c r="G260" s="4">
        <v>42457</v>
      </c>
      <c r="H260" s="4">
        <f>+IF(YEAR(G260)&lt;YEAR($H$5),$H$4,G260)</f>
        <v>45647</v>
      </c>
      <c r="I260" s="60" t="s">
        <v>662</v>
      </c>
      <c r="J260" s="4">
        <f>+IF(I260="CDI",H260,H260+0)</f>
        <v>45647</v>
      </c>
      <c r="N260" s="3"/>
      <c r="O260" s="4">
        <v>45741</v>
      </c>
      <c r="P260" s="54">
        <f>DATEDIF(G260,$AD$6,"m")/12</f>
        <v>9.6666666666666661</v>
      </c>
      <c r="Q260" s="61">
        <v>-0.5</v>
      </c>
      <c r="R260" s="62">
        <f>SUM(S260:AD260)</f>
        <v>4.7</v>
      </c>
      <c r="S260" s="54">
        <f t="shared" si="152"/>
        <v>1.5</v>
      </c>
      <c r="T260" s="54">
        <f t="shared" si="152"/>
        <v>1.5</v>
      </c>
      <c r="U260" s="54">
        <f t="shared" si="152"/>
        <v>1.5</v>
      </c>
      <c r="V260" s="54">
        <f t="shared" si="152"/>
        <v>0.2</v>
      </c>
      <c r="W260" s="54">
        <f t="shared" si="152"/>
        <v>0</v>
      </c>
      <c r="X260" s="54">
        <f t="shared" si="152"/>
        <v>0</v>
      </c>
      <c r="Y260" s="54">
        <f t="shared" si="152"/>
        <v>0</v>
      </c>
      <c r="Z260" s="54">
        <f t="shared" si="152"/>
        <v>0</v>
      </c>
      <c r="AA260" s="54">
        <f t="shared" si="152"/>
        <v>0</v>
      </c>
      <c r="AB260" s="54">
        <f t="shared" si="152"/>
        <v>0</v>
      </c>
      <c r="AC260" s="54">
        <f t="shared" si="152"/>
        <v>0</v>
      </c>
      <c r="AD260" s="54">
        <f t="shared" si="152"/>
        <v>0</v>
      </c>
      <c r="AF260" s="62">
        <f>SUM(AG260:AR260)</f>
        <v>0</v>
      </c>
      <c r="AG260" s="64">
        <v>0</v>
      </c>
      <c r="AH260" s="64">
        <v>0</v>
      </c>
      <c r="AI260" s="65">
        <v>0</v>
      </c>
      <c r="AJ260" s="66"/>
      <c r="AK260" s="64"/>
      <c r="AL260" s="64"/>
      <c r="AM260" s="64"/>
      <c r="AN260" s="64"/>
      <c r="AO260" s="64"/>
      <c r="AP260" s="64"/>
      <c r="AQ260" s="64"/>
      <c r="AR260" s="64"/>
      <c r="AS260" s="67">
        <f>+Q260+R260-AF260</f>
        <v>4.2</v>
      </c>
      <c r="AT260" s="68"/>
      <c r="AU260" s="69">
        <v>-9.3894230769232081</v>
      </c>
      <c r="AV260" s="62">
        <f>SUM(AW260:BH260)</f>
        <v>31.255000000000003</v>
      </c>
      <c r="AW260" s="54">
        <f t="shared" si="155"/>
        <v>9.9750000000000014</v>
      </c>
      <c r="AX260" s="54">
        <f t="shared" si="155"/>
        <v>9.9750000000000014</v>
      </c>
      <c r="AY260" s="54">
        <f t="shared" si="155"/>
        <v>9.9750000000000014</v>
      </c>
      <c r="AZ260" s="54">
        <f t="shared" si="155"/>
        <v>1.33</v>
      </c>
      <c r="BA260" s="54">
        <f t="shared" si="155"/>
        <v>0</v>
      </c>
      <c r="BB260" s="54">
        <f t="shared" si="155"/>
        <v>0</v>
      </c>
      <c r="BC260" s="54">
        <f t="shared" si="155"/>
        <v>0</v>
      </c>
      <c r="BD260" s="54">
        <f t="shared" si="155"/>
        <v>0</v>
      </c>
      <c r="BE260" s="54">
        <f t="shared" si="155"/>
        <v>0</v>
      </c>
      <c r="BF260" s="54">
        <f t="shared" si="155"/>
        <v>0</v>
      </c>
      <c r="BG260" s="54">
        <f t="shared" si="155"/>
        <v>0</v>
      </c>
      <c r="BH260" s="54">
        <f t="shared" si="155"/>
        <v>0</v>
      </c>
      <c r="BI260" s="62">
        <f>SUM(BJ260:BU260)</f>
        <v>0</v>
      </c>
      <c r="BJ260" s="59">
        <f t="shared" si="156"/>
        <v>0</v>
      </c>
      <c r="BK260" s="59">
        <f t="shared" si="156"/>
        <v>0</v>
      </c>
      <c r="BL260" s="59">
        <f t="shared" si="156"/>
        <v>0</v>
      </c>
      <c r="BM260" s="59">
        <f t="shared" si="156"/>
        <v>0</v>
      </c>
      <c r="BN260" s="59">
        <f t="shared" si="156"/>
        <v>0</v>
      </c>
      <c r="BO260" s="59">
        <f t="shared" si="156"/>
        <v>0</v>
      </c>
      <c r="BP260" s="59">
        <f t="shared" si="156"/>
        <v>0</v>
      </c>
      <c r="BQ260" s="59">
        <f t="shared" si="156"/>
        <v>0</v>
      </c>
      <c r="BR260" s="59">
        <f t="shared" si="156"/>
        <v>0</v>
      </c>
      <c r="BS260" s="59">
        <f t="shared" si="156"/>
        <v>0</v>
      </c>
      <c r="BT260" s="59">
        <f t="shared" si="156"/>
        <v>0</v>
      </c>
      <c r="BU260" s="59">
        <f t="shared" si="156"/>
        <v>0</v>
      </c>
      <c r="BV260" s="67">
        <f>+AU260+AV260+BI260</f>
        <v>21.865576923076794</v>
      </c>
      <c r="BX260" s="54">
        <v>13.649999999999999</v>
      </c>
      <c r="BY260" s="54">
        <v>13.649999999999999</v>
      </c>
      <c r="BZ260" s="54">
        <v>13.649999999999999</v>
      </c>
      <c r="CA260" s="54">
        <f t="shared" si="158"/>
        <v>0</v>
      </c>
      <c r="CB260" s="54">
        <f t="shared" si="158"/>
        <v>0</v>
      </c>
      <c r="CC260" s="54">
        <f t="shared" si="158"/>
        <v>0</v>
      </c>
      <c r="CD260" s="54">
        <f t="shared" si="158"/>
        <v>0</v>
      </c>
      <c r="CE260" s="54">
        <f t="shared" si="158"/>
        <v>0</v>
      </c>
      <c r="CF260" s="54">
        <f t="shared" si="158"/>
        <v>0</v>
      </c>
      <c r="CG260" s="54">
        <f t="shared" si="158"/>
        <v>0</v>
      </c>
      <c r="CH260" s="54">
        <f t="shared" si="158"/>
        <v>0</v>
      </c>
      <c r="CI260" s="54">
        <f t="shared" si="158"/>
        <v>0</v>
      </c>
      <c r="CJ260" s="74">
        <f t="shared" si="159"/>
        <v>40.949999999999996</v>
      </c>
      <c r="CK260" s="59">
        <f>+IF(P260&lt;5,18,IF(AND(P260&gt;=5,P260&lt;10),19,IF(AND(P260&gt;=10,P260&lt;15),20,IF(AND(P260&gt;=15,P260&lt;20),21,0))))</f>
        <v>19</v>
      </c>
      <c r="CL260" s="9">
        <f t="shared" si="161"/>
        <v>131.95000000000002</v>
      </c>
      <c r="CM260" s="71">
        <f>IF(L260=0,E260,(L260-E260+E260))</f>
        <v>172.9</v>
      </c>
      <c r="CN260" s="72"/>
      <c r="CO260" s="73"/>
    </row>
    <row r="261" spans="1:94" s="58" customFormat="1" ht="20.25" customHeight="1">
      <c r="A261" s="57" t="s">
        <v>669</v>
      </c>
      <c r="B261" s="58" t="s">
        <v>670</v>
      </c>
      <c r="C261" s="58" t="s">
        <v>121</v>
      </c>
      <c r="D261" s="58">
        <v>160</v>
      </c>
      <c r="E261" s="59">
        <v>130</v>
      </c>
      <c r="F261" s="59"/>
      <c r="G261" s="60">
        <v>45013</v>
      </c>
      <c r="H261" s="60">
        <f>+IF(YEAR(G261)&lt;YEAR($H$5),$H$4,G261)</f>
        <v>45647</v>
      </c>
      <c r="I261" s="60" t="s">
        <v>658</v>
      </c>
      <c r="J261" s="60">
        <f>+IF(I261="CDI",H261,H261+0)</f>
        <v>45647</v>
      </c>
      <c r="K261" s="4"/>
      <c r="L261" s="3"/>
      <c r="M261" s="60"/>
      <c r="N261" s="59"/>
      <c r="O261" s="60">
        <v>45744</v>
      </c>
      <c r="P261" s="54">
        <f>DATEDIF(G261,$AD$6,"m")/12</f>
        <v>2.6666666666666665</v>
      </c>
      <c r="Q261" s="61">
        <v>-0.5</v>
      </c>
      <c r="R261" s="62">
        <f>SUM(S261:AD261)</f>
        <v>4.8499999999999996</v>
      </c>
      <c r="S261" s="54">
        <f t="shared" si="152"/>
        <v>1.5</v>
      </c>
      <c r="T261" s="54">
        <f t="shared" si="152"/>
        <v>1.5</v>
      </c>
      <c r="U261" s="54">
        <f t="shared" si="152"/>
        <v>1.5</v>
      </c>
      <c r="V261" s="54">
        <f t="shared" si="152"/>
        <v>0.35000000000000003</v>
      </c>
      <c r="W261" s="54">
        <f t="shared" si="152"/>
        <v>0</v>
      </c>
      <c r="X261" s="54">
        <f t="shared" si="152"/>
        <v>0</v>
      </c>
      <c r="Y261" s="54">
        <f t="shared" si="152"/>
        <v>0</v>
      </c>
      <c r="Z261" s="54">
        <f t="shared" si="152"/>
        <v>0</v>
      </c>
      <c r="AA261" s="54">
        <f t="shared" si="152"/>
        <v>0</v>
      </c>
      <c r="AB261" s="54">
        <f t="shared" si="152"/>
        <v>0</v>
      </c>
      <c r="AC261" s="54">
        <f t="shared" si="152"/>
        <v>0</v>
      </c>
      <c r="AD261" s="54">
        <f t="shared" si="152"/>
        <v>0</v>
      </c>
      <c r="AF261" s="63">
        <f>SUM(AG261:AR261)</f>
        <v>0</v>
      </c>
      <c r="AG261" s="64">
        <v>0</v>
      </c>
      <c r="AH261" s="64">
        <v>0</v>
      </c>
      <c r="AI261" s="65">
        <v>0</v>
      </c>
      <c r="AJ261" s="66"/>
      <c r="AK261" s="64"/>
      <c r="AL261" s="64"/>
      <c r="AM261" s="64"/>
      <c r="AN261" s="64"/>
      <c r="AO261" s="64"/>
      <c r="AP261" s="64"/>
      <c r="AQ261" s="64"/>
      <c r="AR261" s="64"/>
      <c r="AS261" s="70">
        <f>+Q261+R261-AF261</f>
        <v>4.3499999999999996</v>
      </c>
      <c r="AT261" s="68"/>
      <c r="AU261" s="69">
        <v>-2.5</v>
      </c>
      <c r="AV261" s="63">
        <f>SUM(AW261:BH261)</f>
        <v>24.25</v>
      </c>
      <c r="AW261" s="54">
        <f t="shared" si="155"/>
        <v>7.5</v>
      </c>
      <c r="AX261" s="54">
        <f t="shared" si="155"/>
        <v>7.5</v>
      </c>
      <c r="AY261" s="54">
        <f t="shared" si="155"/>
        <v>7.5</v>
      </c>
      <c r="AZ261" s="54">
        <f t="shared" si="155"/>
        <v>1.7500000000000002</v>
      </c>
      <c r="BA261" s="54">
        <f t="shared" si="155"/>
        <v>0</v>
      </c>
      <c r="BB261" s="54">
        <f t="shared" si="155"/>
        <v>0</v>
      </c>
      <c r="BC261" s="54">
        <f t="shared" si="155"/>
        <v>0</v>
      </c>
      <c r="BD261" s="54">
        <f t="shared" si="155"/>
        <v>0</v>
      </c>
      <c r="BE261" s="54">
        <f t="shared" si="155"/>
        <v>0</v>
      </c>
      <c r="BF261" s="54">
        <f t="shared" si="155"/>
        <v>0</v>
      </c>
      <c r="BG261" s="54">
        <f t="shared" si="155"/>
        <v>0</v>
      </c>
      <c r="BH261" s="54">
        <f t="shared" si="155"/>
        <v>0</v>
      </c>
      <c r="BI261" s="63">
        <f>SUM(BJ261:BU261)</f>
        <v>0</v>
      </c>
      <c r="BJ261" s="59">
        <f t="shared" si="156"/>
        <v>0</v>
      </c>
      <c r="BK261" s="59">
        <f t="shared" si="156"/>
        <v>0</v>
      </c>
      <c r="BL261" s="59">
        <f t="shared" si="156"/>
        <v>0</v>
      </c>
      <c r="BM261" s="59">
        <f t="shared" si="156"/>
        <v>0</v>
      </c>
      <c r="BN261" s="59">
        <f t="shared" si="156"/>
        <v>0</v>
      </c>
      <c r="BO261" s="59">
        <f t="shared" si="156"/>
        <v>0</v>
      </c>
      <c r="BP261" s="59">
        <f t="shared" si="156"/>
        <v>0</v>
      </c>
      <c r="BQ261" s="59">
        <f t="shared" si="156"/>
        <v>0</v>
      </c>
      <c r="BR261" s="59">
        <f t="shared" si="156"/>
        <v>0</v>
      </c>
      <c r="BS261" s="59">
        <f t="shared" si="156"/>
        <v>0</v>
      </c>
      <c r="BT261" s="59">
        <f t="shared" si="156"/>
        <v>0</v>
      </c>
      <c r="BU261" s="59">
        <f t="shared" si="156"/>
        <v>0</v>
      </c>
      <c r="BV261" s="70">
        <f>+AU261+AV261+BI261</f>
        <v>21.75</v>
      </c>
      <c r="BX261" s="54">
        <v>10.833333333333334</v>
      </c>
      <c r="BY261" s="54">
        <v>10.833333333333334</v>
      </c>
      <c r="BZ261" s="54">
        <v>10.833333333333334</v>
      </c>
      <c r="CA261" s="54">
        <f t="shared" si="158"/>
        <v>0</v>
      </c>
      <c r="CB261" s="54">
        <f t="shared" si="158"/>
        <v>0</v>
      </c>
      <c r="CC261" s="54">
        <f t="shared" si="158"/>
        <v>0</v>
      </c>
      <c r="CD261" s="54">
        <f t="shared" si="158"/>
        <v>0</v>
      </c>
      <c r="CE261" s="54">
        <f t="shared" si="158"/>
        <v>0</v>
      </c>
      <c r="CF261" s="54">
        <f t="shared" si="158"/>
        <v>0</v>
      </c>
      <c r="CG261" s="54">
        <f t="shared" si="158"/>
        <v>0</v>
      </c>
      <c r="CH261" s="54">
        <f t="shared" si="158"/>
        <v>0</v>
      </c>
      <c r="CI261" s="54">
        <f t="shared" si="158"/>
        <v>0</v>
      </c>
      <c r="CJ261" s="70">
        <f t="shared" si="159"/>
        <v>32.5</v>
      </c>
      <c r="CK261" s="59">
        <f>+IF(P261&lt;5,18,IF(AND(P261&gt;=5,P261&lt;10),19,IF(AND(P261&gt;=10,P261&lt;15),20,IF(AND(P261&gt;=15,P261&lt;20),21,0))))</f>
        <v>18</v>
      </c>
      <c r="CL261" s="59">
        <f t="shared" si="161"/>
        <v>97.5</v>
      </c>
      <c r="CM261" s="71">
        <f>IF(L261=0,E261,(L261-E261+E261))</f>
        <v>130</v>
      </c>
      <c r="CN261" s="54"/>
      <c r="CO261" s="73"/>
      <c r="CP261" s="56"/>
    </row>
    <row r="262" spans="1:94" s="58" customFormat="1" ht="20.25" customHeight="1">
      <c r="A262" s="57" t="s">
        <v>671</v>
      </c>
      <c r="B262" s="58" t="s">
        <v>672</v>
      </c>
      <c r="C262" s="58" t="s">
        <v>121</v>
      </c>
      <c r="D262" s="58">
        <v>160</v>
      </c>
      <c r="E262" s="59">
        <v>130</v>
      </c>
      <c r="F262" s="59"/>
      <c r="G262" s="60">
        <v>45013</v>
      </c>
      <c r="H262" s="60">
        <f>+IF(YEAR(G262)&lt;YEAR($H$5),$H$4,G262)</f>
        <v>45647</v>
      </c>
      <c r="I262" s="60" t="s">
        <v>658</v>
      </c>
      <c r="J262" s="60">
        <f>+IF(I262="CDI",H262,H262+0)</f>
        <v>45647</v>
      </c>
      <c r="K262" s="4"/>
      <c r="L262" s="3"/>
      <c r="M262" s="60"/>
      <c r="N262" s="59"/>
      <c r="O262" s="60">
        <v>45744</v>
      </c>
      <c r="P262" s="54">
        <f>DATEDIF(G262,$AD$6,"m")/12</f>
        <v>2.6666666666666665</v>
      </c>
      <c r="Q262" s="61">
        <v>-0.5</v>
      </c>
      <c r="R262" s="62">
        <f>SUM(S262:AD262)</f>
        <v>4.8499999999999996</v>
      </c>
      <c r="S262" s="54">
        <f t="shared" si="152"/>
        <v>1.5</v>
      </c>
      <c r="T262" s="54">
        <f t="shared" si="152"/>
        <v>1.5</v>
      </c>
      <c r="U262" s="54">
        <f t="shared" si="152"/>
        <v>1.5</v>
      </c>
      <c r="V262" s="54">
        <f t="shared" si="152"/>
        <v>0.35000000000000003</v>
      </c>
      <c r="W262" s="54">
        <f t="shared" si="152"/>
        <v>0</v>
      </c>
      <c r="X262" s="54">
        <f t="shared" si="152"/>
        <v>0</v>
      </c>
      <c r="Y262" s="54">
        <f t="shared" si="152"/>
        <v>0</v>
      </c>
      <c r="Z262" s="54">
        <f t="shared" si="152"/>
        <v>0</v>
      </c>
      <c r="AA262" s="54">
        <f t="shared" si="152"/>
        <v>0</v>
      </c>
      <c r="AB262" s="54">
        <f t="shared" si="152"/>
        <v>0</v>
      </c>
      <c r="AC262" s="54">
        <f t="shared" si="152"/>
        <v>0</v>
      </c>
      <c r="AD262" s="54">
        <f t="shared" si="152"/>
        <v>0</v>
      </c>
      <c r="AF262" s="63">
        <f>SUM(AG262:AR262)</f>
        <v>0</v>
      </c>
      <c r="AG262" s="64">
        <v>0</v>
      </c>
      <c r="AH262" s="64">
        <v>0</v>
      </c>
      <c r="AI262" s="65">
        <v>0</v>
      </c>
      <c r="AJ262" s="66"/>
      <c r="AK262" s="64"/>
      <c r="AL262" s="64"/>
      <c r="AM262" s="64"/>
      <c r="AN262" s="64"/>
      <c r="AO262" s="64"/>
      <c r="AP262" s="64"/>
      <c r="AQ262" s="64"/>
      <c r="AR262" s="64"/>
      <c r="AS262" s="70">
        <f>+Q262+R262-AF262</f>
        <v>4.3499999999999996</v>
      </c>
      <c r="AT262" s="68"/>
      <c r="AU262" s="69">
        <v>-2.5</v>
      </c>
      <c r="AV262" s="63">
        <f>SUM(AW262:BH262)</f>
        <v>24.25</v>
      </c>
      <c r="AW262" s="54">
        <f t="shared" si="155"/>
        <v>7.5</v>
      </c>
      <c r="AX262" s="54">
        <f t="shared" si="155"/>
        <v>7.5</v>
      </c>
      <c r="AY262" s="54">
        <f t="shared" si="155"/>
        <v>7.5</v>
      </c>
      <c r="AZ262" s="54">
        <f t="shared" si="155"/>
        <v>1.7500000000000002</v>
      </c>
      <c r="BA262" s="54">
        <f t="shared" si="155"/>
        <v>0</v>
      </c>
      <c r="BB262" s="54">
        <f t="shared" si="155"/>
        <v>0</v>
      </c>
      <c r="BC262" s="54">
        <f t="shared" si="155"/>
        <v>0</v>
      </c>
      <c r="BD262" s="54">
        <f t="shared" si="155"/>
        <v>0</v>
      </c>
      <c r="BE262" s="54">
        <f t="shared" si="155"/>
        <v>0</v>
      </c>
      <c r="BF262" s="54">
        <f t="shared" si="155"/>
        <v>0</v>
      </c>
      <c r="BG262" s="54">
        <f t="shared" si="155"/>
        <v>0</v>
      </c>
      <c r="BH262" s="54">
        <f t="shared" si="155"/>
        <v>0</v>
      </c>
      <c r="BI262" s="63">
        <f>SUM(BJ262:BU262)</f>
        <v>0</v>
      </c>
      <c r="BJ262" s="59">
        <f t="shared" si="156"/>
        <v>0</v>
      </c>
      <c r="BK262" s="59">
        <f t="shared" si="156"/>
        <v>0</v>
      </c>
      <c r="BL262" s="59">
        <f t="shared" si="156"/>
        <v>0</v>
      </c>
      <c r="BM262" s="59">
        <f t="shared" si="156"/>
        <v>0</v>
      </c>
      <c r="BN262" s="59">
        <f t="shared" si="156"/>
        <v>0</v>
      </c>
      <c r="BO262" s="59">
        <f t="shared" si="156"/>
        <v>0</v>
      </c>
      <c r="BP262" s="59">
        <f t="shared" si="156"/>
        <v>0</v>
      </c>
      <c r="BQ262" s="59">
        <f t="shared" si="156"/>
        <v>0</v>
      </c>
      <c r="BR262" s="59">
        <f t="shared" si="156"/>
        <v>0</v>
      </c>
      <c r="BS262" s="59">
        <f t="shared" si="156"/>
        <v>0</v>
      </c>
      <c r="BT262" s="59">
        <f t="shared" si="156"/>
        <v>0</v>
      </c>
      <c r="BU262" s="59">
        <f t="shared" si="156"/>
        <v>0</v>
      </c>
      <c r="BV262" s="70">
        <f>+AU262+AV262+BI262</f>
        <v>21.75</v>
      </c>
      <c r="BX262" s="54">
        <v>10.833333333333334</v>
      </c>
      <c r="BY262" s="54">
        <v>10.833333333333334</v>
      </c>
      <c r="BZ262" s="54">
        <v>10.833333333333334</v>
      </c>
      <c r="CA262" s="54">
        <f t="shared" si="158"/>
        <v>0</v>
      </c>
      <c r="CB262" s="54">
        <f t="shared" si="158"/>
        <v>0</v>
      </c>
      <c r="CC262" s="54">
        <f t="shared" si="158"/>
        <v>0</v>
      </c>
      <c r="CD262" s="54">
        <f t="shared" si="158"/>
        <v>0</v>
      </c>
      <c r="CE262" s="54">
        <f t="shared" si="158"/>
        <v>0</v>
      </c>
      <c r="CF262" s="54">
        <f t="shared" si="158"/>
        <v>0</v>
      </c>
      <c r="CG262" s="54">
        <f t="shared" si="158"/>
        <v>0</v>
      </c>
      <c r="CH262" s="54">
        <f t="shared" si="158"/>
        <v>0</v>
      </c>
      <c r="CI262" s="54">
        <f t="shared" si="158"/>
        <v>0</v>
      </c>
      <c r="CJ262" s="70">
        <f t="shared" si="159"/>
        <v>32.5</v>
      </c>
      <c r="CK262" s="59">
        <f>+IF(P262&lt;5,18,IF(AND(P262&gt;=5,P262&lt;10),19,IF(AND(P262&gt;=10,P262&lt;15),20,IF(AND(P262&gt;=15,P262&lt;20),21,0))))</f>
        <v>18</v>
      </c>
      <c r="CL262" s="59">
        <f t="shared" si="161"/>
        <v>97.5</v>
      </c>
      <c r="CM262" s="71">
        <f>IF(L262=0,E262,(L262-E262+E262))</f>
        <v>130</v>
      </c>
      <c r="CN262" s="72"/>
      <c r="CO262" s="73"/>
      <c r="CP262" s="1"/>
    </row>
    <row r="263" spans="1:94" ht="20.25" customHeight="1">
      <c r="A263" s="75" t="s">
        <v>673</v>
      </c>
      <c r="B263" s="1" t="s">
        <v>674</v>
      </c>
      <c r="C263" s="58" t="s">
        <v>121</v>
      </c>
      <c r="D263" s="58">
        <v>160</v>
      </c>
      <c r="E263" s="59">
        <v>130</v>
      </c>
      <c r="G263" s="60">
        <v>45013</v>
      </c>
      <c r="H263" s="60">
        <f>+IF(YEAR(G263)&lt;YEAR($H$5),$H$4,G263)</f>
        <v>45647</v>
      </c>
      <c r="I263" s="60" t="s">
        <v>658</v>
      </c>
      <c r="J263" s="60">
        <f>+IF(I263="CDI",H263,H263+0)</f>
        <v>45647</v>
      </c>
      <c r="N263" s="3"/>
      <c r="O263" s="4">
        <v>45744</v>
      </c>
      <c r="P263" s="54">
        <f>DATEDIF(G263,$AD$6,"m")/12</f>
        <v>2.6666666666666665</v>
      </c>
      <c r="Q263" s="61">
        <v>-0.5</v>
      </c>
      <c r="R263" s="62">
        <f>SUM(S263:AD263)</f>
        <v>4.8499999999999996</v>
      </c>
      <c r="S263" s="54">
        <f t="shared" si="152"/>
        <v>1.5</v>
      </c>
      <c r="T263" s="54">
        <f t="shared" si="152"/>
        <v>1.5</v>
      </c>
      <c r="U263" s="54">
        <f t="shared" si="152"/>
        <v>1.5</v>
      </c>
      <c r="V263" s="54">
        <f t="shared" si="152"/>
        <v>0.35000000000000003</v>
      </c>
      <c r="W263" s="54">
        <f t="shared" si="152"/>
        <v>0</v>
      </c>
      <c r="X263" s="54">
        <f t="shared" si="152"/>
        <v>0</v>
      </c>
      <c r="Y263" s="54">
        <f t="shared" si="152"/>
        <v>0</v>
      </c>
      <c r="Z263" s="54">
        <f t="shared" si="152"/>
        <v>0</v>
      </c>
      <c r="AA263" s="54">
        <f t="shared" si="152"/>
        <v>0</v>
      </c>
      <c r="AB263" s="54">
        <f t="shared" si="152"/>
        <v>0</v>
      </c>
      <c r="AC263" s="54">
        <f t="shared" si="152"/>
        <v>0</v>
      </c>
      <c r="AD263" s="54">
        <f t="shared" si="152"/>
        <v>0</v>
      </c>
      <c r="AF263" s="63">
        <f>SUM(AG263:AR263)</f>
        <v>0</v>
      </c>
      <c r="AG263" s="64">
        <v>0</v>
      </c>
      <c r="AH263" s="64">
        <v>0</v>
      </c>
      <c r="AI263" s="65">
        <v>0</v>
      </c>
      <c r="AJ263" s="66"/>
      <c r="AK263" s="64"/>
      <c r="AL263" s="64"/>
      <c r="AM263" s="64"/>
      <c r="AN263" s="64"/>
      <c r="AO263" s="64"/>
      <c r="AP263" s="64"/>
      <c r="AQ263" s="64"/>
      <c r="AR263" s="64"/>
      <c r="AS263" s="70">
        <f>+Q263+R263-AF263</f>
        <v>4.3499999999999996</v>
      </c>
      <c r="AT263" s="68"/>
      <c r="AU263" s="69">
        <v>-2.5</v>
      </c>
      <c r="AV263" s="63">
        <f>SUM(AW263:BH263)</f>
        <v>24.25</v>
      </c>
      <c r="AW263" s="54">
        <f t="shared" si="155"/>
        <v>7.5</v>
      </c>
      <c r="AX263" s="54">
        <f t="shared" si="155"/>
        <v>7.5</v>
      </c>
      <c r="AY263" s="54">
        <f t="shared" si="155"/>
        <v>7.5</v>
      </c>
      <c r="AZ263" s="54">
        <f t="shared" si="155"/>
        <v>1.7500000000000002</v>
      </c>
      <c r="BA263" s="54">
        <f t="shared" si="155"/>
        <v>0</v>
      </c>
      <c r="BB263" s="54">
        <f t="shared" si="155"/>
        <v>0</v>
      </c>
      <c r="BC263" s="54">
        <f t="shared" si="155"/>
        <v>0</v>
      </c>
      <c r="BD263" s="54">
        <f t="shared" si="155"/>
        <v>0</v>
      </c>
      <c r="BE263" s="54">
        <f t="shared" si="155"/>
        <v>0</v>
      </c>
      <c r="BF263" s="54">
        <f t="shared" si="155"/>
        <v>0</v>
      </c>
      <c r="BG263" s="54">
        <f t="shared" si="155"/>
        <v>0</v>
      </c>
      <c r="BH263" s="54">
        <f t="shared" si="155"/>
        <v>0</v>
      </c>
      <c r="BI263" s="63">
        <f>SUM(BJ263:BU263)</f>
        <v>0</v>
      </c>
      <c r="BJ263" s="59">
        <f t="shared" si="156"/>
        <v>0</v>
      </c>
      <c r="BK263" s="59">
        <f t="shared" si="156"/>
        <v>0</v>
      </c>
      <c r="BL263" s="59">
        <f t="shared" si="156"/>
        <v>0</v>
      </c>
      <c r="BM263" s="59">
        <f t="shared" si="156"/>
        <v>0</v>
      </c>
      <c r="BN263" s="59">
        <f t="shared" si="156"/>
        <v>0</v>
      </c>
      <c r="BO263" s="59">
        <f t="shared" si="156"/>
        <v>0</v>
      </c>
      <c r="BP263" s="59">
        <f t="shared" si="156"/>
        <v>0</v>
      </c>
      <c r="BQ263" s="59">
        <f t="shared" si="156"/>
        <v>0</v>
      </c>
      <c r="BR263" s="59">
        <f t="shared" si="156"/>
        <v>0</v>
      </c>
      <c r="BS263" s="59">
        <f t="shared" si="156"/>
        <v>0</v>
      </c>
      <c r="BT263" s="59">
        <f t="shared" si="156"/>
        <v>0</v>
      </c>
      <c r="BU263" s="59">
        <f t="shared" si="156"/>
        <v>0</v>
      </c>
      <c r="BV263" s="70">
        <f>+AU263+AV263+BI263</f>
        <v>21.75</v>
      </c>
      <c r="BX263" s="54">
        <v>10.833333333333334</v>
      </c>
      <c r="BY263" s="54">
        <v>10.833333333333334</v>
      </c>
      <c r="BZ263" s="54">
        <v>10.833333333333334</v>
      </c>
      <c r="CA263" s="54">
        <f t="shared" si="158"/>
        <v>0</v>
      </c>
      <c r="CB263" s="54">
        <f t="shared" si="158"/>
        <v>0</v>
      </c>
      <c r="CC263" s="54">
        <f t="shared" si="158"/>
        <v>0</v>
      </c>
      <c r="CD263" s="54">
        <f t="shared" si="158"/>
        <v>0</v>
      </c>
      <c r="CE263" s="54">
        <f t="shared" si="158"/>
        <v>0</v>
      </c>
      <c r="CF263" s="54">
        <f t="shared" si="158"/>
        <v>0</v>
      </c>
      <c r="CG263" s="54">
        <f t="shared" si="158"/>
        <v>0</v>
      </c>
      <c r="CH263" s="54">
        <f t="shared" si="158"/>
        <v>0</v>
      </c>
      <c r="CI263" s="54">
        <f t="shared" si="158"/>
        <v>0</v>
      </c>
      <c r="CJ263" s="70">
        <f t="shared" si="159"/>
        <v>32.5</v>
      </c>
      <c r="CK263" s="59">
        <f>+IF(P263&lt;5,18,IF(AND(P263&gt;=5,P263&lt;10),19,IF(AND(P263&gt;=10,P263&lt;15),20,IF(AND(P263&gt;=15,P263&lt;20),21,0))))</f>
        <v>18</v>
      </c>
      <c r="CL263" s="59">
        <f t="shared" si="161"/>
        <v>97.5</v>
      </c>
      <c r="CM263" s="71">
        <f>IF(L263=0,E263,(L263-E263+E263))</f>
        <v>130</v>
      </c>
      <c r="CN263" s="54"/>
      <c r="CO263" s="73"/>
      <c r="CP263" s="56"/>
    </row>
    <row r="264" spans="1:94" ht="20.25" customHeight="1">
      <c r="A264" s="1" t="s">
        <v>675</v>
      </c>
      <c r="B264" s="1" t="s">
        <v>676</v>
      </c>
      <c r="C264" s="58" t="s">
        <v>397</v>
      </c>
      <c r="D264" s="58">
        <v>481</v>
      </c>
      <c r="E264" s="59">
        <v>150.80000000000001</v>
      </c>
      <c r="G264" s="4">
        <v>45628</v>
      </c>
      <c r="H264" s="60">
        <f>+IF(YEAR(G264)&lt;YEAR($H$5),$H$4,G264)</f>
        <v>45647</v>
      </c>
      <c r="I264" s="60" t="s">
        <v>658</v>
      </c>
      <c r="J264" s="60">
        <f>+IF(I264="CDI",H264,H264+0)</f>
        <v>45647</v>
      </c>
      <c r="N264" s="3"/>
      <c r="O264" s="4">
        <v>45740</v>
      </c>
      <c r="P264" s="54">
        <f>DATEDIF(G264,$AD$6,"m")/12</f>
        <v>1</v>
      </c>
      <c r="Q264" s="61">
        <v>0</v>
      </c>
      <c r="R264" s="62">
        <f>SUM(S264:AD264)</f>
        <v>4.6500000000000004</v>
      </c>
      <c r="S264" s="54">
        <f t="shared" si="152"/>
        <v>1.5</v>
      </c>
      <c r="T264" s="54">
        <f t="shared" si="152"/>
        <v>1.5</v>
      </c>
      <c r="U264" s="54">
        <f t="shared" si="152"/>
        <v>1.5</v>
      </c>
      <c r="V264" s="54">
        <f t="shared" si="152"/>
        <v>0.15000000000000002</v>
      </c>
      <c r="W264" s="54">
        <f t="shared" si="152"/>
        <v>0</v>
      </c>
      <c r="X264" s="54">
        <f t="shared" si="152"/>
        <v>0</v>
      </c>
      <c r="Y264" s="54">
        <f t="shared" si="152"/>
        <v>0</v>
      </c>
      <c r="Z264" s="54">
        <f t="shared" si="152"/>
        <v>0</v>
      </c>
      <c r="AA264" s="54">
        <f t="shared" si="152"/>
        <v>0</v>
      </c>
      <c r="AB264" s="54">
        <f t="shared" si="152"/>
        <v>0</v>
      </c>
      <c r="AC264" s="54">
        <f t="shared" si="152"/>
        <v>0</v>
      </c>
      <c r="AD264" s="54">
        <f t="shared" si="152"/>
        <v>0</v>
      </c>
      <c r="AF264" s="63">
        <f>SUM(AG264:AR264)</f>
        <v>0</v>
      </c>
      <c r="AG264" s="64">
        <v>0</v>
      </c>
      <c r="AH264" s="64">
        <v>0</v>
      </c>
      <c r="AI264" s="65">
        <v>0</v>
      </c>
      <c r="AJ264" s="64"/>
      <c r="AK264" s="64"/>
      <c r="AL264" s="64"/>
      <c r="AM264" s="64"/>
      <c r="AN264" s="64"/>
      <c r="AO264" s="64"/>
      <c r="AP264" s="64"/>
      <c r="AQ264" s="64"/>
      <c r="AR264" s="64"/>
      <c r="AS264" s="70">
        <f>+Q264+R264-AF264</f>
        <v>4.6500000000000004</v>
      </c>
      <c r="AT264" s="68"/>
      <c r="AU264" s="69">
        <v>0</v>
      </c>
      <c r="AV264" s="63">
        <f>SUM(AW264:BH264)</f>
        <v>26.970000000000002</v>
      </c>
      <c r="AW264" s="54">
        <f t="shared" si="155"/>
        <v>8.7000000000000011</v>
      </c>
      <c r="AX264" s="54">
        <f t="shared" si="155"/>
        <v>8.7000000000000011</v>
      </c>
      <c r="AY264" s="54">
        <f t="shared" si="155"/>
        <v>8.7000000000000011</v>
      </c>
      <c r="AZ264" s="54">
        <f t="shared" si="155"/>
        <v>0.87000000000000022</v>
      </c>
      <c r="BA264" s="54">
        <f t="shared" si="155"/>
        <v>0</v>
      </c>
      <c r="BB264" s="54">
        <f t="shared" si="155"/>
        <v>0</v>
      </c>
      <c r="BC264" s="54">
        <f t="shared" si="155"/>
        <v>0</v>
      </c>
      <c r="BD264" s="54">
        <f t="shared" si="155"/>
        <v>0</v>
      </c>
      <c r="BE264" s="54">
        <f t="shared" si="155"/>
        <v>0</v>
      </c>
      <c r="BF264" s="54">
        <f t="shared" si="155"/>
        <v>0</v>
      </c>
      <c r="BG264" s="54">
        <f t="shared" si="155"/>
        <v>0</v>
      </c>
      <c r="BH264" s="54">
        <f t="shared" si="155"/>
        <v>0</v>
      </c>
      <c r="BI264" s="63">
        <f>SUM(BJ264:BU264)</f>
        <v>0</v>
      </c>
      <c r="BJ264" s="59">
        <f t="shared" si="156"/>
        <v>0</v>
      </c>
      <c r="BK264" s="59">
        <f t="shared" si="156"/>
        <v>0</v>
      </c>
      <c r="BL264" s="59">
        <f t="shared" si="156"/>
        <v>0</v>
      </c>
      <c r="BM264" s="59">
        <f t="shared" si="156"/>
        <v>0</v>
      </c>
      <c r="BN264" s="59">
        <f t="shared" si="156"/>
        <v>0</v>
      </c>
      <c r="BO264" s="59">
        <f t="shared" si="156"/>
        <v>0</v>
      </c>
      <c r="BP264" s="59">
        <f t="shared" si="156"/>
        <v>0</v>
      </c>
      <c r="BQ264" s="59">
        <f t="shared" si="156"/>
        <v>0</v>
      </c>
      <c r="BR264" s="59">
        <f t="shared" si="156"/>
        <v>0</v>
      </c>
      <c r="BS264" s="59">
        <f t="shared" si="156"/>
        <v>0</v>
      </c>
      <c r="BT264" s="59">
        <f t="shared" si="156"/>
        <v>0</v>
      </c>
      <c r="BU264" s="59">
        <f t="shared" si="156"/>
        <v>0</v>
      </c>
      <c r="BV264" s="70">
        <f>+AU264+AV264+BI264</f>
        <v>26.970000000000002</v>
      </c>
      <c r="BX264" s="54">
        <v>12.566666666666666</v>
      </c>
      <c r="BY264" s="54">
        <v>12.566666666666666</v>
      </c>
      <c r="BZ264" s="54">
        <v>12.566666666666666</v>
      </c>
      <c r="CA264" s="54">
        <f t="shared" si="158"/>
        <v>0</v>
      </c>
      <c r="CB264" s="54">
        <f t="shared" si="158"/>
        <v>0</v>
      </c>
      <c r="CC264" s="54">
        <f t="shared" si="158"/>
        <v>0</v>
      </c>
      <c r="CD264" s="54">
        <f t="shared" si="158"/>
        <v>0</v>
      </c>
      <c r="CE264" s="54">
        <f t="shared" si="158"/>
        <v>0</v>
      </c>
      <c r="CF264" s="54">
        <f t="shared" si="158"/>
        <v>0</v>
      </c>
      <c r="CG264" s="54">
        <f t="shared" si="158"/>
        <v>0</v>
      </c>
      <c r="CH264" s="54">
        <f t="shared" si="158"/>
        <v>0</v>
      </c>
      <c r="CI264" s="54">
        <f t="shared" si="158"/>
        <v>0</v>
      </c>
      <c r="CJ264" s="70">
        <f t="shared" si="159"/>
        <v>37.700000000000003</v>
      </c>
      <c r="CK264" s="59">
        <f>+IF(P264&lt;5,18,IF(AND(P264&gt;=5,P264&lt;10),19,IF(AND(P264&gt;=10,P264&lt;15),20,IF(AND(P264&gt;=15,P264&lt;20),21,0))))</f>
        <v>18</v>
      </c>
      <c r="CL264" s="59">
        <f t="shared" si="161"/>
        <v>113.10000000000001</v>
      </c>
      <c r="CM264" s="71">
        <f>IF(L264=0,E264,(L264-E264+E264))</f>
        <v>150.80000000000001</v>
      </c>
      <c r="CN264" s="77"/>
      <c r="CO264" s="55"/>
      <c r="CP264" s="56"/>
    </row>
    <row r="265" spans="1:94" ht="20.25" customHeight="1">
      <c r="A265" s="75"/>
      <c r="C265" s="58"/>
      <c r="D265" s="58"/>
      <c r="E265" s="59"/>
      <c r="H265" s="60"/>
      <c r="I265" s="60"/>
      <c r="J265" s="60"/>
      <c r="N265" s="3"/>
      <c r="P265" s="54"/>
      <c r="Q265" s="130"/>
      <c r="R265" s="62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F265" s="63"/>
      <c r="AG265" s="64"/>
      <c r="AH265" s="64"/>
      <c r="AI265" s="65"/>
      <c r="AJ265" s="66"/>
      <c r="AK265" s="64"/>
      <c r="AL265" s="64"/>
      <c r="AM265" s="64"/>
      <c r="AN265" s="64"/>
      <c r="AO265" s="64"/>
      <c r="AP265" s="64"/>
      <c r="AQ265" s="64"/>
      <c r="AR265" s="64"/>
      <c r="AS265" s="70"/>
      <c r="AT265" s="68"/>
      <c r="AU265" s="59"/>
      <c r="AV265" s="63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63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70"/>
      <c r="BX265" s="54"/>
      <c r="BY265" s="54"/>
      <c r="BZ265" s="54"/>
      <c r="CA265" s="54"/>
      <c r="CB265" s="54"/>
      <c r="CC265" s="54"/>
      <c r="CD265" s="54"/>
      <c r="CE265" s="54"/>
      <c r="CF265" s="54"/>
      <c r="CG265" s="54"/>
      <c r="CH265" s="54"/>
      <c r="CI265" s="54"/>
      <c r="CJ265" s="70"/>
      <c r="CK265" s="59"/>
      <c r="CL265" s="59"/>
      <c r="CM265" s="71"/>
      <c r="CN265" s="77"/>
      <c r="CO265" s="73"/>
      <c r="CP265" s="78"/>
    </row>
    <row r="266" spans="1:94" ht="20.25" customHeight="1">
      <c r="A266" s="75"/>
      <c r="C266" s="58"/>
      <c r="D266" s="58"/>
      <c r="E266" s="59"/>
      <c r="H266" s="60"/>
      <c r="I266" s="60"/>
      <c r="J266" s="60"/>
      <c r="N266" s="3"/>
      <c r="P266" s="54"/>
      <c r="Q266" s="130"/>
      <c r="R266" s="62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F266" s="63"/>
      <c r="AG266" s="64"/>
      <c r="AH266" s="64"/>
      <c r="AI266" s="65"/>
      <c r="AJ266" s="66"/>
      <c r="AK266" s="64"/>
      <c r="AL266" s="64"/>
      <c r="AM266" s="64"/>
      <c r="AN266" s="64"/>
      <c r="AO266" s="64"/>
      <c r="AP266" s="64"/>
      <c r="AQ266" s="64"/>
      <c r="AR266" s="64"/>
      <c r="AS266" s="70"/>
      <c r="AT266" s="68"/>
      <c r="AU266" s="59"/>
      <c r="AV266" s="63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63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70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70"/>
      <c r="CK266" s="59"/>
      <c r="CL266" s="59"/>
      <c r="CM266" s="71"/>
      <c r="CN266" s="77"/>
      <c r="CO266" s="73"/>
      <c r="CP266" s="78"/>
    </row>
    <row r="267" spans="1:94" ht="20.25" customHeight="1">
      <c r="A267" s="75"/>
      <c r="C267" s="58"/>
      <c r="D267" s="58"/>
      <c r="E267" s="59"/>
      <c r="H267" s="60"/>
      <c r="I267" s="60"/>
      <c r="J267" s="60"/>
      <c r="N267" s="3"/>
      <c r="P267" s="54"/>
      <c r="Q267" s="130"/>
      <c r="R267" s="62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F267" s="63"/>
      <c r="AG267" s="64"/>
      <c r="AH267" s="64"/>
      <c r="AI267" s="65"/>
      <c r="AJ267" s="66"/>
      <c r="AK267" s="64"/>
      <c r="AL267" s="64"/>
      <c r="AM267" s="64"/>
      <c r="AN267" s="64"/>
      <c r="AO267" s="64"/>
      <c r="AP267" s="64"/>
      <c r="AQ267" s="64"/>
      <c r="AR267" s="64"/>
      <c r="AS267" s="70"/>
      <c r="AT267" s="68"/>
      <c r="AU267" s="59"/>
      <c r="AV267" s="63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63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70"/>
      <c r="BX267" s="54"/>
      <c r="BY267" s="54"/>
      <c r="BZ267" s="54"/>
      <c r="CA267" s="54"/>
      <c r="CB267" s="54"/>
      <c r="CC267" s="54"/>
      <c r="CD267" s="54"/>
      <c r="CE267" s="54"/>
      <c r="CF267" s="54"/>
      <c r="CG267" s="54"/>
      <c r="CH267" s="54"/>
      <c r="CI267" s="54"/>
      <c r="CJ267" s="70"/>
      <c r="CK267" s="59"/>
      <c r="CL267" s="59"/>
      <c r="CM267" s="71"/>
      <c r="CN267" s="77"/>
      <c r="CO267" s="73"/>
      <c r="CP267" s="78"/>
    </row>
    <row r="268" spans="1:94" ht="20.25" customHeight="1" thickBot="1">
      <c r="A268" s="75"/>
      <c r="C268" s="58"/>
      <c r="D268" s="58"/>
      <c r="E268" s="59"/>
      <c r="H268" s="60"/>
      <c r="I268" s="60"/>
      <c r="J268" s="60"/>
      <c r="N268" s="3"/>
      <c r="P268" s="54"/>
      <c r="Q268" s="130"/>
      <c r="R268" s="62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F268" s="63"/>
      <c r="AG268" s="64"/>
      <c r="AH268" s="64"/>
      <c r="AI268" s="65"/>
      <c r="AJ268" s="66"/>
      <c r="AK268" s="64"/>
      <c r="AL268" s="64"/>
      <c r="AM268" s="64"/>
      <c r="AN268" s="64"/>
      <c r="AO268" s="64"/>
      <c r="AP268" s="64"/>
      <c r="AQ268" s="64"/>
      <c r="AR268" s="64"/>
      <c r="AS268" s="70"/>
      <c r="AT268" s="68"/>
      <c r="AU268" s="59"/>
      <c r="AV268" s="63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63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70"/>
      <c r="BX268" s="54"/>
      <c r="BY268" s="54"/>
      <c r="BZ268" s="54"/>
      <c r="CA268" s="54"/>
      <c r="CB268" s="54"/>
      <c r="CC268" s="54"/>
      <c r="CD268" s="54"/>
      <c r="CE268" s="54"/>
      <c r="CF268" s="54"/>
      <c r="CG268" s="54"/>
      <c r="CH268" s="54"/>
      <c r="CI268" s="54"/>
      <c r="CJ268" s="70"/>
      <c r="CK268" s="59"/>
      <c r="CL268" s="59"/>
      <c r="CM268" s="71"/>
      <c r="CN268" s="77"/>
      <c r="CO268" s="73"/>
      <c r="CP268" s="78"/>
    </row>
    <row r="269" spans="1:94" ht="38.450000000000003" customHeight="1" thickBot="1">
      <c r="C269" s="3"/>
      <c r="E269" s="131">
        <f>SUM(E8:E259)</f>
        <v>67340.40999999996</v>
      </c>
      <c r="N269" s="3"/>
      <c r="P269" s="4"/>
      <c r="Q269" s="132">
        <f t="shared" ref="Q269:AD269" si="168">SUM(Q8:Q259)</f>
        <v>1205.4000000000001</v>
      </c>
      <c r="R269" s="131">
        <f t="shared" si="168"/>
        <v>4720.5</v>
      </c>
      <c r="S269" s="133">
        <f t="shared" si="168"/>
        <v>379.5</v>
      </c>
      <c r="T269" s="133">
        <f t="shared" si="168"/>
        <v>404</v>
      </c>
      <c r="U269" s="133">
        <f t="shared" si="168"/>
        <v>376.5</v>
      </c>
      <c r="V269" s="133">
        <f t="shared" si="168"/>
        <v>379.5</v>
      </c>
      <c r="W269" s="133">
        <f t="shared" si="168"/>
        <v>395.5</v>
      </c>
      <c r="X269" s="133">
        <f t="shared" si="168"/>
        <v>384.5</v>
      </c>
      <c r="Y269" s="133">
        <f t="shared" si="168"/>
        <v>378.5</v>
      </c>
      <c r="Z269" s="133">
        <f t="shared" si="168"/>
        <v>368.5</v>
      </c>
      <c r="AA269" s="133">
        <f t="shared" si="168"/>
        <v>380.5</v>
      </c>
      <c r="AB269" s="133">
        <f t="shared" si="168"/>
        <v>522.5</v>
      </c>
      <c r="AC269" s="133">
        <f t="shared" si="168"/>
        <v>377.5</v>
      </c>
      <c r="AD269" s="133">
        <f t="shared" si="168"/>
        <v>373.5</v>
      </c>
      <c r="AF269" s="131">
        <f>SUM(AF8:AF259)</f>
        <v>1292.5</v>
      </c>
      <c r="AG269" s="134">
        <f t="shared" ref="AG269:AR269" si="169">SUM(AG8:AG268)</f>
        <v>297.5</v>
      </c>
      <c r="AH269" s="134">
        <f t="shared" si="169"/>
        <v>539.5</v>
      </c>
      <c r="AI269" s="134">
        <f t="shared" si="169"/>
        <v>455.5</v>
      </c>
      <c r="AJ269" s="134">
        <f t="shared" si="169"/>
        <v>0</v>
      </c>
      <c r="AK269" s="134">
        <f t="shared" si="169"/>
        <v>0</v>
      </c>
      <c r="AL269" s="134">
        <f t="shared" si="169"/>
        <v>0</v>
      </c>
      <c r="AM269" s="134">
        <f t="shared" si="169"/>
        <v>0</v>
      </c>
      <c r="AN269" s="134">
        <f t="shared" si="169"/>
        <v>0</v>
      </c>
      <c r="AO269" s="134">
        <f t="shared" si="169"/>
        <v>0</v>
      </c>
      <c r="AP269" s="134">
        <f t="shared" si="169"/>
        <v>0</v>
      </c>
      <c r="AQ269" s="134">
        <f t="shared" si="169"/>
        <v>0</v>
      </c>
      <c r="AR269" s="134">
        <f t="shared" si="169"/>
        <v>0</v>
      </c>
      <c r="AS269" s="135">
        <f>SUM(AS8:AS259)</f>
        <v>4633.4000000000005</v>
      </c>
      <c r="AT269" s="68"/>
      <c r="AU269" s="132">
        <f>SUM(AU8:AU259)</f>
        <v>16290.039038461538</v>
      </c>
      <c r="AV269" s="131">
        <f t="shared" ref="AV269:BW269" si="170">SUM(AV8:AV259)</f>
        <v>50056.18384615385</v>
      </c>
      <c r="AW269" s="133">
        <f>SUM(AW8:AW268)</f>
        <v>4022.8986538461563</v>
      </c>
      <c r="AX269" s="133">
        <f t="shared" ref="AX269:BH269" si="171">SUM(AX8:AX268)</f>
        <v>4365.9486538461533</v>
      </c>
      <c r="AY269" s="133">
        <f t="shared" si="171"/>
        <v>3979.7986538461573</v>
      </c>
      <c r="AZ269" s="133">
        <f t="shared" si="171"/>
        <v>4091.5428846153873</v>
      </c>
      <c r="BA269" s="133">
        <f t="shared" si="171"/>
        <v>4095.9236538461582</v>
      </c>
      <c r="BB269" s="133">
        <f t="shared" si="171"/>
        <v>4064.0236538461572</v>
      </c>
      <c r="BC269" s="133">
        <f t="shared" si="171"/>
        <v>3971.473653846157</v>
      </c>
      <c r="BD269" s="133">
        <f t="shared" si="171"/>
        <v>3881.3236538461574</v>
      </c>
      <c r="BE269" s="133">
        <f t="shared" si="171"/>
        <v>4028.3736538461562</v>
      </c>
      <c r="BF269" s="133">
        <f t="shared" si="171"/>
        <v>5726.2082692307731</v>
      </c>
      <c r="BG269" s="133">
        <f t="shared" si="171"/>
        <v>4206.319807692309</v>
      </c>
      <c r="BH269" s="133">
        <f t="shared" si="171"/>
        <v>3918.3236538461574</v>
      </c>
      <c r="BI269" s="131">
        <f>SUM(BI8:BI264)</f>
        <v>-12067.348461538466</v>
      </c>
      <c r="BJ269" s="133">
        <f>SUM(BJ8:BJ268)</f>
        <v>-2430.3523076923079</v>
      </c>
      <c r="BK269" s="133">
        <f t="shared" ref="BK269:BU269" si="172">SUM(BK8:BK268)</f>
        <v>-4401.45</v>
      </c>
      <c r="BL269" s="133">
        <f t="shared" si="172"/>
        <v>-5235.5461538461541</v>
      </c>
      <c r="BM269" s="133">
        <f t="shared" si="172"/>
        <v>0</v>
      </c>
      <c r="BN269" s="133">
        <f t="shared" si="172"/>
        <v>0</v>
      </c>
      <c r="BO269" s="133">
        <f t="shared" si="172"/>
        <v>0</v>
      </c>
      <c r="BP269" s="133">
        <f t="shared" si="172"/>
        <v>0</v>
      </c>
      <c r="BQ269" s="133">
        <f t="shared" si="172"/>
        <v>0</v>
      </c>
      <c r="BR269" s="133">
        <f t="shared" si="172"/>
        <v>0</v>
      </c>
      <c r="BS269" s="133">
        <f t="shared" si="172"/>
        <v>0</v>
      </c>
      <c r="BT269" s="133">
        <f t="shared" si="172"/>
        <v>0</v>
      </c>
      <c r="BU269" s="133">
        <f t="shared" si="172"/>
        <v>0</v>
      </c>
      <c r="BV269" s="136">
        <f t="shared" si="170"/>
        <v>54278.874423076944</v>
      </c>
      <c r="BX269" s="137">
        <f>SUM(BX8:BX268)</f>
        <v>5357.5997807017393</v>
      </c>
      <c r="BY269" s="137">
        <f>SUM(BY8:BY268)</f>
        <v>5772.2124601275727</v>
      </c>
      <c r="BZ269" s="137">
        <f t="shared" ref="BZ269:CL269" si="173">SUM(BZ8:BZ259)</f>
        <v>5185.3617583731939</v>
      </c>
      <c r="CA269" s="137">
        <f t="shared" si="173"/>
        <v>5442.7991267942434</v>
      </c>
      <c r="CB269" s="137">
        <f t="shared" si="173"/>
        <v>5460.0264952152966</v>
      </c>
      <c r="CC269" s="137">
        <f t="shared" si="173"/>
        <v>5417.3454425837181</v>
      </c>
      <c r="CD269" s="137">
        <f t="shared" si="173"/>
        <v>5296.6917583731947</v>
      </c>
      <c r="CE269" s="137">
        <f t="shared" si="173"/>
        <v>5178.6312320574061</v>
      </c>
      <c r="CF269" s="137">
        <f t="shared" si="173"/>
        <v>5371.1064952152965</v>
      </c>
      <c r="CG269" s="137">
        <f t="shared" si="173"/>
        <v>7577.0359688995077</v>
      </c>
      <c r="CH269" s="137">
        <f t="shared" si="173"/>
        <v>5601.9370215310837</v>
      </c>
      <c r="CI269" s="137">
        <f t="shared" si="173"/>
        <v>5226.3891267942472</v>
      </c>
      <c r="CJ269" s="138">
        <f t="shared" si="173"/>
        <v>66769.703333333309</v>
      </c>
      <c r="CK269" s="8"/>
      <c r="CM269" s="139">
        <f>SUM(CM8:CM255)</f>
        <v>66807.409999999945</v>
      </c>
      <c r="CN269" s="140">
        <f>SUM(CN8:CN259)</f>
        <v>0</v>
      </c>
      <c r="CO269" s="140">
        <f>SUM(CO8:CO259)</f>
        <v>0</v>
      </c>
    </row>
    <row r="270" spans="1:94" ht="30" customHeight="1" thickBot="1">
      <c r="C270" s="3"/>
      <c r="E270" s="1"/>
      <c r="F270" s="1"/>
      <c r="N270" s="3"/>
      <c r="P270" s="4"/>
      <c r="Q270" s="4"/>
      <c r="R270" s="4"/>
      <c r="S270" s="4"/>
      <c r="T270" s="4"/>
      <c r="AQ270" s="1"/>
      <c r="AT270" s="68"/>
      <c r="AU270" s="5"/>
      <c r="AV270" s="5"/>
      <c r="AW270" s="141"/>
      <c r="AX270" s="141"/>
      <c r="AY270" s="141"/>
      <c r="AZ270" s="141"/>
      <c r="BA270" s="141"/>
      <c r="BB270" s="141"/>
      <c r="BC270" s="141"/>
      <c r="BD270" s="141"/>
      <c r="BE270" s="141"/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141"/>
      <c r="BV270" s="141"/>
      <c r="BX270" s="141"/>
      <c r="BY270" s="141"/>
      <c r="BZ270" s="141"/>
      <c r="CA270" s="141"/>
      <c r="CB270" s="141"/>
      <c r="CC270" s="141"/>
      <c r="CD270" s="141"/>
      <c r="CE270" s="141"/>
      <c r="CF270" s="141"/>
      <c r="CG270" s="141"/>
      <c r="CH270" s="141"/>
      <c r="CI270" s="141"/>
      <c r="CJ270" s="5"/>
      <c r="CK270" s="8"/>
      <c r="CM270" s="9"/>
      <c r="CN270" s="9"/>
      <c r="CO270" s="9"/>
    </row>
    <row r="271" spans="1:94" ht="33" customHeight="1" thickBot="1">
      <c r="C271" s="3"/>
      <c r="E271" s="1"/>
      <c r="F271" s="1"/>
      <c r="N271" s="3"/>
      <c r="P271" s="4"/>
      <c r="Q271" s="3"/>
      <c r="R271" s="3"/>
      <c r="AQ271" s="1"/>
      <c r="AS271" s="1"/>
      <c r="AT271" s="68"/>
      <c r="AU271" s="3"/>
      <c r="AV271" s="142" t="s">
        <v>677</v>
      </c>
      <c r="AW271" s="143">
        <f>+AW269</f>
        <v>4022.8986538461563</v>
      </c>
      <c r="AX271" s="144">
        <f t="shared" ref="AX271:BH271" si="174">+AW271+AX269</f>
        <v>8388.8473076923092</v>
      </c>
      <c r="AY271" s="144">
        <f t="shared" si="174"/>
        <v>12368.645961538467</v>
      </c>
      <c r="AZ271" s="144">
        <f t="shared" si="174"/>
        <v>16460.188846153855</v>
      </c>
      <c r="BA271" s="144">
        <f t="shared" si="174"/>
        <v>20556.112500000014</v>
      </c>
      <c r="BB271" s="144">
        <f t="shared" si="174"/>
        <v>24620.136153846172</v>
      </c>
      <c r="BC271" s="144">
        <f t="shared" si="174"/>
        <v>28591.60980769233</v>
      </c>
      <c r="BD271" s="144">
        <f t="shared" si="174"/>
        <v>32472.933461538487</v>
      </c>
      <c r="BE271" s="144">
        <f t="shared" si="174"/>
        <v>36501.307115384639</v>
      </c>
      <c r="BF271" s="144">
        <f t="shared" si="174"/>
        <v>42227.515384615413</v>
      </c>
      <c r="BG271" s="144">
        <f t="shared" si="174"/>
        <v>46433.835192307721</v>
      </c>
      <c r="BH271" s="145">
        <f t="shared" si="174"/>
        <v>50352.158846153878</v>
      </c>
      <c r="BJ271" s="143">
        <f>+BJ269</f>
        <v>-2430.3523076923079</v>
      </c>
      <c r="BK271" s="144">
        <f>+BJ271+BK269</f>
        <v>-6831.8023076923073</v>
      </c>
      <c r="BL271" s="144">
        <f t="shared" ref="BL271:BU271" si="175">+BK271+BL269</f>
        <v>-12067.348461538462</v>
      </c>
      <c r="BM271" s="144">
        <f t="shared" si="175"/>
        <v>-12067.348461538462</v>
      </c>
      <c r="BN271" s="144">
        <f t="shared" si="175"/>
        <v>-12067.348461538462</v>
      </c>
      <c r="BO271" s="144">
        <f t="shared" si="175"/>
        <v>-12067.348461538462</v>
      </c>
      <c r="BP271" s="144">
        <f t="shared" si="175"/>
        <v>-12067.348461538462</v>
      </c>
      <c r="BQ271" s="144">
        <f t="shared" si="175"/>
        <v>-12067.348461538462</v>
      </c>
      <c r="BR271" s="144">
        <f t="shared" si="175"/>
        <v>-12067.348461538462</v>
      </c>
      <c r="BS271" s="144">
        <f t="shared" si="175"/>
        <v>-12067.348461538462</v>
      </c>
      <c r="BT271" s="144">
        <f t="shared" si="175"/>
        <v>-12067.348461538462</v>
      </c>
      <c r="BU271" s="146">
        <f t="shared" si="175"/>
        <v>-12067.348461538462</v>
      </c>
      <c r="BV271" s="2"/>
      <c r="BW271" s="3"/>
      <c r="BX271" s="146">
        <f>+BX269</f>
        <v>5357.5997807017393</v>
      </c>
      <c r="BY271" s="146">
        <f t="shared" ref="BY271:CH271" si="176">+BX271+BY269</f>
        <v>11129.812240829313</v>
      </c>
      <c r="BZ271" s="146">
        <f t="shared" si="176"/>
        <v>16315.173999202507</v>
      </c>
      <c r="CA271" s="146">
        <f t="shared" si="176"/>
        <v>21757.973125996752</v>
      </c>
      <c r="CB271" s="146">
        <f t="shared" si="176"/>
        <v>27217.99962121205</v>
      </c>
      <c r="CC271" s="146">
        <f t="shared" si="176"/>
        <v>32635.345063795769</v>
      </c>
      <c r="CD271" s="146">
        <f t="shared" si="176"/>
        <v>37932.036822168964</v>
      </c>
      <c r="CE271" s="146">
        <f t="shared" si="176"/>
        <v>43110.668054226371</v>
      </c>
      <c r="CF271" s="146">
        <f t="shared" si="176"/>
        <v>48481.774549441667</v>
      </c>
      <c r="CG271" s="146">
        <f t="shared" si="176"/>
        <v>56058.810518341175</v>
      </c>
      <c r="CH271" s="146">
        <f t="shared" si="176"/>
        <v>61660.74753987226</v>
      </c>
      <c r="CI271" s="145">
        <f>+CH271+CI269</f>
        <v>66887.136666666513</v>
      </c>
      <c r="CJ271" s="142"/>
      <c r="CK271" s="147"/>
      <c r="CL271" s="148"/>
      <c r="CN271" s="1" t="s">
        <v>678</v>
      </c>
      <c r="CO271" s="149">
        <f>+CO269+CO270</f>
        <v>0</v>
      </c>
    </row>
    <row r="272" spans="1:94" s="58" customFormat="1" ht="20.25" customHeight="1">
      <c r="C272" s="3"/>
      <c r="E272" s="59"/>
      <c r="F272" s="59"/>
      <c r="G272" s="60"/>
      <c r="H272" s="60"/>
      <c r="I272" s="60"/>
      <c r="J272" s="60"/>
      <c r="K272" s="60"/>
      <c r="L272" s="59"/>
      <c r="M272" s="60"/>
      <c r="N272" s="60"/>
      <c r="O272" s="60"/>
      <c r="P272" s="9"/>
      <c r="AE272" s="1"/>
      <c r="AI272" s="68"/>
      <c r="AQ272" s="150"/>
      <c r="AR272" s="68"/>
      <c r="AS272" s="9"/>
      <c r="AT272" s="68" t="s">
        <v>679</v>
      </c>
      <c r="AU272" s="58">
        <f>2873.08+1576.9-369.24</f>
        <v>4080.74</v>
      </c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3"/>
      <c r="BW272" s="59"/>
      <c r="CJ272" s="59"/>
      <c r="CK272" s="8"/>
      <c r="CL272" s="9"/>
      <c r="CM272" s="151"/>
      <c r="CO272" s="11"/>
    </row>
    <row r="273" spans="2:93" s="58" customFormat="1" ht="20.25" customHeight="1">
      <c r="C273" s="3"/>
      <c r="E273" s="59"/>
      <c r="F273" s="59"/>
      <c r="G273" s="60"/>
      <c r="H273" s="60"/>
      <c r="I273" s="60"/>
      <c r="J273" s="60"/>
      <c r="K273" s="60"/>
      <c r="L273" s="59"/>
      <c r="M273" s="60"/>
      <c r="N273" s="60"/>
      <c r="O273" s="60"/>
      <c r="P273" s="9"/>
      <c r="AE273" s="1"/>
      <c r="AI273" s="68"/>
      <c r="AQ273" s="150"/>
      <c r="AR273" s="68"/>
      <c r="AS273" s="9"/>
      <c r="AT273" s="68"/>
      <c r="AU273" s="59">
        <f>SUM(AU8:AU256)+AU272+15.67</f>
        <v>20233.049038461533</v>
      </c>
      <c r="AV273" s="3"/>
      <c r="AW273" s="3"/>
      <c r="AX273" s="3"/>
      <c r="AY273" s="3"/>
      <c r="AZ273" s="3"/>
      <c r="BI273" s="60"/>
      <c r="BO273" s="59"/>
      <c r="BU273" s="150"/>
      <c r="BV273" s="9"/>
      <c r="BW273" s="152" t="s">
        <v>680</v>
      </c>
      <c r="BX273" s="153">
        <f>+BX269</f>
        <v>5357.5997807017393</v>
      </c>
      <c r="BY273" s="153">
        <f>+BX273+BY269</f>
        <v>11129.812240829313</v>
      </c>
      <c r="BZ273" s="153">
        <f t="shared" ref="BZ273:CI273" si="177">+BY273+BZ269</f>
        <v>16315.173999202507</v>
      </c>
      <c r="CA273" s="153">
        <f t="shared" si="177"/>
        <v>21757.973125996752</v>
      </c>
      <c r="CB273" s="153">
        <f t="shared" si="177"/>
        <v>27217.99962121205</v>
      </c>
      <c r="CC273" s="153">
        <f t="shared" si="177"/>
        <v>32635.345063795769</v>
      </c>
      <c r="CD273" s="153">
        <f t="shared" si="177"/>
        <v>37932.036822168964</v>
      </c>
      <c r="CE273" s="153">
        <f t="shared" si="177"/>
        <v>43110.668054226371</v>
      </c>
      <c r="CF273" s="153">
        <f t="shared" si="177"/>
        <v>48481.774549441667</v>
      </c>
      <c r="CG273" s="153">
        <f t="shared" si="177"/>
        <v>56058.810518341175</v>
      </c>
      <c r="CH273" s="153">
        <f t="shared" si="177"/>
        <v>61660.74753987226</v>
      </c>
      <c r="CI273" s="153">
        <f t="shared" si="177"/>
        <v>66887.136666666513</v>
      </c>
      <c r="CJ273" s="59"/>
      <c r="CK273" s="8"/>
      <c r="CL273" s="9"/>
      <c r="CM273" s="151"/>
      <c r="CO273" s="11"/>
    </row>
    <row r="274" spans="2:93" s="154" customFormat="1" ht="20.25" customHeight="1">
      <c r="C274" s="3"/>
      <c r="E274" s="155"/>
      <c r="F274" s="155"/>
      <c r="G274" s="156"/>
      <c r="H274" s="156"/>
      <c r="I274" s="156"/>
      <c r="J274" s="156"/>
      <c r="K274" s="156"/>
      <c r="L274" s="155"/>
      <c r="M274" s="156"/>
      <c r="N274" s="156"/>
      <c r="O274" s="156"/>
      <c r="P274" s="157"/>
      <c r="AE274" s="1"/>
      <c r="AI274" s="158"/>
      <c r="AQ274" s="159"/>
      <c r="AR274" s="158"/>
      <c r="AS274" s="157"/>
      <c r="AT274" s="68"/>
      <c r="AU274" s="155">
        <f>+AU273-AU272</f>
        <v>16152.309038461533</v>
      </c>
      <c r="AV274" s="3"/>
      <c r="AW274" s="3"/>
      <c r="AX274" s="3"/>
      <c r="AY274" s="3"/>
      <c r="AZ274" s="3"/>
      <c r="BA274" s="58"/>
      <c r="BB274" s="58"/>
      <c r="BC274" s="58"/>
      <c r="BD274" s="58"/>
      <c r="BE274" s="58"/>
      <c r="BF274" s="58"/>
      <c r="BG274" s="9" t="s">
        <v>681</v>
      </c>
      <c r="BH274" s="58"/>
      <c r="BI274" s="59">
        <f>+AS270</f>
        <v>0</v>
      </c>
      <c r="BJ274" s="59">
        <f>+BI277</f>
        <v>16290.039038461538</v>
      </c>
      <c r="BK274" s="59">
        <f t="shared" ref="BK274:BU274" si="178">+BJ277</f>
        <v>17882.585384615388</v>
      </c>
      <c r="BL274" s="59">
        <f t="shared" si="178"/>
        <v>17847.08403846154</v>
      </c>
      <c r="BM274" s="59">
        <f t="shared" si="178"/>
        <v>16591.336538461546</v>
      </c>
      <c r="BN274" s="59">
        <f t="shared" si="178"/>
        <v>20682.879423076934</v>
      </c>
      <c r="BO274" s="59">
        <f t="shared" si="178"/>
        <v>24778.803076923094</v>
      </c>
      <c r="BP274" s="59">
        <f t="shared" si="178"/>
        <v>28842.826730769251</v>
      </c>
      <c r="BQ274" s="59">
        <f t="shared" si="178"/>
        <v>32814.30038461541</v>
      </c>
      <c r="BR274" s="59">
        <f t="shared" si="178"/>
        <v>36695.624038461567</v>
      </c>
      <c r="BS274" s="59">
        <f t="shared" si="178"/>
        <v>40723.997692307719</v>
      </c>
      <c r="BT274" s="59">
        <f t="shared" si="178"/>
        <v>46450.205961538493</v>
      </c>
      <c r="BU274" s="59">
        <f t="shared" si="178"/>
        <v>50656.525769230801</v>
      </c>
      <c r="BV274" s="9"/>
      <c r="BW274" s="1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59"/>
      <c r="CK274" s="8"/>
      <c r="CL274" s="9"/>
      <c r="CM274" s="160"/>
      <c r="CO274" s="11"/>
    </row>
    <row r="275" spans="2:93" s="154" customFormat="1" ht="20.25" customHeight="1">
      <c r="C275" s="3"/>
      <c r="E275" s="155"/>
      <c r="F275" s="155"/>
      <c r="G275" s="156"/>
      <c r="H275" s="156"/>
      <c r="I275" s="156"/>
      <c r="J275" s="156"/>
      <c r="K275" s="156"/>
      <c r="L275" s="155"/>
      <c r="M275" s="156"/>
      <c r="N275" s="156"/>
      <c r="O275" s="156"/>
      <c r="P275" s="157"/>
      <c r="AE275" s="1"/>
      <c r="AI275" s="158"/>
      <c r="AQ275" s="159"/>
      <c r="AR275" s="158"/>
      <c r="AS275" s="157"/>
      <c r="AT275" s="68"/>
      <c r="AV275" s="3"/>
      <c r="AW275" s="3"/>
      <c r="AX275" s="3"/>
      <c r="AY275" s="3"/>
      <c r="AZ275" s="3"/>
      <c r="BG275" s="161" t="s">
        <v>682</v>
      </c>
      <c r="BI275" s="162">
        <f>+AU270</f>
        <v>0</v>
      </c>
      <c r="BJ275" s="162">
        <f>+AW269</f>
        <v>4022.8986538461563</v>
      </c>
      <c r="BK275" s="162">
        <f>+AX269</f>
        <v>4365.9486538461533</v>
      </c>
      <c r="BL275" s="162">
        <f t="shared" ref="BL275:BU275" si="179">+AY269</f>
        <v>3979.7986538461573</v>
      </c>
      <c r="BM275" s="162">
        <f t="shared" si="179"/>
        <v>4091.5428846153873</v>
      </c>
      <c r="BN275" s="162">
        <f t="shared" si="179"/>
        <v>4095.9236538461582</v>
      </c>
      <c r="BO275" s="162">
        <f t="shared" si="179"/>
        <v>4064.0236538461572</v>
      </c>
      <c r="BP275" s="162">
        <f t="shared" si="179"/>
        <v>3971.473653846157</v>
      </c>
      <c r="BQ275" s="162">
        <f t="shared" si="179"/>
        <v>3881.3236538461574</v>
      </c>
      <c r="BR275" s="162">
        <f t="shared" si="179"/>
        <v>4028.3736538461562</v>
      </c>
      <c r="BS275" s="162">
        <f t="shared" si="179"/>
        <v>5726.2082692307731</v>
      </c>
      <c r="BT275" s="162">
        <f t="shared" si="179"/>
        <v>4206.319807692309</v>
      </c>
      <c r="BU275" s="162">
        <f t="shared" si="179"/>
        <v>3918.3236538461574</v>
      </c>
      <c r="BV275" s="157"/>
      <c r="CK275" s="17"/>
      <c r="CL275" s="9"/>
      <c r="CM275" s="160"/>
      <c r="CO275" s="11"/>
    </row>
    <row r="276" spans="2:93" s="154" customFormat="1" ht="20.25" customHeight="1">
      <c r="E276" s="155"/>
      <c r="F276" s="155"/>
      <c r="G276" s="156"/>
      <c r="H276" s="156"/>
      <c r="I276" s="156"/>
      <c r="J276" s="156"/>
      <c r="K276" s="156"/>
      <c r="L276" s="155"/>
      <c r="M276" s="156"/>
      <c r="N276" s="156"/>
      <c r="O276" s="156"/>
      <c r="P276" s="157"/>
      <c r="AE276" s="1"/>
      <c r="AI276" s="158"/>
      <c r="AQ276" s="159"/>
      <c r="AR276" s="158"/>
      <c r="AS276" s="157"/>
      <c r="AT276" s="68"/>
      <c r="AV276" s="3"/>
      <c r="AW276" s="3"/>
      <c r="AX276" s="3"/>
      <c r="AY276" s="3"/>
      <c r="AZ276" s="3"/>
      <c r="BG276" s="163" t="s">
        <v>683</v>
      </c>
      <c r="BI276" s="164">
        <f>+AU269</f>
        <v>16290.039038461538</v>
      </c>
      <c r="BJ276" s="164">
        <f>+BJ269</f>
        <v>-2430.3523076923079</v>
      </c>
      <c r="BK276" s="164">
        <f>+BK269</f>
        <v>-4401.45</v>
      </c>
      <c r="BL276" s="164">
        <f t="shared" ref="BL276:BU276" si="180">+BL269</f>
        <v>-5235.5461538461541</v>
      </c>
      <c r="BM276" s="164">
        <f t="shared" si="180"/>
        <v>0</v>
      </c>
      <c r="BN276" s="164">
        <f t="shared" si="180"/>
        <v>0</v>
      </c>
      <c r="BO276" s="164">
        <f t="shared" si="180"/>
        <v>0</v>
      </c>
      <c r="BP276" s="164">
        <f t="shared" si="180"/>
        <v>0</v>
      </c>
      <c r="BQ276" s="164">
        <f t="shared" si="180"/>
        <v>0</v>
      </c>
      <c r="BR276" s="164">
        <f t="shared" si="180"/>
        <v>0</v>
      </c>
      <c r="BS276" s="164">
        <f t="shared" si="180"/>
        <v>0</v>
      </c>
      <c r="BT276" s="164">
        <f t="shared" si="180"/>
        <v>0</v>
      </c>
      <c r="BU276" s="164">
        <f t="shared" si="180"/>
        <v>0</v>
      </c>
      <c r="BV276" s="157"/>
      <c r="BX276" s="158"/>
      <c r="BY276" s="158"/>
      <c r="BZ276" s="158"/>
      <c r="CA276" s="158"/>
      <c r="CB276" s="158"/>
      <c r="CC276" s="158"/>
      <c r="CD276" s="158"/>
      <c r="CE276" s="158"/>
      <c r="CF276" s="158"/>
      <c r="CG276" s="158"/>
      <c r="CH276" s="158"/>
      <c r="CI276" s="158"/>
      <c r="CK276" s="17"/>
      <c r="CL276" s="9"/>
      <c r="CM276" s="160"/>
      <c r="CO276" s="11"/>
    </row>
    <row r="277" spans="2:93" ht="20.25" customHeight="1">
      <c r="B277" s="154"/>
      <c r="C277" s="154"/>
      <c r="D277" s="154"/>
      <c r="E277" s="155"/>
      <c r="F277" s="155"/>
      <c r="AV277" s="3"/>
      <c r="AW277" s="3"/>
      <c r="AX277" s="3"/>
      <c r="AY277" s="3"/>
      <c r="AZ277" s="3"/>
      <c r="BA277" s="154"/>
      <c r="BB277" s="154"/>
      <c r="BC277" s="154"/>
      <c r="BD277" s="154"/>
      <c r="BE277" s="154"/>
      <c r="BF277" s="154"/>
      <c r="BG277" s="166" t="s">
        <v>684</v>
      </c>
      <c r="BH277" s="154"/>
      <c r="BI277" s="167">
        <f>SUM(BI274:BI276)</f>
        <v>16290.039038461538</v>
      </c>
      <c r="BJ277" s="168">
        <f>SUM(BJ274:BJ276)</f>
        <v>17882.585384615388</v>
      </c>
      <c r="BK277" s="168">
        <f t="shared" ref="BK277:BT277" si="181">SUM(BK274:BK276)</f>
        <v>17847.08403846154</v>
      </c>
      <c r="BL277" s="168">
        <f t="shared" si="181"/>
        <v>16591.336538461546</v>
      </c>
      <c r="BM277" s="168">
        <f t="shared" si="181"/>
        <v>20682.879423076934</v>
      </c>
      <c r="BN277" s="168">
        <f t="shared" si="181"/>
        <v>24778.803076923094</v>
      </c>
      <c r="BO277" s="168">
        <f t="shared" si="181"/>
        <v>28842.826730769251</v>
      </c>
      <c r="BP277" s="168">
        <f t="shared" si="181"/>
        <v>32814.30038461541</v>
      </c>
      <c r="BQ277" s="168">
        <f t="shared" si="181"/>
        <v>36695.624038461567</v>
      </c>
      <c r="BR277" s="168">
        <f t="shared" si="181"/>
        <v>40723.997692307719</v>
      </c>
      <c r="BS277" s="168">
        <f t="shared" si="181"/>
        <v>46450.205961538493</v>
      </c>
      <c r="BT277" s="168">
        <f t="shared" si="181"/>
        <v>50656.525769230801</v>
      </c>
      <c r="BU277" s="169">
        <f>SUM(BU274:BU276)</f>
        <v>54574.849423076957</v>
      </c>
      <c r="BV277" s="157"/>
      <c r="BX277" s="3"/>
      <c r="BY277" s="3"/>
      <c r="BZ277" s="3"/>
      <c r="CA277" s="3"/>
      <c r="CB277" s="3"/>
      <c r="CC277" s="3"/>
      <c r="CD277" s="3"/>
      <c r="CE277" s="3"/>
      <c r="CF277" s="3"/>
    </row>
    <row r="278" spans="2:93" ht="20.25" customHeight="1">
      <c r="B278" s="154"/>
      <c r="C278" s="154"/>
      <c r="D278" s="154"/>
      <c r="E278" s="155"/>
      <c r="F278" s="155"/>
      <c r="AV278" s="3"/>
      <c r="AW278" s="3"/>
      <c r="AX278" s="3"/>
      <c r="AY278" s="3"/>
      <c r="AZ278" s="3"/>
      <c r="BI278" s="56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5" t="s">
        <v>685</v>
      </c>
    </row>
    <row r="279" spans="2:93" ht="20.25" customHeight="1">
      <c r="B279" s="154"/>
      <c r="C279" s="154"/>
      <c r="D279" s="154"/>
      <c r="E279" s="155"/>
      <c r="F279" s="155"/>
      <c r="AV279" s="3"/>
      <c r="AW279" s="3"/>
      <c r="AX279" s="3"/>
      <c r="AY279" s="3"/>
      <c r="AZ279" s="3"/>
      <c r="BG279" s="152" t="s">
        <v>686</v>
      </c>
      <c r="BH279" s="170"/>
      <c r="BI279" s="153">
        <f>BI277</f>
        <v>16290.039038461538</v>
      </c>
      <c r="BJ279" s="153">
        <f>SUM(BJ275:BJ276)</f>
        <v>1592.5463461538484</v>
      </c>
      <c r="BK279" s="153">
        <f>SUM(BK275:BK276)</f>
        <v>-35.501346153846498</v>
      </c>
      <c r="BL279" s="153">
        <f t="shared" ref="BL279:BU279" si="182">SUM(BL275:BL276)</f>
        <v>-1255.7474999999968</v>
      </c>
      <c r="BM279" s="153">
        <f t="shared" si="182"/>
        <v>4091.5428846153873</v>
      </c>
      <c r="BN279" s="153">
        <f t="shared" si="182"/>
        <v>4095.9236538461582</v>
      </c>
      <c r="BO279" s="153">
        <f t="shared" si="182"/>
        <v>4064.0236538461572</v>
      </c>
      <c r="BP279" s="153">
        <f t="shared" si="182"/>
        <v>3971.473653846157</v>
      </c>
      <c r="BQ279" s="153">
        <f t="shared" si="182"/>
        <v>3881.3236538461574</v>
      </c>
      <c r="BR279" s="153">
        <f t="shared" si="182"/>
        <v>4028.3736538461562</v>
      </c>
      <c r="BS279" s="153">
        <f t="shared" si="182"/>
        <v>5726.2082692307731</v>
      </c>
      <c r="BT279" s="153">
        <f t="shared" si="182"/>
        <v>4206.319807692309</v>
      </c>
      <c r="BU279" s="153">
        <f t="shared" si="182"/>
        <v>3918.3236538461574</v>
      </c>
    </row>
    <row r="280" spans="2:93" ht="20.25" customHeight="1">
      <c r="B280" s="154"/>
      <c r="C280" s="154"/>
      <c r="D280" s="154"/>
      <c r="E280" s="155"/>
      <c r="F280" s="155"/>
    </row>
    <row r="281" spans="2:93" ht="20.25" customHeight="1">
      <c r="B281" s="154"/>
      <c r="C281" s="154"/>
      <c r="D281" s="154"/>
      <c r="E281" s="155"/>
      <c r="F281" s="155"/>
    </row>
    <row r="282" spans="2:93" ht="20.25" customHeight="1">
      <c r="B282" s="154"/>
      <c r="C282" s="154"/>
      <c r="D282" s="154"/>
      <c r="E282" s="155"/>
      <c r="F282" s="155"/>
    </row>
    <row r="283" spans="2:93" ht="20.25" customHeight="1">
      <c r="B283" s="154"/>
      <c r="C283" s="154"/>
      <c r="D283" s="154"/>
      <c r="E283" s="155"/>
      <c r="F283" s="155"/>
    </row>
    <row r="284" spans="2:93" ht="20.25" customHeight="1">
      <c r="B284" s="154"/>
      <c r="C284" s="154"/>
      <c r="D284" s="154"/>
      <c r="E284" s="155"/>
      <c r="F284" s="155"/>
    </row>
    <row r="285" spans="2:93" ht="20.25" customHeight="1">
      <c r="B285" s="154"/>
      <c r="C285" s="154"/>
      <c r="D285" s="154"/>
      <c r="E285" s="155"/>
      <c r="F285" s="155"/>
    </row>
    <row r="286" spans="2:93" ht="20.25" customHeight="1">
      <c r="B286" s="154"/>
      <c r="C286" s="154"/>
      <c r="D286" s="154"/>
      <c r="E286" s="155"/>
      <c r="F286" s="155"/>
    </row>
  </sheetData>
  <autoFilter ref="A7:CP250" xr:uid="{00000000-0009-0000-0000-000015000000}"/>
  <conditionalFormatting sqref="R8:R252 R256:R268">
    <cfRule type="cellIs" dxfId="7" priority="6" operator="greaterThan">
      <formula>18</formula>
    </cfRule>
  </conditionalFormatting>
  <conditionalFormatting sqref="AJ8:AS8">
    <cfRule type="cellIs" dxfId="6" priority="8" operator="lessThan">
      <formula>0</formula>
    </cfRule>
  </conditionalFormatting>
  <conditionalFormatting sqref="AJ244:AS250 AI251:AS251 AG252:AS268">
    <cfRule type="cellIs" dxfId="5" priority="1" operator="lessThan">
      <formula>0</formula>
    </cfRule>
  </conditionalFormatting>
  <conditionalFormatting sqref="AS8:AS31 AG8:AI55 BV8:BV208 AJ9:AR31 AJ32:AS55 AG56:AS242 BV210:BV268 AJ243:AR243 AI243:AI250 AG243:AH251 AS243:AS251">
    <cfRule type="cellIs" dxfId="4" priority="2" operator="lessThan">
      <formula>0</formula>
    </cfRule>
  </conditionalFormatting>
  <conditionalFormatting sqref="AS8:AS268">
    <cfRule type="cellIs" dxfId="3" priority="7" operator="lessThan">
      <formula>0</formula>
    </cfRule>
  </conditionalFormatting>
  <conditionalFormatting sqref="BI209">
    <cfRule type="cellIs" dxfId="2" priority="3" operator="lessThan">
      <formula>0</formula>
    </cfRule>
    <cfRule type="cellIs" dxfId="1" priority="4" operator="lessThan">
      <formula>0</formula>
    </cfRule>
  </conditionalFormatting>
  <conditionalFormatting sqref="BV8:BV208 BV210:BV253 BV255:BV268 AU8:AU208 Q8:Q268 AU210:AU268">
    <cfRule type="cellIs" dxfId="0" priority="5" operator="lessThan">
      <formula>0</formula>
    </cfRule>
  </conditionalFormatting>
  <dataValidations count="1">
    <dataValidation type="textLength" operator="lessThanOrEqual" allowBlank="1" showInputMessage="1" showErrorMessage="1" sqref="BZ270:CI270" xr:uid="{76A4572F-D2B0-4341-8DFD-981F9EC7A26A}">
      <formula1>50</formula1>
    </dataValidation>
  </dataValidations>
  <pageMargins left="0.25" right="0.25" top="0.75" bottom="0.75" header="0.3" footer="0.3"/>
  <pageSetup paperSize="8" scale="10" fitToHeight="6" orientation="portrait"/>
  <rowBreaks count="3" manualBreakCount="3">
    <brk id="111" max="108" man="1"/>
    <brk id="148" max="108" man="1"/>
    <brk id="174" max="108" man="1"/>
  </rowBreaks>
  <colBreaks count="1" manualBreakCount="1">
    <brk id="50" max="1048575" man="1"/>
  </col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152C-EEE6-4C2A-A87A-68D93CCA3CED}">
  <sheetPr>
    <tabColor rgb="FFD9F917"/>
    <pageSetUpPr fitToPage="1"/>
  </sheetPr>
  <dimension ref="A1:R97"/>
  <sheetViews>
    <sheetView tabSelected="1" view="pageBreakPreview" zoomScale="77" zoomScaleNormal="77" zoomScaleSheetLayoutView="77" workbookViewId="0">
      <pane ySplit="3" topLeftCell="A4" activePane="bottomLeft" state="frozen"/>
      <selection activeCell="BR291" sqref="BR291"/>
      <selection pane="bottomLeft" activeCell="H24" sqref="H24"/>
    </sheetView>
  </sheetViews>
  <sheetFormatPr defaultColWidth="9.140625" defaultRowHeight="16.5"/>
  <cols>
    <col min="1" max="1" width="13" style="172" customWidth="1"/>
    <col min="2" max="2" width="17" style="172" customWidth="1"/>
    <col min="3" max="3" width="13" style="172" customWidth="1"/>
    <col min="4" max="4" width="11" style="172" customWidth="1"/>
    <col min="5" max="5" width="8.140625" style="172" customWidth="1"/>
    <col min="6" max="6" width="51.42578125" style="172" customWidth="1"/>
    <col min="7" max="7" width="8.42578125" style="172" customWidth="1"/>
    <col min="8" max="8" width="14" style="172" customWidth="1"/>
    <col min="9" max="9" width="17" style="172" customWidth="1"/>
    <col min="10" max="10" width="17.42578125" style="172" customWidth="1"/>
    <col min="11" max="11" width="13" style="225" customWidth="1"/>
    <col min="12" max="12" width="21.5703125" style="172" customWidth="1"/>
    <col min="13" max="13" width="16.42578125" style="172" customWidth="1"/>
    <col min="14" max="14" width="8.140625" style="172" customWidth="1"/>
    <col min="15" max="15" width="6.28515625" style="172" customWidth="1"/>
    <col min="16" max="16" width="19.85546875" style="172" customWidth="1"/>
    <col min="17" max="18" width="26.140625" style="172" customWidth="1"/>
    <col min="19" max="19" width="14.85546875" style="172" customWidth="1"/>
    <col min="20" max="20" width="16.7109375" style="172" customWidth="1"/>
    <col min="21" max="21" width="8.42578125" style="172" customWidth="1"/>
    <col min="22" max="22" width="13.5703125" style="172" customWidth="1"/>
    <col min="23" max="23" width="12.42578125" style="172" customWidth="1"/>
    <col min="24" max="25" width="14" style="172" customWidth="1"/>
    <col min="26" max="274" width="26.140625" style="172" customWidth="1"/>
    <col min="275" max="275" width="28.85546875" style="172" customWidth="1"/>
    <col min="276" max="276" width="31.140625" style="172" customWidth="1"/>
    <col min="277" max="277" width="28.140625" style="172" customWidth="1"/>
    <col min="278" max="278" width="25.7109375" style="172" customWidth="1"/>
    <col min="279" max="280" width="13.28515625" style="172" customWidth="1"/>
    <col min="281" max="281" width="8.5703125" style="172" customWidth="1"/>
    <col min="282" max="282" width="13.28515625" style="172" customWidth="1"/>
    <col min="283" max="283" width="9.7109375" style="172" customWidth="1"/>
    <col min="284" max="285" width="7.28515625" style="172" customWidth="1"/>
    <col min="286" max="286" width="9.7109375" style="172" customWidth="1"/>
    <col min="287" max="287" width="13.28515625" style="172" customWidth="1"/>
    <col min="288" max="288" width="9.7109375" style="172" customWidth="1"/>
    <col min="289" max="289" width="13.28515625" style="172" customWidth="1"/>
    <col min="290" max="290" width="9.7109375" style="172" customWidth="1"/>
    <col min="291" max="291" width="8.42578125" style="172" customWidth="1"/>
    <col min="292" max="292" width="10.7109375" style="172" customWidth="1"/>
    <col min="293" max="293" width="8.42578125" style="172" customWidth="1"/>
    <col min="294" max="294" width="10.7109375" style="172" customWidth="1"/>
    <col min="295" max="296" width="13.28515625" style="172" customWidth="1"/>
    <col min="297" max="297" width="10.7109375" style="172" customWidth="1"/>
    <col min="298" max="300" width="13.28515625" style="172" customWidth="1"/>
    <col min="301" max="301" width="10.7109375" style="172" customWidth="1"/>
    <col min="302" max="303" width="13.28515625" style="172" customWidth="1"/>
    <col min="304" max="304" width="10.7109375" style="172" customWidth="1"/>
    <col min="305" max="305" width="13.28515625" style="172" customWidth="1"/>
    <col min="306" max="306" width="10.7109375" style="172" customWidth="1"/>
    <col min="307" max="307" width="8.42578125" style="172" customWidth="1"/>
    <col min="308" max="308" width="10.7109375" style="172" customWidth="1"/>
    <col min="309" max="309" width="13.28515625" style="172" customWidth="1"/>
    <col min="310" max="310" width="10.7109375" style="172" customWidth="1"/>
    <col min="311" max="311" width="13.28515625" style="172" customWidth="1"/>
    <col min="312" max="312" width="10.7109375" style="172" customWidth="1"/>
    <col min="313" max="314" width="8.42578125" style="172" customWidth="1"/>
    <col min="315" max="315" width="10.7109375" style="172" customWidth="1"/>
    <col min="316" max="316" width="13.28515625" style="172" customWidth="1"/>
    <col min="317" max="317" width="10.7109375" style="172" customWidth="1"/>
    <col min="318" max="318" width="8.42578125" style="172" customWidth="1"/>
    <col min="319" max="319" width="10.7109375" style="172" customWidth="1"/>
    <col min="320" max="322" width="13.28515625" style="172" customWidth="1"/>
    <col min="323" max="323" width="10.7109375" style="172" customWidth="1"/>
    <col min="324" max="324" width="8.42578125" style="172" customWidth="1"/>
    <col min="325" max="325" width="10.7109375" style="172" customWidth="1"/>
    <col min="326" max="326" width="13.28515625" style="172" customWidth="1"/>
    <col min="327" max="327" width="10.7109375" style="172" customWidth="1"/>
    <col min="328" max="328" width="8.42578125" style="172" customWidth="1"/>
    <col min="329" max="329" width="10.7109375" style="172" customWidth="1"/>
    <col min="330" max="330" width="13.28515625" style="172" customWidth="1"/>
    <col min="331" max="331" width="10.7109375" style="172" customWidth="1"/>
    <col min="332" max="332" width="13.28515625" style="172" customWidth="1"/>
    <col min="333" max="333" width="10.7109375" style="172" customWidth="1"/>
    <col min="334" max="334" width="8.42578125" style="172" customWidth="1"/>
    <col min="335" max="335" width="10.7109375" style="172" customWidth="1"/>
    <col min="336" max="336" width="13.28515625" style="172" customWidth="1"/>
    <col min="337" max="337" width="10.7109375" style="172" customWidth="1"/>
    <col min="338" max="338" width="13.28515625" style="172" customWidth="1"/>
    <col min="339" max="339" width="10.7109375" style="172" customWidth="1"/>
    <col min="340" max="340" width="8.42578125" style="172" customWidth="1"/>
    <col min="341" max="341" width="10.7109375" style="172" customWidth="1"/>
    <col min="342" max="342" width="13.28515625" style="172" customWidth="1"/>
    <col min="343" max="343" width="10.7109375" style="172" customWidth="1"/>
    <col min="344" max="344" width="13.28515625" style="172" customWidth="1"/>
    <col min="345" max="345" width="10.7109375" style="172" customWidth="1"/>
    <col min="346" max="346" width="8.42578125" style="172" customWidth="1"/>
    <col min="347" max="347" width="10.7109375" style="172" customWidth="1"/>
    <col min="348" max="348" width="13.28515625" style="172" customWidth="1"/>
    <col min="349" max="349" width="10.7109375" style="172" customWidth="1"/>
    <col min="350" max="350" width="13.28515625" style="172" customWidth="1"/>
    <col min="351" max="351" width="10.7109375" style="172" customWidth="1"/>
    <col min="352" max="352" width="8.42578125" style="172" customWidth="1"/>
    <col min="353" max="353" width="10.7109375" style="172" customWidth="1"/>
    <col min="354" max="354" width="13.28515625" style="172" customWidth="1"/>
    <col min="355" max="355" width="10.7109375" style="172" customWidth="1"/>
    <col min="356" max="356" width="13.28515625" style="172" customWidth="1"/>
    <col min="357" max="357" width="10.7109375" style="172" customWidth="1"/>
    <col min="358" max="358" width="7.28515625" style="172" customWidth="1"/>
    <col min="359" max="359" width="9.7109375" style="172" customWidth="1"/>
    <col min="360" max="360" width="13.28515625" style="172" customWidth="1"/>
    <col min="361" max="361" width="10.7109375" style="172" customWidth="1"/>
    <col min="362" max="362" width="13.28515625" style="172" customWidth="1"/>
    <col min="363" max="363" width="10.7109375" style="172" customWidth="1"/>
    <col min="364" max="364" width="13.28515625" style="172" customWidth="1"/>
    <col min="365" max="365" width="9.7109375" style="172" customWidth="1"/>
    <col min="366" max="368" width="13.28515625" style="172" customWidth="1"/>
    <col min="369" max="369" width="10.7109375" style="172" customWidth="1"/>
    <col min="370" max="370" width="13.28515625" style="172" customWidth="1"/>
    <col min="371" max="371" width="10.7109375" style="172" customWidth="1"/>
    <col min="372" max="372" width="13.28515625" style="172" customWidth="1"/>
    <col min="373" max="373" width="9.7109375" style="172" customWidth="1"/>
    <col min="374" max="374" width="13.28515625" style="172" customWidth="1"/>
    <col min="375" max="375" width="10.7109375" style="172" customWidth="1"/>
    <col min="376" max="376" width="8.42578125" style="172" customWidth="1"/>
    <col min="377" max="377" width="10.7109375" style="172" customWidth="1"/>
    <col min="378" max="378" width="13.28515625" style="172" customWidth="1"/>
    <col min="379" max="379" width="10.7109375" style="172" customWidth="1"/>
    <col min="380" max="380" width="13.28515625" style="172" customWidth="1"/>
    <col min="381" max="381" width="10.7109375" style="172" customWidth="1"/>
    <col min="382" max="382" width="8.42578125" style="172" customWidth="1"/>
    <col min="383" max="383" width="10.7109375" style="172" customWidth="1"/>
    <col min="384" max="384" width="13.28515625" style="172" customWidth="1"/>
    <col min="385" max="385" width="9.7109375" style="172" customWidth="1"/>
    <col min="386" max="386" width="8.42578125" style="172" customWidth="1"/>
    <col min="387" max="387" width="10.7109375" style="172" customWidth="1"/>
    <col min="388" max="388" width="8.42578125" style="172" customWidth="1"/>
    <col min="389" max="389" width="10.7109375" style="172" customWidth="1"/>
    <col min="390" max="390" width="13.28515625" style="172" customWidth="1"/>
    <col min="391" max="391" width="10.7109375" style="172" customWidth="1"/>
    <col min="392" max="392" width="13.28515625" style="172" customWidth="1"/>
    <col min="393" max="393" width="10.7109375" style="172" customWidth="1"/>
    <col min="394" max="395" width="9.140625" style="172" customWidth="1"/>
    <col min="396" max="396" width="12.140625" style="172" customWidth="1"/>
    <col min="397" max="397" width="20.7109375" style="172" customWidth="1"/>
    <col min="398" max="398" width="7" style="172" customWidth="1"/>
    <col min="399" max="399" width="7.28515625" style="172" customWidth="1"/>
    <col min="400" max="400" width="9.7109375" style="172" customWidth="1"/>
    <col min="401" max="403" width="13.28515625" style="172" customWidth="1"/>
    <col min="404" max="404" width="9.7109375" style="172" customWidth="1"/>
    <col min="405" max="405" width="7.28515625" style="172" customWidth="1"/>
    <col min="406" max="406" width="9.7109375" style="172" customWidth="1"/>
    <col min="407" max="408" width="13.28515625" style="172" customWidth="1"/>
    <col min="409" max="409" width="9.7109375" style="172" customWidth="1"/>
    <col min="410" max="410" width="13.28515625" style="172" customWidth="1"/>
    <col min="411" max="411" width="9.7109375" style="172" customWidth="1"/>
    <col min="412" max="414" width="13.28515625" style="172" customWidth="1"/>
    <col min="415" max="415" width="8.5703125" style="172" customWidth="1"/>
    <col min="416" max="416" width="13.28515625" style="172" customWidth="1"/>
    <col min="417" max="417" width="9.7109375" style="172" customWidth="1"/>
    <col min="418" max="419" width="7.28515625" style="172" customWidth="1"/>
    <col min="420" max="420" width="9.7109375" style="172" customWidth="1"/>
    <col min="421" max="421" width="13.28515625" style="172" customWidth="1"/>
    <col min="422" max="422" width="9.7109375" style="172" customWidth="1"/>
    <col min="423" max="423" width="13.28515625" style="172" customWidth="1"/>
    <col min="424" max="424" width="9.7109375" style="172" customWidth="1"/>
    <col min="425" max="425" width="8.42578125" style="172" customWidth="1"/>
    <col min="426" max="426" width="10.7109375" style="172" customWidth="1"/>
    <col min="427" max="427" width="8.42578125" style="172" customWidth="1"/>
    <col min="428" max="428" width="10.7109375" style="172" customWidth="1"/>
    <col min="429" max="430" width="13.28515625" style="172" customWidth="1"/>
    <col min="431" max="431" width="10.7109375" style="172" customWidth="1"/>
    <col min="432" max="434" width="13.28515625" style="172" customWidth="1"/>
    <col min="435" max="435" width="10.7109375" style="172" customWidth="1"/>
    <col min="436" max="437" width="13.28515625" style="172" customWidth="1"/>
    <col min="438" max="438" width="10.7109375" style="172" customWidth="1"/>
    <col min="439" max="439" width="13.28515625" style="172" customWidth="1"/>
    <col min="440" max="440" width="10.7109375" style="172" customWidth="1"/>
    <col min="441" max="441" width="8.42578125" style="172" customWidth="1"/>
    <col min="442" max="442" width="10.7109375" style="172" customWidth="1"/>
    <col min="443" max="443" width="13.28515625" style="172" customWidth="1"/>
    <col min="444" max="444" width="10.7109375" style="172" customWidth="1"/>
    <col min="445" max="445" width="13.28515625" style="172" customWidth="1"/>
    <col min="446" max="446" width="10.7109375" style="172" customWidth="1"/>
    <col min="447" max="448" width="8.42578125" style="172" customWidth="1"/>
    <col min="449" max="449" width="10.7109375" style="172" customWidth="1"/>
    <col min="450" max="450" width="13.28515625" style="172" customWidth="1"/>
    <col min="451" max="451" width="10.7109375" style="172" customWidth="1"/>
    <col min="452" max="452" width="8.42578125" style="172" customWidth="1"/>
    <col min="453" max="453" width="10.7109375" style="172" customWidth="1"/>
    <col min="454" max="456" width="13.28515625" style="172" customWidth="1"/>
    <col min="457" max="457" width="10.7109375" style="172" customWidth="1"/>
    <col min="458" max="458" width="8.42578125" style="172" customWidth="1"/>
    <col min="459" max="459" width="10.7109375" style="172" customWidth="1"/>
    <col min="460" max="460" width="13.28515625" style="172" customWidth="1"/>
    <col min="461" max="461" width="10.7109375" style="172" customWidth="1"/>
    <col min="462" max="462" width="8.42578125" style="172" customWidth="1"/>
    <col min="463" max="463" width="10.7109375" style="172" customWidth="1"/>
    <col min="464" max="464" width="13.28515625" style="172" customWidth="1"/>
    <col min="465" max="465" width="10.7109375" style="172" customWidth="1"/>
    <col min="466" max="466" width="13.28515625" style="172" customWidth="1"/>
    <col min="467" max="467" width="10.7109375" style="172" customWidth="1"/>
    <col min="468" max="468" width="8.42578125" style="172" customWidth="1"/>
    <col min="469" max="469" width="10.7109375" style="172" customWidth="1"/>
    <col min="470" max="470" width="13.28515625" style="172" customWidth="1"/>
    <col min="471" max="471" width="10.7109375" style="172" customWidth="1"/>
    <col min="472" max="472" width="13.28515625" style="172" customWidth="1"/>
    <col min="473" max="473" width="10.7109375" style="172" customWidth="1"/>
    <col min="474" max="474" width="8.42578125" style="172" customWidth="1"/>
    <col min="475" max="475" width="10.7109375" style="172" customWidth="1"/>
    <col min="476" max="476" width="13.28515625" style="172" customWidth="1"/>
    <col min="477" max="477" width="10.7109375" style="172" customWidth="1"/>
    <col min="478" max="478" width="13.28515625" style="172" customWidth="1"/>
    <col min="479" max="479" width="10.7109375" style="172" customWidth="1"/>
    <col min="480" max="480" width="8.42578125" style="172" customWidth="1"/>
    <col min="481" max="481" width="10.7109375" style="172" customWidth="1"/>
    <col min="482" max="482" width="13.28515625" style="172" customWidth="1"/>
    <col min="483" max="483" width="10.7109375" style="172" customWidth="1"/>
    <col min="484" max="484" width="13.28515625" style="172" customWidth="1"/>
    <col min="485" max="485" width="10.7109375" style="172" customWidth="1"/>
    <col min="486" max="486" width="8.42578125" style="172" customWidth="1"/>
    <col min="487" max="487" width="10.7109375" style="172" customWidth="1"/>
    <col min="488" max="488" width="13.28515625" style="172" customWidth="1"/>
    <col min="489" max="489" width="10.7109375" style="172" customWidth="1"/>
    <col min="490" max="490" width="13.28515625" style="172" customWidth="1"/>
    <col min="491" max="491" width="10.7109375" style="172" customWidth="1"/>
    <col min="492" max="492" width="7.28515625" style="172" customWidth="1"/>
    <col min="493" max="493" width="9.7109375" style="172" customWidth="1"/>
    <col min="494" max="494" width="13.28515625" style="172" customWidth="1"/>
    <col min="495" max="495" width="10.7109375" style="172" customWidth="1"/>
    <col min="496" max="496" width="13.28515625" style="172" customWidth="1"/>
    <col min="497" max="497" width="10.7109375" style="172" customWidth="1"/>
    <col min="498" max="498" width="13.28515625" style="172" customWidth="1"/>
    <col min="499" max="499" width="9.7109375" style="172" customWidth="1"/>
    <col min="500" max="502" width="13.28515625" style="172" customWidth="1"/>
    <col min="503" max="503" width="10.7109375" style="172" customWidth="1"/>
    <col min="504" max="504" width="13.28515625" style="172" customWidth="1"/>
    <col min="505" max="505" width="10.7109375" style="172" customWidth="1"/>
    <col min="506" max="506" width="13.28515625" style="172" customWidth="1"/>
    <col min="507" max="507" width="9.7109375" style="172" customWidth="1"/>
    <col min="508" max="508" width="13.28515625" style="172" customWidth="1"/>
    <col min="509" max="509" width="10.7109375" style="172" customWidth="1"/>
    <col min="510" max="510" width="8.42578125" style="172" customWidth="1"/>
    <col min="511" max="511" width="10.7109375" style="172" customWidth="1"/>
    <col min="512" max="512" width="13.28515625" style="172" customWidth="1"/>
    <col min="513" max="513" width="10.7109375" style="172" customWidth="1"/>
    <col min="514" max="514" width="13.28515625" style="172" customWidth="1"/>
    <col min="515" max="515" width="10.7109375" style="172" customWidth="1"/>
    <col min="516" max="516" width="8.42578125" style="172" customWidth="1"/>
    <col min="517" max="517" width="10.7109375" style="172" customWidth="1"/>
    <col min="518" max="518" width="13.28515625" style="172" customWidth="1"/>
    <col min="519" max="519" width="9.7109375" style="172" customWidth="1"/>
    <col min="520" max="520" width="8.42578125" style="172" customWidth="1"/>
    <col min="521" max="521" width="10.7109375" style="172" customWidth="1"/>
    <col min="522" max="522" width="8.42578125" style="172" customWidth="1"/>
    <col min="523" max="523" width="10.7109375" style="172" customWidth="1"/>
    <col min="524" max="524" width="13.28515625" style="172" customWidth="1"/>
    <col min="525" max="525" width="10.7109375" style="172" customWidth="1"/>
    <col min="526" max="526" width="13.28515625" style="172" customWidth="1"/>
    <col min="527" max="527" width="10.7109375" style="172" customWidth="1"/>
    <col min="528" max="529" width="9.140625" style="172" customWidth="1"/>
    <col min="530" max="530" width="12.140625" style="172" customWidth="1"/>
    <col min="531" max="531" width="28.85546875" style="172" customWidth="1"/>
    <col min="532" max="532" width="31.140625" style="172" customWidth="1"/>
    <col min="533" max="533" width="28.140625" style="172" customWidth="1"/>
    <col min="534" max="534" width="25.7109375" style="172" customWidth="1"/>
    <col min="535" max="535" width="12.5703125" style="172" customWidth="1"/>
    <col min="536" max="536" width="10.140625" style="172" customWidth="1"/>
    <col min="537" max="537" width="10.7109375" style="172" customWidth="1"/>
    <col min="538" max="538" width="12.5703125" style="172" customWidth="1"/>
    <col min="539" max="539" width="10.140625" style="172" customWidth="1"/>
    <col min="540" max="540" width="9.7109375" style="172" customWidth="1"/>
    <col min="541" max="541" width="12.5703125" style="172" customWidth="1"/>
    <col min="542" max="542" width="13.28515625" style="172" customWidth="1"/>
    <col min="543" max="543" width="10.7109375" style="172" customWidth="1"/>
    <col min="544" max="544" width="12.5703125" style="172" customWidth="1"/>
    <col min="545" max="545" width="13.28515625" style="172" customWidth="1"/>
    <col min="546" max="546" width="9.7109375" style="172" customWidth="1"/>
    <col min="547" max="547" width="12.5703125" style="172" customWidth="1"/>
    <col min="548" max="548" width="13.28515625" style="172" customWidth="1"/>
    <col min="549" max="549" width="10.7109375" style="172" customWidth="1"/>
    <col min="550" max="550" width="11.42578125" style="172" customWidth="1"/>
    <col min="551" max="551" width="13.28515625" style="172" customWidth="1"/>
    <col min="552" max="552" width="9.7109375" style="172" customWidth="1"/>
    <col min="553" max="553" width="11.42578125" style="172" customWidth="1"/>
    <col min="554" max="554" width="13.28515625" style="172" customWidth="1"/>
    <col min="555" max="555" width="10.7109375" style="172" customWidth="1"/>
    <col min="556" max="556" width="11.42578125" style="172" customWidth="1"/>
    <col min="557" max="557" width="13.28515625" style="172" customWidth="1"/>
    <col min="558" max="558" width="9.7109375" style="172" customWidth="1"/>
    <col min="559" max="559" width="11.42578125" style="172" customWidth="1"/>
    <col min="560" max="560" width="9" style="172" customWidth="1"/>
    <col min="561" max="561" width="10.7109375" style="172" customWidth="1"/>
    <col min="562" max="562" width="11.42578125" style="172" customWidth="1"/>
    <col min="563" max="563" width="9" style="172" customWidth="1"/>
    <col min="564" max="564" width="9.7109375" style="172" customWidth="1"/>
    <col min="565" max="565" width="11.42578125" style="172" customWidth="1"/>
    <col min="566" max="566" width="13.28515625" style="172" customWidth="1"/>
    <col min="567" max="567" width="10.7109375" style="172" customWidth="1"/>
    <col min="568" max="568" width="11.42578125" style="172" customWidth="1"/>
    <col min="569" max="569" width="9" style="172" customWidth="1"/>
    <col min="570" max="570" width="10.7109375" style="172" customWidth="1"/>
    <col min="571" max="571" width="11.42578125" style="172" customWidth="1"/>
    <col min="572" max="572" width="9" style="172" customWidth="1"/>
    <col min="573" max="573" width="9.7109375" style="172" customWidth="1"/>
    <col min="574" max="574" width="11.42578125" style="172" customWidth="1"/>
    <col min="575" max="575" width="9" style="172" customWidth="1"/>
    <col min="576" max="576" width="9.7109375" style="172" customWidth="1"/>
    <col min="577" max="577" width="11.42578125" style="172" customWidth="1"/>
    <col min="578" max="578" width="13.28515625" style="172" customWidth="1"/>
    <col min="579" max="579" width="9.7109375" style="172" customWidth="1"/>
    <col min="580" max="580" width="11.42578125" style="172" customWidth="1"/>
    <col min="581" max="581" width="9" style="172" customWidth="1"/>
    <col min="582" max="582" width="9.7109375" style="172" customWidth="1"/>
    <col min="583" max="583" width="11.42578125" style="172" customWidth="1"/>
    <col min="584" max="584" width="9" style="172" customWidth="1"/>
    <col min="585" max="585" width="10.7109375" style="172" customWidth="1"/>
    <col min="586" max="586" width="11.42578125" style="172" customWidth="1"/>
    <col min="587" max="587" width="13.28515625" style="172" customWidth="1"/>
    <col min="588" max="588" width="10.7109375" style="172" customWidth="1"/>
    <col min="589" max="589" width="11.42578125" style="172" customWidth="1"/>
    <col min="590" max="590" width="9" style="172" customWidth="1"/>
    <col min="591" max="591" width="9.7109375" style="172" customWidth="1"/>
    <col min="592" max="592" width="11.42578125" style="172" customWidth="1"/>
    <col min="593" max="593" width="9" style="172" customWidth="1"/>
    <col min="594" max="594" width="9.7109375" style="172" customWidth="1"/>
    <col min="595" max="595" width="11.42578125" style="172" customWidth="1"/>
    <col min="596" max="596" width="9" style="172" customWidth="1"/>
    <col min="597" max="597" width="9.7109375" style="172" customWidth="1"/>
    <col min="598" max="598" width="11.42578125" style="172" customWidth="1"/>
    <col min="599" max="599" width="13.28515625" style="172" customWidth="1"/>
    <col min="600" max="600" width="10.7109375" style="172" customWidth="1"/>
    <col min="601" max="601" width="11.42578125" style="172" customWidth="1"/>
    <col min="602" max="602" width="9" style="172" customWidth="1"/>
    <col min="603" max="603" width="9.7109375" style="172" customWidth="1"/>
    <col min="604" max="604" width="11.42578125" style="172" customWidth="1"/>
    <col min="605" max="605" width="9" style="172" customWidth="1"/>
    <col min="606" max="606" width="9.7109375" style="172" customWidth="1"/>
    <col min="607" max="607" width="11.42578125" style="172" customWidth="1"/>
    <col min="608" max="608" width="13.28515625" style="172" customWidth="1"/>
    <col min="609" max="609" width="10.7109375" style="172" customWidth="1"/>
    <col min="610" max="610" width="11.42578125" style="172" customWidth="1"/>
    <col min="611" max="611" width="9" style="172" customWidth="1"/>
    <col min="612" max="612" width="9.7109375" style="172" customWidth="1"/>
    <col min="613" max="613" width="11.42578125" style="172" customWidth="1"/>
    <col min="614" max="614" width="9" style="172" customWidth="1"/>
    <col min="615" max="615" width="10.7109375" style="172" customWidth="1"/>
    <col min="616" max="616" width="11.42578125" style="172" customWidth="1"/>
    <col min="617" max="617" width="13.28515625" style="172" customWidth="1"/>
    <col min="618" max="618" width="9.7109375" style="172" customWidth="1"/>
    <col min="619" max="619" width="11.42578125" style="172" customWidth="1"/>
    <col min="620" max="620" width="4.85546875" style="172" customWidth="1"/>
    <col min="621" max="621" width="7" style="172" customWidth="1"/>
    <col min="622" max="622" width="7.28515625" style="172" customWidth="1"/>
    <col min="623" max="623" width="9.7109375" style="172" customWidth="1"/>
    <col min="624" max="626" width="13.28515625" style="172" customWidth="1"/>
    <col min="627" max="627" width="9.7109375" style="172" customWidth="1"/>
    <col min="628" max="628" width="7.28515625" style="172" customWidth="1"/>
    <col min="629" max="629" width="9.7109375" style="172" customWidth="1"/>
    <col min="630" max="631" width="13.28515625" style="172" customWidth="1"/>
    <col min="632" max="632" width="9.7109375" style="172" customWidth="1"/>
    <col min="633" max="633" width="13.28515625" style="172" customWidth="1"/>
    <col min="634" max="634" width="9.7109375" style="172" customWidth="1"/>
    <col min="635" max="637" width="13.28515625" style="172" customWidth="1"/>
    <col min="638" max="638" width="8.5703125" style="172" customWidth="1"/>
    <col min="639" max="639" width="13.28515625" style="172" customWidth="1"/>
    <col min="640" max="640" width="9.7109375" style="172" customWidth="1"/>
    <col min="641" max="642" width="7.28515625" style="172" customWidth="1"/>
    <col min="643" max="643" width="9.7109375" style="172" customWidth="1"/>
    <col min="644" max="644" width="13.28515625" style="172" customWidth="1"/>
    <col min="645" max="645" width="9.7109375" style="172" customWidth="1"/>
    <col min="646" max="646" width="13.28515625" style="172" customWidth="1"/>
    <col min="647" max="647" width="9.7109375" style="172" customWidth="1"/>
    <col min="648" max="648" width="8.42578125" style="172" customWidth="1"/>
    <col min="649" max="649" width="10.7109375" style="172" customWidth="1"/>
    <col min="650" max="650" width="8.42578125" style="172" customWidth="1"/>
    <col min="651" max="651" width="10.7109375" style="172" customWidth="1"/>
    <col min="652" max="653" width="13.28515625" style="172" customWidth="1"/>
    <col min="654" max="654" width="10.7109375" style="172" customWidth="1"/>
    <col min="655" max="657" width="13.28515625" style="172" customWidth="1"/>
    <col min="658" max="658" width="10.7109375" style="172" customWidth="1"/>
    <col min="659" max="660" width="13.28515625" style="172" customWidth="1"/>
    <col min="661" max="661" width="10.7109375" style="172" customWidth="1"/>
    <col min="662" max="662" width="13.28515625" style="172" customWidth="1"/>
    <col min="663" max="663" width="10.7109375" style="172" customWidth="1"/>
    <col min="664" max="664" width="8.42578125" style="172" customWidth="1"/>
    <col min="665" max="665" width="10.7109375" style="172" customWidth="1"/>
    <col min="666" max="666" width="13.28515625" style="172" customWidth="1"/>
    <col min="667" max="667" width="10.7109375" style="172" customWidth="1"/>
    <col min="668" max="668" width="13.28515625" style="172" customWidth="1"/>
    <col min="669" max="669" width="10.7109375" style="172" customWidth="1"/>
    <col min="670" max="671" width="8.42578125" style="172" customWidth="1"/>
    <col min="672" max="672" width="10.7109375" style="172" customWidth="1"/>
    <col min="673" max="673" width="13.28515625" style="172" customWidth="1"/>
    <col min="674" max="674" width="10.7109375" style="172" customWidth="1"/>
    <col min="675" max="675" width="8.42578125" style="172" customWidth="1"/>
    <col min="676" max="676" width="10.7109375" style="172" customWidth="1"/>
    <col min="677" max="679" width="13.28515625" style="172" customWidth="1"/>
    <col min="680" max="680" width="10.7109375" style="172" customWidth="1"/>
    <col min="681" max="681" width="8.42578125" style="172" customWidth="1"/>
    <col min="682" max="682" width="10.7109375" style="172" customWidth="1"/>
    <col min="683" max="683" width="13.28515625" style="172" customWidth="1"/>
    <col min="684" max="684" width="10.7109375" style="172" customWidth="1"/>
    <col min="685" max="685" width="8.42578125" style="172" customWidth="1"/>
    <col min="686" max="686" width="10.7109375" style="172" customWidth="1"/>
    <col min="687" max="687" width="13.28515625" style="172" customWidth="1"/>
    <col min="688" max="688" width="10.7109375" style="172" customWidth="1"/>
    <col min="689" max="689" width="13.28515625" style="172" customWidth="1"/>
    <col min="690" max="690" width="10.7109375" style="172" customWidth="1"/>
    <col min="691" max="691" width="8.42578125" style="172" customWidth="1"/>
    <col min="692" max="692" width="10.7109375" style="172" customWidth="1"/>
    <col min="693" max="693" width="13.28515625" style="172" customWidth="1"/>
    <col min="694" max="694" width="10.7109375" style="172" customWidth="1"/>
    <col min="695" max="695" width="13.28515625" style="172" customWidth="1"/>
    <col min="696" max="696" width="10.7109375" style="172" customWidth="1"/>
    <col min="697" max="697" width="8.42578125" style="172" customWidth="1"/>
    <col min="698" max="698" width="10.7109375" style="172" customWidth="1"/>
    <col min="699" max="699" width="13.28515625" style="172" customWidth="1"/>
    <col min="700" max="700" width="10.7109375" style="172" customWidth="1"/>
    <col min="701" max="701" width="13.28515625" style="172" customWidth="1"/>
    <col min="702" max="702" width="10.7109375" style="172" customWidth="1"/>
    <col min="703" max="703" width="8.42578125" style="172" customWidth="1"/>
    <col min="704" max="704" width="10.7109375" style="172" customWidth="1"/>
    <col min="705" max="705" width="13.28515625" style="172" customWidth="1"/>
    <col min="706" max="706" width="10.7109375" style="172" customWidth="1"/>
    <col min="707" max="707" width="13.28515625" style="172" customWidth="1"/>
    <col min="708" max="708" width="10.7109375" style="172" customWidth="1"/>
    <col min="709" max="709" width="8.42578125" style="172" customWidth="1"/>
    <col min="710" max="710" width="10.7109375" style="172" customWidth="1"/>
    <col min="711" max="711" width="13.28515625" style="172" customWidth="1"/>
    <col min="712" max="712" width="10.7109375" style="172" customWidth="1"/>
    <col min="713" max="713" width="13.28515625" style="172" customWidth="1"/>
    <col min="714" max="714" width="10.7109375" style="172" customWidth="1"/>
    <col min="715" max="715" width="7.28515625" style="172" customWidth="1"/>
    <col min="716" max="716" width="9.7109375" style="172" customWidth="1"/>
    <col min="717" max="717" width="13.28515625" style="172" customWidth="1"/>
    <col min="718" max="718" width="10.7109375" style="172" customWidth="1"/>
    <col min="719" max="719" width="13.28515625" style="172" customWidth="1"/>
    <col min="720" max="720" width="10.7109375" style="172" customWidth="1"/>
    <col min="721" max="721" width="13.28515625" style="172" customWidth="1"/>
    <col min="722" max="722" width="9.7109375" style="172" customWidth="1"/>
    <col min="723" max="724" width="13.28515625" style="172" customWidth="1"/>
    <col min="725" max="725" width="10.7109375" style="172" customWidth="1"/>
    <col min="726" max="726" width="13.28515625" style="172" customWidth="1"/>
    <col min="727" max="727" width="10.7109375" style="172" customWidth="1"/>
    <col min="728" max="728" width="13.28515625" style="172" customWidth="1"/>
    <col min="729" max="729" width="9.7109375" style="172" customWidth="1"/>
    <col min="730" max="730" width="13.28515625" style="172" customWidth="1"/>
    <col min="731" max="731" width="10.7109375" style="172" customWidth="1"/>
    <col min="732" max="732" width="8.42578125" style="172" customWidth="1"/>
    <col min="733" max="733" width="10.7109375" style="172" customWidth="1"/>
    <col min="734" max="734" width="13.28515625" style="172" customWidth="1"/>
    <col min="735" max="735" width="10.7109375" style="172" customWidth="1"/>
    <col min="736" max="736" width="13.28515625" style="172" customWidth="1"/>
    <col min="737" max="737" width="10.7109375" style="172" customWidth="1"/>
    <col min="738" max="738" width="8.42578125" style="172" customWidth="1"/>
    <col min="739" max="739" width="10.7109375" style="172" customWidth="1"/>
    <col min="740" max="740" width="13.28515625" style="172" customWidth="1"/>
    <col min="741" max="741" width="9.7109375" style="172" customWidth="1"/>
    <col min="742" max="742" width="8.42578125" style="172" customWidth="1"/>
    <col min="743" max="743" width="10.7109375" style="172" customWidth="1"/>
    <col min="744" max="744" width="8.42578125" style="172" customWidth="1"/>
    <col min="745" max="745" width="10.7109375" style="172" customWidth="1"/>
    <col min="746" max="746" width="13.28515625" style="172" customWidth="1"/>
    <col min="747" max="747" width="10.7109375" style="172" customWidth="1"/>
    <col min="748" max="748" width="13.28515625" style="172" customWidth="1"/>
    <col min="749" max="749" width="10.7109375" style="172" customWidth="1"/>
    <col min="750" max="751" width="9.140625" style="172" customWidth="1"/>
    <col min="752" max="752" width="12.140625" style="172" customWidth="1"/>
    <col min="753" max="753" width="8.7109375" style="172" customWidth="1"/>
    <col min="754" max="754" width="15" style="172" customWidth="1"/>
    <col min="755" max="755" width="10.7109375" style="172" customWidth="1"/>
    <col min="756" max="756" width="23.28515625" style="172" customWidth="1"/>
    <col min="757" max="757" width="15" style="172" customWidth="1"/>
    <col min="758" max="758" width="10.7109375" style="172" customWidth="1"/>
    <col min="759" max="759" width="23.28515625" style="172" customWidth="1"/>
    <col min="760" max="760" width="15" style="172" customWidth="1"/>
    <col min="761" max="761" width="10.7109375" style="172" customWidth="1"/>
    <col min="762" max="762" width="23.28515625" style="172" customWidth="1"/>
    <col min="763" max="763" width="15" style="172" customWidth="1"/>
    <col min="764" max="764" width="10.7109375" style="172" customWidth="1"/>
    <col min="765" max="765" width="23.28515625" style="172" customWidth="1"/>
    <col min="766" max="766" width="15" style="172" customWidth="1"/>
    <col min="767" max="767" width="10.7109375" style="172" customWidth="1"/>
    <col min="768" max="768" width="23.28515625" style="172" customWidth="1"/>
    <col min="769" max="769" width="15" style="172" customWidth="1"/>
    <col min="770" max="770" width="9.7109375" style="172" customWidth="1"/>
    <col min="771" max="771" width="23.28515625" style="172" customWidth="1"/>
    <col min="772" max="772" width="15" style="172" customWidth="1"/>
    <col min="773" max="773" width="10.7109375" style="172" customWidth="1"/>
    <col min="774" max="774" width="23.28515625" style="172" customWidth="1"/>
    <col min="775" max="775" width="20.7109375" style="172" customWidth="1"/>
    <col min="776" max="776" width="10.7109375" style="172" customWidth="1"/>
    <col min="777" max="777" width="12.5703125" style="172" customWidth="1"/>
    <col min="778" max="778" width="13.28515625" style="172" customWidth="1"/>
    <col min="779" max="779" width="10.7109375" style="172" customWidth="1"/>
    <col min="780" max="780" width="12.5703125" style="172" customWidth="1"/>
    <col min="781" max="781" width="13.28515625" style="172" customWidth="1"/>
    <col min="782" max="782" width="10.7109375" style="172" customWidth="1"/>
    <col min="783" max="783" width="12.5703125" style="172" customWidth="1"/>
    <col min="784" max="784" width="10.140625" style="172" customWidth="1"/>
    <col min="785" max="785" width="10.7109375" style="172" customWidth="1"/>
    <col min="786" max="786" width="12.5703125" style="172" customWidth="1"/>
    <col min="787" max="787" width="10.140625" style="172" customWidth="1"/>
    <col min="788" max="788" width="10.7109375" style="172" customWidth="1"/>
    <col min="789" max="789" width="12.5703125" style="172" customWidth="1"/>
    <col min="790" max="790" width="13.28515625" style="172" customWidth="1"/>
    <col min="791" max="791" width="10.7109375" style="172" customWidth="1"/>
    <col min="792" max="792" width="12.5703125" style="172" customWidth="1"/>
    <col min="793" max="793" width="13.28515625" style="172" customWidth="1"/>
    <col min="794" max="794" width="10.7109375" style="172" customWidth="1"/>
    <col min="795" max="795" width="12.5703125" style="172" customWidth="1"/>
    <col min="796" max="796" width="10.140625" style="172" customWidth="1"/>
    <col min="797" max="797" width="10.7109375" style="172" customWidth="1"/>
    <col min="798" max="798" width="12.5703125" style="172" customWidth="1"/>
    <col min="799" max="799" width="10.140625" style="172" customWidth="1"/>
    <col min="800" max="800" width="9.7109375" style="172" customWidth="1"/>
    <col min="801" max="801" width="12.5703125" style="172" customWidth="1"/>
    <col min="802" max="802" width="13.28515625" style="172" customWidth="1"/>
    <col min="803" max="803" width="10.7109375" style="172" customWidth="1"/>
    <col min="804" max="804" width="12.5703125" style="172" customWidth="1"/>
    <col min="805" max="805" width="13.28515625" style="172" customWidth="1"/>
    <col min="806" max="806" width="9.7109375" style="172" customWidth="1"/>
    <col min="807" max="807" width="12.5703125" style="172" customWidth="1"/>
    <col min="808" max="808" width="13.28515625" style="172" customWidth="1"/>
    <col min="809" max="809" width="10.7109375" style="172" customWidth="1"/>
    <col min="810" max="810" width="11.42578125" style="172" customWidth="1"/>
    <col min="811" max="811" width="13.28515625" style="172" customWidth="1"/>
    <col min="812" max="812" width="9.7109375" style="172" customWidth="1"/>
    <col min="813" max="813" width="11.42578125" style="172" customWidth="1"/>
    <col min="814" max="814" width="13.28515625" style="172" customWidth="1"/>
    <col min="815" max="815" width="10.7109375" style="172" customWidth="1"/>
    <col min="816" max="816" width="11.42578125" style="172" customWidth="1"/>
    <col min="817" max="817" width="13.28515625" style="172" customWidth="1"/>
    <col min="818" max="818" width="9.7109375" style="172" customWidth="1"/>
    <col min="819" max="819" width="11.42578125" style="172" customWidth="1"/>
    <col min="820" max="820" width="9" style="172" customWidth="1"/>
    <col min="821" max="821" width="10.7109375" style="172" customWidth="1"/>
    <col min="822" max="822" width="11.42578125" style="172" customWidth="1"/>
    <col min="823" max="823" width="9" style="172" customWidth="1"/>
    <col min="824" max="824" width="9.7109375" style="172" customWidth="1"/>
    <col min="825" max="825" width="11.42578125" style="172" customWidth="1"/>
    <col min="826" max="826" width="13.28515625" style="172" customWidth="1"/>
    <col min="827" max="827" width="10.7109375" style="172" customWidth="1"/>
    <col min="828" max="828" width="11.42578125" style="172" customWidth="1"/>
    <col min="829" max="829" width="9" style="172" customWidth="1"/>
    <col min="830" max="830" width="10.7109375" style="172" customWidth="1"/>
    <col min="831" max="831" width="11.42578125" style="172" customWidth="1"/>
    <col min="832" max="832" width="9" style="172" customWidth="1"/>
    <col min="833" max="833" width="9.7109375" style="172" customWidth="1"/>
    <col min="834" max="834" width="11.42578125" style="172" customWidth="1"/>
    <col min="835" max="835" width="9" style="172" customWidth="1"/>
    <col min="836" max="836" width="9.7109375" style="172" customWidth="1"/>
    <col min="837" max="837" width="11.42578125" style="172" customWidth="1"/>
    <col min="838" max="838" width="13.28515625" style="172" customWidth="1"/>
    <col min="839" max="839" width="9.7109375" style="172" customWidth="1"/>
    <col min="840" max="840" width="11.42578125" style="172" customWidth="1"/>
    <col min="841" max="841" width="9" style="172" customWidth="1"/>
    <col min="842" max="842" width="9.7109375" style="172" customWidth="1"/>
    <col min="843" max="843" width="11.42578125" style="172" customWidth="1"/>
    <col min="844" max="844" width="9" style="172" customWidth="1"/>
    <col min="845" max="845" width="10.7109375" style="172" customWidth="1"/>
    <col min="846" max="846" width="11.42578125" style="172" customWidth="1"/>
    <col min="847" max="847" width="13.28515625" style="172" customWidth="1"/>
    <col min="848" max="848" width="10.7109375" style="172" customWidth="1"/>
    <col min="849" max="849" width="11.42578125" style="172" customWidth="1"/>
    <col min="850" max="850" width="9" style="172" customWidth="1"/>
    <col min="851" max="851" width="9.7109375" style="172" customWidth="1"/>
    <col min="852" max="852" width="11.42578125" style="172" customWidth="1"/>
    <col min="853" max="853" width="9" style="172" customWidth="1"/>
    <col min="854" max="854" width="9.7109375" style="172" customWidth="1"/>
    <col min="855" max="855" width="11.42578125" style="172" customWidth="1"/>
    <col min="856" max="856" width="9" style="172" customWidth="1"/>
    <col min="857" max="857" width="9.7109375" style="172" customWidth="1"/>
    <col min="858" max="858" width="11.42578125" style="172" customWidth="1"/>
    <col min="859" max="859" width="13.28515625" style="172" customWidth="1"/>
    <col min="860" max="860" width="10.7109375" style="172" customWidth="1"/>
    <col min="861" max="861" width="11.42578125" style="172" customWidth="1"/>
    <col min="862" max="862" width="9" style="172" customWidth="1"/>
    <col min="863" max="863" width="9.7109375" style="172" customWidth="1"/>
    <col min="864" max="864" width="11.42578125" style="172" customWidth="1"/>
    <col min="865" max="865" width="9" style="172" customWidth="1"/>
    <col min="866" max="866" width="9.7109375" style="172" customWidth="1"/>
    <col min="867" max="867" width="11.42578125" style="172" customWidth="1"/>
    <col min="868" max="868" width="13.28515625" style="172" customWidth="1"/>
    <col min="869" max="869" width="10.7109375" style="172" customWidth="1"/>
    <col min="870" max="870" width="11.42578125" style="172" customWidth="1"/>
    <col min="871" max="871" width="9" style="172" customWidth="1"/>
    <col min="872" max="872" width="9.7109375" style="172" customWidth="1"/>
    <col min="873" max="873" width="11.42578125" style="172" customWidth="1"/>
    <col min="874" max="874" width="9" style="172" customWidth="1"/>
    <col min="875" max="875" width="10.7109375" style="172" customWidth="1"/>
    <col min="876" max="876" width="11.42578125" style="172" customWidth="1"/>
    <col min="877" max="877" width="13.28515625" style="172" customWidth="1"/>
    <col min="878" max="878" width="9.7109375" style="172" customWidth="1"/>
    <col min="879" max="879" width="11.42578125" style="172" customWidth="1"/>
    <col min="880" max="880" width="4.85546875" style="172" customWidth="1"/>
    <col min="881" max="881" width="7" style="172" customWidth="1"/>
    <col min="882" max="882" width="7.28515625" style="172" customWidth="1"/>
    <col min="883" max="883" width="9.7109375" style="172" customWidth="1"/>
    <col min="884" max="886" width="13.28515625" style="172" customWidth="1"/>
    <col min="887" max="887" width="9.7109375" style="172" customWidth="1"/>
    <col min="888" max="888" width="7.28515625" style="172" customWidth="1"/>
    <col min="889" max="889" width="9.7109375" style="172" customWidth="1"/>
    <col min="890" max="891" width="13.28515625" style="172" customWidth="1"/>
    <col min="892" max="892" width="9.7109375" style="172" customWidth="1"/>
    <col min="893" max="893" width="13.28515625" style="172" customWidth="1"/>
    <col min="894" max="894" width="9.7109375" style="172" customWidth="1"/>
    <col min="895" max="897" width="13.28515625" style="172" customWidth="1"/>
    <col min="898" max="898" width="8.5703125" style="172" customWidth="1"/>
    <col min="899" max="899" width="13.28515625" style="172" customWidth="1"/>
    <col min="900" max="900" width="9.7109375" style="172" customWidth="1"/>
    <col min="901" max="902" width="7.28515625" style="172" customWidth="1"/>
    <col min="903" max="903" width="9.7109375" style="172" customWidth="1"/>
    <col min="904" max="904" width="13.28515625" style="172" customWidth="1"/>
    <col min="905" max="905" width="9.7109375" style="172" customWidth="1"/>
    <col min="906" max="906" width="13.28515625" style="172" customWidth="1"/>
    <col min="907" max="907" width="9.7109375" style="172" customWidth="1"/>
    <col min="908" max="908" width="8.42578125" style="172" customWidth="1"/>
    <col min="909" max="909" width="10.7109375" style="172" customWidth="1"/>
    <col min="910" max="910" width="8.42578125" style="172" customWidth="1"/>
    <col min="911" max="911" width="10.7109375" style="172" customWidth="1"/>
    <col min="912" max="913" width="13.28515625" style="172" customWidth="1"/>
    <col min="914" max="914" width="10.7109375" style="172" customWidth="1"/>
    <col min="915" max="917" width="13.28515625" style="172" customWidth="1"/>
    <col min="918" max="918" width="10.7109375" style="172" customWidth="1"/>
    <col min="919" max="920" width="13.28515625" style="172" customWidth="1"/>
    <col min="921" max="921" width="10.7109375" style="172" customWidth="1"/>
    <col min="922" max="922" width="13.28515625" style="172" customWidth="1"/>
    <col min="923" max="923" width="10.7109375" style="172" customWidth="1"/>
    <col min="924" max="924" width="8.42578125" style="172" customWidth="1"/>
    <col min="925" max="925" width="10.7109375" style="172" customWidth="1"/>
    <col min="926" max="926" width="13.28515625" style="172" customWidth="1"/>
    <col min="927" max="927" width="10.7109375" style="172" customWidth="1"/>
    <col min="928" max="928" width="13.28515625" style="172" customWidth="1"/>
    <col min="929" max="929" width="10.7109375" style="172" customWidth="1"/>
    <col min="930" max="931" width="8.42578125" style="172" customWidth="1"/>
    <col min="932" max="932" width="10.7109375" style="172" customWidth="1"/>
    <col min="933" max="933" width="13.28515625" style="172" customWidth="1"/>
    <col min="934" max="934" width="10.7109375" style="172" customWidth="1"/>
    <col min="935" max="935" width="8.42578125" style="172" customWidth="1"/>
    <col min="936" max="936" width="10.7109375" style="172" customWidth="1"/>
    <col min="937" max="939" width="13.28515625" style="172" customWidth="1"/>
    <col min="940" max="940" width="10.7109375" style="172" customWidth="1"/>
    <col min="941" max="941" width="8.42578125" style="172" customWidth="1"/>
    <col min="942" max="942" width="10.7109375" style="172" customWidth="1"/>
    <col min="943" max="943" width="13.28515625" style="172" customWidth="1"/>
    <col min="944" max="944" width="10.7109375" style="172" customWidth="1"/>
    <col min="945" max="945" width="8.42578125" style="172" customWidth="1"/>
    <col min="946" max="946" width="10.7109375" style="172" customWidth="1"/>
    <col min="947" max="947" width="13.28515625" style="172" customWidth="1"/>
    <col min="948" max="948" width="10.7109375" style="172" customWidth="1"/>
    <col min="949" max="949" width="13.28515625" style="172" customWidth="1"/>
    <col min="950" max="950" width="10.7109375" style="172" customWidth="1"/>
    <col min="951" max="951" width="8.42578125" style="172" customWidth="1"/>
    <col min="952" max="952" width="10.7109375" style="172" customWidth="1"/>
    <col min="953" max="953" width="13.28515625" style="172" customWidth="1"/>
    <col min="954" max="954" width="10.7109375" style="172" customWidth="1"/>
    <col min="955" max="955" width="13.28515625" style="172" customWidth="1"/>
    <col min="956" max="956" width="10.7109375" style="172" customWidth="1"/>
    <col min="957" max="957" width="8.42578125" style="172" customWidth="1"/>
    <col min="958" max="958" width="10.7109375" style="172" customWidth="1"/>
    <col min="959" max="959" width="13.28515625" style="172" customWidth="1"/>
    <col min="960" max="960" width="10.7109375" style="172" customWidth="1"/>
    <col min="961" max="961" width="13.28515625" style="172" customWidth="1"/>
    <col min="962" max="962" width="10.7109375" style="172" customWidth="1"/>
    <col min="963" max="963" width="8.42578125" style="172" customWidth="1"/>
    <col min="964" max="964" width="10.7109375" style="172" customWidth="1"/>
    <col min="965" max="965" width="13.28515625" style="172" customWidth="1"/>
    <col min="966" max="966" width="10.7109375" style="172" customWidth="1"/>
    <col min="967" max="967" width="13.28515625" style="172" customWidth="1"/>
    <col min="968" max="968" width="10.7109375" style="172" customWidth="1"/>
    <col min="969" max="969" width="8.42578125" style="172" customWidth="1"/>
    <col min="970" max="970" width="10.7109375" style="172" customWidth="1"/>
    <col min="971" max="971" width="13.28515625" style="172" customWidth="1"/>
    <col min="972" max="972" width="10.7109375" style="172" customWidth="1"/>
    <col min="973" max="973" width="13.28515625" style="172" customWidth="1"/>
    <col min="974" max="974" width="10.7109375" style="172" customWidth="1"/>
    <col min="975" max="975" width="7.28515625" style="172" customWidth="1"/>
    <col min="976" max="976" width="9.7109375" style="172" customWidth="1"/>
    <col min="977" max="977" width="13.28515625" style="172" customWidth="1"/>
    <col min="978" max="978" width="10.7109375" style="172" customWidth="1"/>
    <col min="979" max="979" width="13.28515625" style="172" customWidth="1"/>
    <col min="980" max="980" width="10.7109375" style="172" customWidth="1"/>
    <col min="981" max="981" width="13.28515625" style="172" customWidth="1"/>
    <col min="982" max="982" width="9.7109375" style="172" customWidth="1"/>
    <col min="983" max="984" width="13.28515625" style="172" customWidth="1"/>
    <col min="985" max="985" width="10.7109375" style="172" customWidth="1"/>
    <col min="986" max="986" width="13.28515625" style="172" customWidth="1"/>
    <col min="987" max="987" width="10.7109375" style="172" customWidth="1"/>
    <col min="988" max="988" width="13.28515625" style="172" customWidth="1"/>
    <col min="989" max="989" width="9.7109375" style="172" customWidth="1"/>
    <col min="990" max="990" width="13.28515625" style="172" customWidth="1"/>
    <col min="991" max="991" width="10.7109375" style="172" customWidth="1"/>
    <col min="992" max="992" width="8.42578125" style="172" customWidth="1"/>
    <col min="993" max="993" width="10.7109375" style="172" customWidth="1"/>
    <col min="994" max="994" width="13.28515625" style="172" customWidth="1"/>
    <col min="995" max="995" width="10.7109375" style="172" customWidth="1"/>
    <col min="996" max="996" width="13.28515625" style="172" customWidth="1"/>
    <col min="997" max="997" width="10.7109375" style="172" customWidth="1"/>
    <col min="998" max="998" width="8.42578125" style="172" customWidth="1"/>
    <col min="999" max="999" width="10.7109375" style="172" customWidth="1"/>
    <col min="1000" max="1000" width="13.28515625" style="172" customWidth="1"/>
    <col min="1001" max="1001" width="9.7109375" style="172" customWidth="1"/>
    <col min="1002" max="1002" width="8.42578125" style="172" customWidth="1"/>
    <col min="1003" max="1003" width="10.7109375" style="172" customWidth="1"/>
    <col min="1004" max="1004" width="8.42578125" style="172" customWidth="1"/>
    <col min="1005" max="1005" width="10.7109375" style="172" customWidth="1"/>
    <col min="1006" max="1006" width="13.28515625" style="172" customWidth="1"/>
    <col min="1007" max="1007" width="10.7109375" style="172" customWidth="1"/>
    <col min="1008" max="1008" width="13.28515625" style="172" customWidth="1"/>
    <col min="1009" max="1009" width="10.7109375" style="172" customWidth="1"/>
    <col min="1010" max="1011" width="9.140625" style="172" customWidth="1"/>
    <col min="1012" max="1012" width="12.140625" style="172" customWidth="1"/>
    <col min="1013" max="1013" width="8.7109375" style="172" customWidth="1"/>
    <col min="1014" max="1014" width="15" style="172" customWidth="1"/>
    <col min="1015" max="1015" width="10.7109375" style="172" customWidth="1"/>
    <col min="1016" max="1016" width="23.28515625" style="172" customWidth="1"/>
    <col min="1017" max="1017" width="15" style="172" customWidth="1"/>
    <col min="1018" max="1018" width="10.7109375" style="172" customWidth="1"/>
    <col min="1019" max="1019" width="23.28515625" style="172" customWidth="1"/>
    <col min="1020" max="1020" width="15" style="172" customWidth="1"/>
    <col min="1021" max="1021" width="10.7109375" style="172" customWidth="1"/>
    <col min="1022" max="1022" width="23.28515625" style="172" customWidth="1"/>
    <col min="1023" max="1023" width="15" style="172" customWidth="1"/>
    <col min="1024" max="1024" width="10.7109375" style="172" customWidth="1"/>
    <col min="1025" max="1025" width="23.28515625" style="172" customWidth="1"/>
    <col min="1026" max="1026" width="15" style="172" customWidth="1"/>
    <col min="1027" max="1027" width="10.7109375" style="172" customWidth="1"/>
    <col min="1028" max="1028" width="23.28515625" style="172" customWidth="1"/>
    <col min="1029" max="1029" width="15" style="172" customWidth="1"/>
    <col min="1030" max="1030" width="9.7109375" style="172" customWidth="1"/>
    <col min="1031" max="1031" width="23.28515625" style="172" customWidth="1"/>
    <col min="1032" max="1032" width="15" style="172" customWidth="1"/>
    <col min="1033" max="1033" width="10.7109375" style="172" customWidth="1"/>
    <col min="1034" max="1034" width="23.28515625" style="172" customWidth="1"/>
    <col min="1035" max="1035" width="28.85546875" style="172" customWidth="1"/>
    <col min="1036" max="1036" width="31.140625" style="172" customWidth="1"/>
    <col min="1037" max="1037" width="28.140625" style="172" customWidth="1"/>
    <col min="1038" max="1038" width="25.7109375" style="172" customWidth="1"/>
    <col min="1039" max="1039" width="10.7109375" style="172" customWidth="1"/>
    <col min="1040" max="1040" width="12.5703125" style="172" customWidth="1"/>
    <col min="1041" max="1041" width="13.28515625" style="172" customWidth="1"/>
    <col min="1042" max="1042" width="10.7109375" style="172" customWidth="1"/>
    <col min="1043" max="1043" width="12.5703125" style="172" customWidth="1"/>
    <col min="1044" max="1044" width="10.140625" style="172" customWidth="1"/>
    <col min="1045" max="1045" width="10.7109375" style="172" customWidth="1"/>
    <col min="1046" max="1046" width="12.5703125" style="172" customWidth="1"/>
    <col min="1047" max="1047" width="10.140625" style="172" customWidth="1"/>
    <col min="1048" max="1048" width="10.7109375" style="172" customWidth="1"/>
    <col min="1049" max="1049" width="12.5703125" style="172" customWidth="1"/>
    <col min="1050" max="1050" width="13.28515625" style="172" customWidth="1"/>
    <col min="1051" max="1051" width="10.7109375" style="172" customWidth="1"/>
    <col min="1052" max="1052" width="12.5703125" style="172" customWidth="1"/>
    <col min="1053" max="1053" width="10.140625" style="172" customWidth="1"/>
    <col min="1054" max="1054" width="9.7109375" style="172" customWidth="1"/>
    <col min="1055" max="1055" width="12.5703125" style="172" customWidth="1"/>
    <col min="1056" max="1056" width="13.28515625" style="172" customWidth="1"/>
    <col min="1057" max="1057" width="9.7109375" style="172" customWidth="1"/>
    <col min="1058" max="1058" width="12.5703125" style="172" customWidth="1"/>
    <col min="1059" max="1059" width="13.28515625" style="172" customWidth="1"/>
    <col min="1060" max="1060" width="9.7109375" style="172" customWidth="1"/>
    <col min="1061" max="1061" width="11.42578125" style="172" customWidth="1"/>
    <col min="1062" max="1062" width="13.28515625" style="172" customWidth="1"/>
    <col min="1063" max="1063" width="10.7109375" style="172" customWidth="1"/>
    <col min="1064" max="1064" width="11.42578125" style="172" customWidth="1"/>
    <col min="1065" max="1065" width="9" style="172" customWidth="1"/>
    <col min="1066" max="1066" width="10.7109375" style="172" customWidth="1"/>
    <col min="1067" max="1067" width="11.42578125" style="172" customWidth="1"/>
    <col min="1068" max="1068" width="13.28515625" style="172" customWidth="1"/>
    <col min="1069" max="1069" width="10.7109375" style="172" customWidth="1"/>
    <col min="1070" max="1070" width="11.42578125" style="172" customWidth="1"/>
    <col min="1071" max="1071" width="9" style="172" customWidth="1"/>
    <col min="1072" max="1072" width="10.7109375" style="172" customWidth="1"/>
    <col min="1073" max="1073" width="11.42578125" style="172" customWidth="1"/>
    <col min="1074" max="1074" width="9" style="172" customWidth="1"/>
    <col min="1075" max="1075" width="9.7109375" style="172" customWidth="1"/>
    <col min="1076" max="1076" width="11.42578125" style="172" customWidth="1"/>
    <col min="1077" max="1077" width="9" style="172" customWidth="1"/>
    <col min="1078" max="1078" width="9.7109375" style="172" customWidth="1"/>
    <col min="1079" max="1079" width="11.42578125" style="172" customWidth="1"/>
    <col min="1080" max="1080" width="13.28515625" style="172" customWidth="1"/>
    <col min="1081" max="1081" width="9.7109375" style="172" customWidth="1"/>
    <col min="1082" max="1082" width="11.42578125" style="172" customWidth="1"/>
    <col min="1083" max="1083" width="9" style="172" customWidth="1"/>
    <col min="1084" max="1084" width="9.7109375" style="172" customWidth="1"/>
    <col min="1085" max="1085" width="11.42578125" style="172" customWidth="1"/>
    <col min="1086" max="1086" width="9" style="172" customWidth="1"/>
    <col min="1087" max="1087" width="10.7109375" style="172" customWidth="1"/>
    <col min="1088" max="1088" width="11.42578125" style="172" customWidth="1"/>
    <col min="1089" max="1089" width="9" style="172" customWidth="1"/>
    <col min="1090" max="1090" width="9.7109375" style="172" customWidth="1"/>
    <col min="1091" max="1091" width="11.42578125" style="172" customWidth="1"/>
    <col min="1092" max="1092" width="9" style="172" customWidth="1"/>
    <col min="1093" max="1093" width="9.7109375" style="172" customWidth="1"/>
    <col min="1094" max="1094" width="11.42578125" style="172" customWidth="1"/>
    <col min="1095" max="1095" width="13.28515625" style="172" customWidth="1"/>
    <col min="1096" max="1096" width="10.7109375" style="172" customWidth="1"/>
    <col min="1097" max="1097" width="11.42578125" style="172" customWidth="1"/>
    <col min="1098" max="1098" width="9" style="172" customWidth="1"/>
    <col min="1099" max="1099" width="9.7109375" style="172" customWidth="1"/>
    <col min="1100" max="1100" width="11.42578125" style="172" customWidth="1"/>
    <col min="1101" max="1101" width="9" style="172" customWidth="1"/>
    <col min="1102" max="1102" width="9.7109375" style="172" customWidth="1"/>
    <col min="1103" max="1103" width="11.42578125" style="172" customWidth="1"/>
    <col min="1104" max="1104" width="13.28515625" style="172" customWidth="1"/>
    <col min="1105" max="1105" width="10.7109375" style="172" customWidth="1"/>
    <col min="1106" max="1106" width="11.42578125" style="172" customWidth="1"/>
    <col min="1107" max="1107" width="9" style="172" customWidth="1"/>
    <col min="1108" max="1108" width="9.7109375" style="172" customWidth="1"/>
    <col min="1109" max="1109" width="11.42578125" style="172" customWidth="1"/>
    <col min="1110" max="1110" width="9" style="172" customWidth="1"/>
    <col min="1111" max="1111" width="10.7109375" style="172" customWidth="1"/>
    <col min="1112" max="1112" width="11.42578125" style="172" customWidth="1"/>
    <col min="1113" max="1113" width="13.28515625" style="172" customWidth="1"/>
    <col min="1114" max="1114" width="9.7109375" style="172" customWidth="1"/>
    <col min="1115" max="1115" width="11.42578125" style="172" customWidth="1"/>
    <col min="1116" max="1116" width="4.85546875" style="172" customWidth="1"/>
    <col min="1117" max="1117" width="7" style="172" customWidth="1"/>
    <col min="1118" max="1118" width="7.28515625" style="172" customWidth="1"/>
    <col min="1119" max="1119" width="9.7109375" style="172" customWidth="1"/>
    <col min="1120" max="1122" width="13.28515625" style="172" customWidth="1"/>
    <col min="1123" max="1123" width="9.7109375" style="172" customWidth="1"/>
    <col min="1124" max="1124" width="7.28515625" style="172" customWidth="1"/>
    <col min="1125" max="1125" width="9.7109375" style="172" customWidth="1"/>
    <col min="1126" max="1127" width="13.28515625" style="172" customWidth="1"/>
    <col min="1128" max="1128" width="9.7109375" style="172" customWidth="1"/>
    <col min="1129" max="1129" width="13.28515625" style="172" customWidth="1"/>
    <col min="1130" max="1130" width="9.7109375" style="172" customWidth="1"/>
    <col min="1131" max="1133" width="13.28515625" style="172" customWidth="1"/>
    <col min="1134" max="1134" width="8.5703125" style="172" customWidth="1"/>
    <col min="1135" max="1135" width="13.28515625" style="172" customWidth="1"/>
    <col min="1136" max="1136" width="9.7109375" style="172" customWidth="1"/>
    <col min="1137" max="1138" width="7.28515625" style="172" customWidth="1"/>
    <col min="1139" max="1139" width="9.7109375" style="172" customWidth="1"/>
    <col min="1140" max="1140" width="13.28515625" style="172" customWidth="1"/>
    <col min="1141" max="1141" width="9.7109375" style="172" customWidth="1"/>
    <col min="1142" max="1142" width="13.28515625" style="172" customWidth="1"/>
    <col min="1143" max="1143" width="9.7109375" style="172" customWidth="1"/>
    <col min="1144" max="1144" width="8.42578125" style="172" customWidth="1"/>
    <col min="1145" max="1145" width="10.7109375" style="172" customWidth="1"/>
    <col min="1146" max="1146" width="8.42578125" style="172" customWidth="1"/>
    <col min="1147" max="1147" width="10.7109375" style="172" customWidth="1"/>
    <col min="1148" max="1149" width="13.28515625" style="172" customWidth="1"/>
    <col min="1150" max="1150" width="10.7109375" style="172" customWidth="1"/>
    <col min="1151" max="1152" width="13.28515625" style="172" customWidth="1"/>
    <col min="1153" max="1153" width="10.7109375" style="172" customWidth="1"/>
    <col min="1154" max="1155" width="13.28515625" style="172" customWidth="1"/>
    <col min="1156" max="1156" width="10.7109375" style="172" customWidth="1"/>
    <col min="1157" max="1157" width="8.42578125" style="172" customWidth="1"/>
    <col min="1158" max="1158" width="10.7109375" style="172" customWidth="1"/>
    <col min="1159" max="1159" width="13.28515625" style="172" customWidth="1"/>
    <col min="1160" max="1160" width="10.7109375" style="172" customWidth="1"/>
    <col min="1161" max="1161" width="13.28515625" style="172" customWidth="1"/>
    <col min="1162" max="1162" width="10.7109375" style="172" customWidth="1"/>
    <col min="1163" max="1164" width="8.42578125" style="172" customWidth="1"/>
    <col min="1165" max="1165" width="10.7109375" style="172" customWidth="1"/>
    <col min="1166" max="1166" width="8.42578125" style="172" customWidth="1"/>
    <col min="1167" max="1167" width="10.7109375" style="172" customWidth="1"/>
    <col min="1168" max="1170" width="13.28515625" style="172" customWidth="1"/>
    <col min="1171" max="1171" width="10.7109375" style="172" customWidth="1"/>
    <col min="1172" max="1172" width="8.42578125" style="172" customWidth="1"/>
    <col min="1173" max="1173" width="10.7109375" style="172" customWidth="1"/>
    <col min="1174" max="1174" width="13.28515625" style="172" customWidth="1"/>
    <col min="1175" max="1175" width="10.7109375" style="172" customWidth="1"/>
    <col min="1176" max="1176" width="8.42578125" style="172" customWidth="1"/>
    <col min="1177" max="1177" width="10.7109375" style="172" customWidth="1"/>
    <col min="1178" max="1178" width="13.28515625" style="172" customWidth="1"/>
    <col min="1179" max="1179" width="10.7109375" style="172" customWidth="1"/>
    <col min="1180" max="1180" width="13.28515625" style="172" customWidth="1"/>
    <col min="1181" max="1181" width="10.7109375" style="172" customWidth="1"/>
    <col min="1182" max="1182" width="8.42578125" style="172" customWidth="1"/>
    <col min="1183" max="1183" width="10.7109375" style="172" customWidth="1"/>
    <col min="1184" max="1184" width="13.28515625" style="172" customWidth="1"/>
    <col min="1185" max="1185" width="10.7109375" style="172" customWidth="1"/>
    <col min="1186" max="1186" width="13.28515625" style="172" customWidth="1"/>
    <col min="1187" max="1187" width="10.7109375" style="172" customWidth="1"/>
    <col min="1188" max="1188" width="8.42578125" style="172" customWidth="1"/>
    <col min="1189" max="1189" width="10.7109375" style="172" customWidth="1"/>
    <col min="1190" max="1190" width="13.28515625" style="172" customWidth="1"/>
    <col min="1191" max="1191" width="10.7109375" style="172" customWidth="1"/>
    <col min="1192" max="1192" width="13.28515625" style="172" customWidth="1"/>
    <col min="1193" max="1193" width="10.7109375" style="172" customWidth="1"/>
    <col min="1194" max="1194" width="8.42578125" style="172" customWidth="1"/>
    <col min="1195" max="1195" width="10.7109375" style="172" customWidth="1"/>
    <col min="1196" max="1196" width="13.28515625" style="172" customWidth="1"/>
    <col min="1197" max="1197" width="10.7109375" style="172" customWidth="1"/>
    <col min="1198" max="1198" width="13.28515625" style="172" customWidth="1"/>
    <col min="1199" max="1199" width="10.7109375" style="172" customWidth="1"/>
    <col min="1200" max="1200" width="8.42578125" style="172" customWidth="1"/>
    <col min="1201" max="1201" width="10.7109375" style="172" customWidth="1"/>
    <col min="1202" max="1202" width="13.28515625" style="172" customWidth="1"/>
    <col min="1203" max="1203" width="10.7109375" style="172" customWidth="1"/>
    <col min="1204" max="1204" width="13.28515625" style="172" customWidth="1"/>
    <col min="1205" max="1205" width="10.7109375" style="172" customWidth="1"/>
    <col min="1206" max="1206" width="7.28515625" style="172" customWidth="1"/>
    <col min="1207" max="1207" width="9.7109375" style="172" customWidth="1"/>
    <col min="1208" max="1208" width="13.28515625" style="172" customWidth="1"/>
    <col min="1209" max="1209" width="10.7109375" style="172" customWidth="1"/>
    <col min="1210" max="1210" width="13.28515625" style="172" customWidth="1"/>
    <col min="1211" max="1211" width="10.7109375" style="172" customWidth="1"/>
    <col min="1212" max="1212" width="13.28515625" style="172" customWidth="1"/>
    <col min="1213" max="1213" width="9.7109375" style="172" customWidth="1"/>
    <col min="1214" max="1215" width="13.28515625" style="172" customWidth="1"/>
    <col min="1216" max="1216" width="10.7109375" style="172" customWidth="1"/>
    <col min="1217" max="1217" width="13.28515625" style="172" customWidth="1"/>
    <col min="1218" max="1218" width="10.7109375" style="172" customWidth="1"/>
    <col min="1219" max="1219" width="13.28515625" style="172" customWidth="1"/>
    <col min="1220" max="1220" width="10.7109375" style="172" customWidth="1"/>
    <col min="1221" max="1221" width="8.42578125" style="172" customWidth="1"/>
    <col min="1222" max="1222" width="10.7109375" style="172" customWidth="1"/>
    <col min="1223" max="1223" width="13.28515625" style="172" customWidth="1"/>
    <col min="1224" max="1224" width="10.7109375" style="172" customWidth="1"/>
    <col min="1225" max="1225" width="13.28515625" style="172" customWidth="1"/>
    <col min="1226" max="1226" width="10.7109375" style="172" customWidth="1"/>
    <col min="1227" max="1227" width="8.42578125" style="172" customWidth="1"/>
    <col min="1228" max="1228" width="10.7109375" style="172" customWidth="1"/>
    <col min="1229" max="1229" width="13.28515625" style="172" customWidth="1"/>
    <col min="1230" max="1230" width="9.7109375" style="172" customWidth="1"/>
    <col min="1231" max="1231" width="8.42578125" style="172" customWidth="1"/>
    <col min="1232" max="1232" width="10.7109375" style="172" customWidth="1"/>
    <col min="1233" max="1233" width="8.42578125" style="172" customWidth="1"/>
    <col min="1234" max="1234" width="10.7109375" style="172" customWidth="1"/>
    <col min="1235" max="1235" width="13.28515625" style="172" customWidth="1"/>
    <col min="1236" max="1236" width="10.7109375" style="172" customWidth="1"/>
    <col min="1237" max="1237" width="13.28515625" style="172" customWidth="1"/>
    <col min="1238" max="1238" width="10.7109375" style="172" customWidth="1"/>
    <col min="1239" max="1240" width="9.140625" style="172"/>
    <col min="1241" max="1241" width="12.140625" style="172" customWidth="1"/>
    <col min="1242" max="1242" width="8.7109375" style="172" customWidth="1"/>
    <col min="1243" max="1243" width="15" style="172" customWidth="1"/>
    <col min="1244" max="1244" width="10.7109375" style="172" customWidth="1"/>
    <col min="1245" max="1245" width="23.28515625" style="172" customWidth="1"/>
    <col min="1246" max="1246" width="15" style="172" customWidth="1"/>
    <col min="1247" max="1247" width="10.7109375" style="172" customWidth="1"/>
    <col min="1248" max="1248" width="23.28515625" style="172" customWidth="1"/>
    <col min="1249" max="1249" width="15" style="172" customWidth="1"/>
    <col min="1250" max="1250" width="10.7109375" style="172" customWidth="1"/>
    <col min="1251" max="1251" width="23.28515625" style="172" customWidth="1"/>
    <col min="1252" max="1252" width="15" style="172" customWidth="1"/>
    <col min="1253" max="1253" width="10.7109375" style="172" customWidth="1"/>
    <col min="1254" max="1254" width="23.28515625" style="172" customWidth="1"/>
    <col min="1255" max="1255" width="15" style="172" customWidth="1"/>
    <col min="1256" max="1256" width="9.7109375" style="172" customWidth="1"/>
    <col min="1257" max="1257" width="23.28515625" style="172" customWidth="1"/>
    <col min="1258" max="1258" width="15" style="172" customWidth="1"/>
    <col min="1259" max="1259" width="10.7109375" style="172" customWidth="1"/>
    <col min="1260" max="1260" width="23.28515625" style="172" customWidth="1"/>
    <col min="1261" max="1261" width="8.7109375" style="172" customWidth="1"/>
    <col min="1262" max="1262" width="13.28515625" style="172" customWidth="1"/>
    <col min="1263" max="1263" width="10.7109375" style="172" customWidth="1"/>
    <col min="1264" max="1264" width="12.5703125" style="172" customWidth="1"/>
    <col min="1265" max="1265" width="10.140625" style="172" customWidth="1"/>
    <col min="1266" max="1266" width="10.7109375" style="172" customWidth="1"/>
    <col min="1267" max="1267" width="12.5703125" style="172" customWidth="1"/>
    <col min="1268" max="1268" width="13.28515625" style="172" customWidth="1"/>
    <col min="1269" max="1269" width="10.7109375" style="172" customWidth="1"/>
    <col min="1270" max="1270" width="11.42578125" style="172" customWidth="1"/>
    <col min="1271" max="1271" width="9" style="172" customWidth="1"/>
    <col min="1272" max="1272" width="9.7109375" style="172" customWidth="1"/>
    <col min="1273" max="1273" width="11.42578125" style="172" customWidth="1"/>
    <col min="1274" max="1274" width="15" style="172" customWidth="1"/>
    <col min="1275" max="1275" width="10.7109375" style="172" customWidth="1"/>
    <col min="1276" max="1276" width="23.28515625" style="172" customWidth="1"/>
    <col min="1277" max="1277" width="7" style="172" customWidth="1"/>
    <col min="1278" max="1278" width="7.28515625" style="172" customWidth="1"/>
    <col min="1279" max="1279" width="9.7109375" style="172" customWidth="1"/>
    <col min="1280" max="1280" width="13.28515625" style="172" customWidth="1"/>
    <col min="1281" max="1281" width="10.7109375" style="172" customWidth="1"/>
    <col min="1282" max="1283" width="7" style="172" customWidth="1"/>
    <col min="1284" max="1284" width="13.28515625" style="172" customWidth="1"/>
    <col min="1285" max="1285" width="9.7109375" style="172" customWidth="1"/>
    <col min="1286" max="1286" width="11.42578125" style="172" customWidth="1"/>
    <col min="1287" max="1287" width="9" style="172" customWidth="1"/>
    <col min="1288" max="1288" width="9.7109375" style="172" customWidth="1"/>
    <col min="1289" max="1289" width="11.42578125" style="172" customWidth="1"/>
    <col min="1290" max="1290" width="7.28515625" style="172" customWidth="1"/>
    <col min="1291" max="1291" width="9.7109375" style="172" customWidth="1"/>
    <col min="1292" max="1292" width="13.28515625" style="172" customWidth="1"/>
    <col min="1293" max="1293" width="10.7109375" style="172" customWidth="1"/>
    <col min="1294" max="1294" width="13.28515625" style="172" customWidth="1"/>
    <col min="1295" max="1295" width="9.7109375" style="172" customWidth="1"/>
    <col min="1296" max="1297" width="7.140625" style="172" customWidth="1"/>
    <col min="1298" max="1298" width="7.28515625" style="172" customWidth="1"/>
    <col min="1299" max="1299" width="9.7109375" style="172" customWidth="1"/>
    <col min="1300" max="1300" width="13.28515625" style="172" customWidth="1"/>
    <col min="1301" max="1301" width="10.7109375" style="172" customWidth="1"/>
    <col min="1302" max="1303" width="7" style="172" customWidth="1"/>
    <col min="1304" max="1304" width="13.28515625" style="172" customWidth="1"/>
    <col min="1305" max="1305" width="10.7109375" style="172" customWidth="1"/>
    <col min="1306" max="1306" width="13.28515625" style="172" customWidth="1"/>
    <col min="1307" max="1307" width="10.7109375" style="172" customWidth="1"/>
    <col min="1308" max="1309" width="7.140625" style="172" customWidth="1"/>
    <col min="1310" max="1310" width="13.28515625" style="172" customWidth="1"/>
    <col min="1311" max="1311" width="10.7109375" style="172" customWidth="1"/>
    <col min="1312" max="1312" width="7" style="172" customWidth="1"/>
    <col min="1313" max="1313" width="8.140625" style="172" customWidth="1"/>
    <col min="1314" max="1314" width="8.42578125" style="172" customWidth="1"/>
    <col min="1315" max="1315" width="10.7109375" style="172" customWidth="1"/>
    <col min="1316" max="1316" width="8.42578125" style="172" customWidth="1"/>
    <col min="1317" max="1317" width="10.7109375" style="172" customWidth="1"/>
    <col min="1318" max="1318" width="7" style="172" customWidth="1"/>
    <col min="1319" max="1319" width="8.140625" style="172" customWidth="1"/>
    <col min="1320" max="1320" width="13.28515625" style="172" customWidth="1"/>
    <col min="1321" max="1321" width="10.7109375" style="172" customWidth="1"/>
    <col min="1322" max="1322" width="12.5703125" style="172" customWidth="1"/>
    <col min="1323" max="1323" width="9" style="172" customWidth="1"/>
    <col min="1324" max="1324" width="9.7109375" style="172" customWidth="1"/>
    <col min="1325" max="1325" width="11.42578125" style="172" customWidth="1"/>
    <col min="1326" max="1326" width="9" style="172" customWidth="1"/>
    <col min="1327" max="1327" width="9.7109375" style="172" customWidth="1"/>
    <col min="1328" max="1328" width="11.42578125" style="172" customWidth="1"/>
    <col min="1329" max="1329" width="13.28515625" style="172" customWidth="1"/>
    <col min="1330" max="1330" width="9.7109375" style="172" customWidth="1"/>
    <col min="1331" max="1331" width="8.42578125" style="172" customWidth="1"/>
    <col min="1332" max="1332" width="10.7109375" style="172" customWidth="1"/>
    <col min="1333" max="1333" width="13.28515625" style="172" customWidth="1"/>
    <col min="1334" max="1334" width="10.7109375" style="172" customWidth="1"/>
    <col min="1335" max="1335" width="13.28515625" style="172" customWidth="1"/>
    <col min="1336" max="1336" width="10.7109375" style="172" customWidth="1"/>
    <col min="1337" max="1337" width="7" style="172" customWidth="1"/>
    <col min="1338" max="1338" width="8.140625" style="172" customWidth="1"/>
    <col min="1339" max="1339" width="7.28515625" style="172" customWidth="1"/>
    <col min="1340" max="1340" width="9.7109375" style="172" customWidth="1"/>
    <col min="1341" max="1341" width="13.28515625" style="172" customWidth="1"/>
    <col min="1342" max="1342" width="10.7109375" style="172" customWidth="1"/>
    <col min="1343" max="1343" width="13.28515625" style="172" customWidth="1"/>
    <col min="1344" max="1344" width="10.7109375" style="172" customWidth="1"/>
    <col min="1345" max="1345" width="8.42578125" style="172" customWidth="1"/>
    <col min="1346" max="1346" width="10.7109375" style="172" customWidth="1"/>
    <col min="1347" max="1347" width="7" style="172" customWidth="1"/>
    <col min="1348" max="1348" width="8.140625" style="172" customWidth="1"/>
    <col min="1349" max="1349" width="13.28515625" style="172" customWidth="1"/>
    <col min="1350" max="1350" width="10.7109375" style="172" customWidth="1"/>
    <col min="1351" max="1351" width="11.42578125" style="172" customWidth="1"/>
    <col min="1352" max="1352" width="8.140625" style="172" customWidth="1"/>
    <col min="1353" max="1353" width="13.28515625" style="172" customWidth="1"/>
    <col min="1354" max="1354" width="9.7109375" style="172" customWidth="1"/>
    <col min="1355" max="1355" width="7" style="172" customWidth="1"/>
    <col min="1356" max="1356" width="8.140625" style="172" customWidth="1"/>
    <col min="1357" max="1357" width="7.28515625" style="172" customWidth="1"/>
    <col min="1358" max="1358" width="9.7109375" style="172" customWidth="1"/>
    <col min="1359" max="1359" width="8.42578125" style="172" customWidth="1"/>
    <col min="1360" max="1360" width="10.7109375" style="172" customWidth="1"/>
    <col min="1361" max="1361" width="8.42578125" style="172" customWidth="1"/>
    <col min="1362" max="1362" width="10.7109375" style="172" customWidth="1"/>
    <col min="1363" max="1363" width="8.42578125" style="172" customWidth="1"/>
    <col min="1364" max="1364" width="10.7109375" style="172" customWidth="1"/>
    <col min="1365" max="1365" width="13.28515625" style="172" customWidth="1"/>
    <col min="1366" max="1366" width="10.7109375" style="172" customWidth="1"/>
    <col min="1367" max="1367" width="13.28515625" style="172" customWidth="1"/>
    <col min="1368" max="1368" width="10.7109375" style="172" customWidth="1"/>
    <col min="1369" max="1369" width="7.140625" style="172" customWidth="1"/>
    <col min="1370" max="1370" width="8.140625" style="172" customWidth="1"/>
    <col min="1371" max="1371" width="28.85546875" style="172" customWidth="1"/>
    <col min="1372" max="1372" width="31.140625" style="172" customWidth="1"/>
    <col min="1373" max="1373" width="28.140625" style="172" customWidth="1"/>
    <col min="1374" max="1374" width="25.7109375" style="172" customWidth="1"/>
    <col min="1375" max="16384" width="9.140625" style="172"/>
  </cols>
  <sheetData>
    <row r="1" spans="1:18">
      <c r="A1" s="171">
        <v>8</v>
      </c>
      <c r="C1" s="173"/>
      <c r="K1" s="172"/>
      <c r="L1" s="174" t="s">
        <v>687</v>
      </c>
    </row>
    <row r="2" spans="1:18" s="176" customFormat="1" ht="18.75" thickBot="1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5">
        <v>1</v>
      </c>
      <c r="M2" s="172"/>
      <c r="N2" s="172"/>
    </row>
    <row r="3" spans="1:18" ht="43.5" thickBot="1">
      <c r="A3" s="177" t="s">
        <v>688</v>
      </c>
      <c r="B3" s="178" t="s">
        <v>689</v>
      </c>
      <c r="C3" s="178" t="s">
        <v>690</v>
      </c>
      <c r="D3" s="178" t="s">
        <v>691</v>
      </c>
      <c r="E3" s="178" t="s">
        <v>692</v>
      </c>
      <c r="F3" s="178" t="s">
        <v>693</v>
      </c>
      <c r="G3" s="178" t="s">
        <v>694</v>
      </c>
      <c r="H3" s="179" t="s">
        <v>695</v>
      </c>
      <c r="I3" s="179" t="s">
        <v>696</v>
      </c>
      <c r="J3" s="180" t="s">
        <v>697</v>
      </c>
      <c r="K3" s="181" t="s">
        <v>698</v>
      </c>
      <c r="L3" s="182" t="s">
        <v>699</v>
      </c>
      <c r="M3" s="178" t="s">
        <v>700</v>
      </c>
      <c r="N3" s="183" t="s">
        <v>701</v>
      </c>
      <c r="P3" s="174" t="s">
        <v>702</v>
      </c>
    </row>
    <row r="4" spans="1:18">
      <c r="A4" s="184">
        <v>45746</v>
      </c>
      <c r="B4" s="185" t="s">
        <v>703</v>
      </c>
      <c r="C4" s="186" t="s">
        <v>704</v>
      </c>
      <c r="D4" s="186">
        <v>523610</v>
      </c>
      <c r="E4" s="186"/>
      <c r="F4" s="187" t="str">
        <f>+"Vacation Accrual+Reversal Empl. Locaux "&amp;'[1]JV FTE+EPAMED'!A1</f>
        <v>Vacation Accrual+Reversal Empl. Locaux AVRIL 25</v>
      </c>
      <c r="G4" s="186">
        <v>120</v>
      </c>
      <c r="H4" s="188" t="str">
        <f>+IF(P4&gt;0,P4,"")</f>
        <v/>
      </c>
      <c r="I4" s="188">
        <f>+IF(H4&lt;&gt;"","",-P4)</f>
        <v>0.79615384615385665</v>
      </c>
      <c r="J4" s="188">
        <f>+IF(H4="",-I4,H4)</f>
        <v>-0.79615384615385665</v>
      </c>
      <c r="K4" s="189" t="s">
        <v>705</v>
      </c>
      <c r="L4" s="188">
        <f>+J4*L2</f>
        <v>-0.79615384615385665</v>
      </c>
      <c r="M4" s="186" t="s">
        <v>704</v>
      </c>
      <c r="N4" s="190">
        <f>+LEN(F4)</f>
        <v>47</v>
      </c>
      <c r="P4" s="191">
        <f>+SUMIF('VAC+13th (2)'!$D:$D,'JV VAC+13th'!$G4,'VAC+13th (2)'!$AY:$AY)+SUMIF('VAC+13th (2)'!$D:$D,'JV VAC+13th'!$G4,'VAC+13th (2)'!$BL:$BL)</f>
        <v>-0.79615384615385665</v>
      </c>
      <c r="Q4" s="192" t="s">
        <v>706</v>
      </c>
      <c r="R4" s="172" t="s">
        <v>23</v>
      </c>
    </row>
    <row r="5" spans="1:18">
      <c r="A5" s="193">
        <f t="shared" ref="A5:A67" si="0">+$A$4</f>
        <v>45746</v>
      </c>
      <c r="B5" s="194" t="str">
        <f>+$B$4</f>
        <v>SAL00715</v>
      </c>
      <c r="C5" s="186" t="s">
        <v>704</v>
      </c>
      <c r="D5" s="186">
        <v>523610</v>
      </c>
      <c r="E5" s="186"/>
      <c r="F5" s="186" t="str">
        <f>+F4</f>
        <v>Vacation Accrual+Reversal Empl. Locaux AVRIL 25</v>
      </c>
      <c r="G5" s="186">
        <v>140</v>
      </c>
      <c r="H5" s="188" t="str">
        <f t="shared" ref="H5:H34" si="1">+IF(P5&gt;0,P5,"")</f>
        <v/>
      </c>
      <c r="I5" s="188">
        <f t="shared" ref="I5:I34" si="2">+IF(H5&lt;&gt;"","",-P5)</f>
        <v>166</v>
      </c>
      <c r="J5" s="188">
        <f t="shared" ref="J5:J67" si="3">+IF(H5="",-I5,H5)</f>
        <v>-166</v>
      </c>
      <c r="K5" s="195" t="s">
        <v>705</v>
      </c>
      <c r="L5" s="196">
        <f>+J5*L$2</f>
        <v>-166</v>
      </c>
      <c r="M5" s="186" t="s">
        <v>704</v>
      </c>
      <c r="N5" s="190">
        <f>+LEN(F5)</f>
        <v>47</v>
      </c>
      <c r="P5" s="191">
        <f>+SUMIF('VAC+13th (2)'!$D:$D,'JV VAC+13th'!$G5,'VAC+13th (2)'!$AY:$AY)+SUMIF('VAC+13th (2)'!$D:$D,'JV VAC+13th'!$G5,'VAC+13th (2)'!$BL:$BL)</f>
        <v>-166</v>
      </c>
      <c r="Q5" s="192" t="s">
        <v>707</v>
      </c>
      <c r="R5" s="172" t="s">
        <v>708</v>
      </c>
    </row>
    <row r="6" spans="1:18">
      <c r="A6" s="193">
        <f t="shared" si="0"/>
        <v>45746</v>
      </c>
      <c r="B6" s="194" t="str">
        <f t="shared" ref="B6:B35" si="4">+$B$4</f>
        <v>SAL00715</v>
      </c>
      <c r="C6" s="186" t="s">
        <v>704</v>
      </c>
      <c r="D6" s="186">
        <v>523610</v>
      </c>
      <c r="E6" s="186"/>
      <c r="F6" s="186" t="str">
        <f t="shared" ref="F6:F35" si="5">+F5</f>
        <v>Vacation Accrual+Reversal Empl. Locaux AVRIL 25</v>
      </c>
      <c r="G6" s="186">
        <v>160</v>
      </c>
      <c r="H6" s="188" t="str">
        <f t="shared" si="1"/>
        <v/>
      </c>
      <c r="I6" s="188">
        <f t="shared" si="2"/>
        <v>177.22442307692302</v>
      </c>
      <c r="J6" s="188">
        <f t="shared" si="3"/>
        <v>-177.22442307692302</v>
      </c>
      <c r="K6" s="195" t="s">
        <v>705</v>
      </c>
      <c r="L6" s="196">
        <f t="shared" ref="L6:L67" si="6">+J6*L$2</f>
        <v>-177.22442307692302</v>
      </c>
      <c r="M6" s="186" t="s">
        <v>704</v>
      </c>
      <c r="N6" s="190">
        <f>+LEN(F6)</f>
        <v>47</v>
      </c>
      <c r="P6" s="191">
        <f>+SUMIF('VAC+13th (2)'!$D:$D,'JV VAC+13th'!$G6,'VAC+13th (2)'!$AY:$AY)+SUMIF('VAC+13th (2)'!$D:$D,'JV VAC+13th'!$G6,'VAC+13th (2)'!$BL:$BL)</f>
        <v>-177.22442307692302</v>
      </c>
      <c r="Q6" s="192" t="s">
        <v>709</v>
      </c>
      <c r="R6" s="172" t="s">
        <v>25</v>
      </c>
    </row>
    <row r="7" spans="1:18">
      <c r="A7" s="193">
        <f t="shared" si="0"/>
        <v>45746</v>
      </c>
      <c r="B7" s="194" t="str">
        <f t="shared" si="4"/>
        <v>SAL00715</v>
      </c>
      <c r="C7" s="186" t="s">
        <v>704</v>
      </c>
      <c r="D7" s="186">
        <v>523610</v>
      </c>
      <c r="E7" s="186"/>
      <c r="F7" s="186" t="str">
        <f t="shared" si="5"/>
        <v>Vacation Accrual+Reversal Empl. Locaux AVRIL 25</v>
      </c>
      <c r="G7" s="186">
        <v>212</v>
      </c>
      <c r="H7" s="188" t="str">
        <f t="shared" si="1"/>
        <v/>
      </c>
      <c r="I7" s="188">
        <f t="shared" si="2"/>
        <v>56.846153846153754</v>
      </c>
      <c r="J7" s="188">
        <f t="shared" si="3"/>
        <v>-56.846153846153754</v>
      </c>
      <c r="K7" s="195" t="s">
        <v>705</v>
      </c>
      <c r="L7" s="196">
        <f t="shared" si="6"/>
        <v>-56.846153846153754</v>
      </c>
      <c r="M7" s="186" t="s">
        <v>704</v>
      </c>
      <c r="N7" s="190">
        <f>+LEN(F7)</f>
        <v>47</v>
      </c>
      <c r="P7" s="191">
        <f>+SUMIF('VAC+13th (2)'!$D:$D,'JV VAC+13th'!$G7,'VAC+13th (2)'!$AY:$AY)+SUMIF('VAC+13th (2)'!$D:$D,'JV VAC+13th'!$G7,'VAC+13th (2)'!$BL:$BL)</f>
        <v>-56.846153846153754</v>
      </c>
      <c r="Q7" s="192" t="s">
        <v>710</v>
      </c>
      <c r="R7" s="172" t="s">
        <v>711</v>
      </c>
    </row>
    <row r="8" spans="1:18">
      <c r="A8" s="193">
        <f t="shared" si="0"/>
        <v>45746</v>
      </c>
      <c r="B8" s="194" t="str">
        <f t="shared" si="4"/>
        <v>SAL00715</v>
      </c>
      <c r="C8" s="186" t="s">
        <v>704</v>
      </c>
      <c r="D8" s="186">
        <v>523610</v>
      </c>
      <c r="E8" s="186"/>
      <c r="F8" s="186" t="str">
        <f t="shared" si="5"/>
        <v>Vacation Accrual+Reversal Empl. Locaux AVRIL 25</v>
      </c>
      <c r="G8" s="186">
        <v>215</v>
      </c>
      <c r="H8" s="188" t="str">
        <f t="shared" si="1"/>
        <v/>
      </c>
      <c r="I8" s="188">
        <f t="shared" si="2"/>
        <v>105.52500000000001</v>
      </c>
      <c r="J8" s="188">
        <f t="shared" si="3"/>
        <v>-105.52500000000001</v>
      </c>
      <c r="K8" s="195" t="s">
        <v>705</v>
      </c>
      <c r="L8" s="196">
        <f t="shared" si="6"/>
        <v>-105.52500000000001</v>
      </c>
      <c r="M8" s="186" t="s">
        <v>704</v>
      </c>
      <c r="N8" s="190">
        <f t="shared" ref="N8:N67" si="7">+LEN(F8)</f>
        <v>47</v>
      </c>
      <c r="P8" s="191">
        <f>+SUMIF('VAC+13th (2)'!$D:$D,'JV VAC+13th'!$G8,'VAC+13th (2)'!$AY:$AY)+SUMIF('VAC+13th (2)'!$D:$D,'JV VAC+13th'!$G8,'VAC+13th (2)'!$BL:$BL)</f>
        <v>-105.52500000000001</v>
      </c>
      <c r="Q8" s="192" t="s">
        <v>712</v>
      </c>
      <c r="R8" s="172" t="s">
        <v>713</v>
      </c>
    </row>
    <row r="9" spans="1:18">
      <c r="A9" s="193">
        <f t="shared" si="0"/>
        <v>45746</v>
      </c>
      <c r="B9" s="194" t="str">
        <f t="shared" si="4"/>
        <v>SAL00715</v>
      </c>
      <c r="C9" s="186" t="s">
        <v>704</v>
      </c>
      <c r="D9" s="186">
        <v>523610</v>
      </c>
      <c r="E9" s="186"/>
      <c r="F9" s="186" t="str">
        <f t="shared" si="5"/>
        <v>Vacation Accrual+Reversal Empl. Locaux AVRIL 25</v>
      </c>
      <c r="G9" s="186">
        <v>216</v>
      </c>
      <c r="H9" s="188" t="str">
        <f t="shared" si="1"/>
        <v/>
      </c>
      <c r="I9" s="188">
        <f t="shared" si="2"/>
        <v>2.1000000000000227</v>
      </c>
      <c r="J9" s="188">
        <f t="shared" si="3"/>
        <v>-2.1000000000000227</v>
      </c>
      <c r="K9" s="195" t="s">
        <v>705</v>
      </c>
      <c r="L9" s="196">
        <f t="shared" si="6"/>
        <v>-2.1000000000000227</v>
      </c>
      <c r="M9" s="186" t="s">
        <v>704</v>
      </c>
      <c r="N9" s="190">
        <f t="shared" si="7"/>
        <v>47</v>
      </c>
      <c r="P9" s="191">
        <f>+SUMIF('VAC+13th (2)'!$D:$D,'JV VAC+13th'!$G9,'VAC+13th (2)'!$AY:$AY)+SUMIF('VAC+13th (2)'!$D:$D,'JV VAC+13th'!$G9,'VAC+13th (2)'!$BL:$BL)</f>
        <v>-2.1000000000000227</v>
      </c>
      <c r="Q9" s="192" t="s">
        <v>714</v>
      </c>
    </row>
    <row r="10" spans="1:18">
      <c r="A10" s="193">
        <f t="shared" si="0"/>
        <v>45746</v>
      </c>
      <c r="B10" s="194" t="str">
        <f t="shared" si="4"/>
        <v>SAL00715</v>
      </c>
      <c r="C10" s="186" t="s">
        <v>704</v>
      </c>
      <c r="D10" s="186">
        <v>523610</v>
      </c>
      <c r="E10" s="186"/>
      <c r="F10" s="186" t="str">
        <f t="shared" si="5"/>
        <v>Vacation Accrual+Reversal Empl. Locaux AVRIL 25</v>
      </c>
      <c r="G10" s="186">
        <v>251</v>
      </c>
      <c r="H10" s="188" t="str">
        <f t="shared" si="1"/>
        <v/>
      </c>
      <c r="I10" s="188">
        <f t="shared" si="2"/>
        <v>136.55000000000001</v>
      </c>
      <c r="J10" s="188">
        <f t="shared" si="3"/>
        <v>-136.55000000000001</v>
      </c>
      <c r="K10" s="195" t="s">
        <v>705</v>
      </c>
      <c r="L10" s="196">
        <f t="shared" si="6"/>
        <v>-136.55000000000001</v>
      </c>
      <c r="M10" s="186" t="s">
        <v>704</v>
      </c>
      <c r="N10" s="190">
        <f t="shared" si="7"/>
        <v>47</v>
      </c>
      <c r="P10" s="191">
        <f>+SUMIF('VAC+13th (2)'!$D:$D,'JV VAC+13th'!$G10,'VAC+13th (2)'!$AY:$AY)+SUMIF('VAC+13th (2)'!$D:$D,'JV VAC+13th'!$G10,'VAC+13th (2)'!$BL:$BL)</f>
        <v>-136.55000000000001</v>
      </c>
      <c r="Q10" s="192"/>
    </row>
    <row r="11" spans="1:18">
      <c r="A11" s="193">
        <f t="shared" si="0"/>
        <v>45746</v>
      </c>
      <c r="B11" s="194" t="str">
        <f t="shared" si="4"/>
        <v>SAL00715</v>
      </c>
      <c r="C11" s="186" t="s">
        <v>704</v>
      </c>
      <c r="D11" s="186">
        <v>523610</v>
      </c>
      <c r="E11" s="186"/>
      <c r="F11" s="186" t="str">
        <f t="shared" si="5"/>
        <v>Vacation Accrual+Reversal Empl. Locaux AVRIL 25</v>
      </c>
      <c r="G11" s="186">
        <v>260</v>
      </c>
      <c r="H11" s="188" t="str">
        <f t="shared" si="1"/>
        <v/>
      </c>
      <c r="I11" s="188">
        <f t="shared" si="2"/>
        <v>13.125000000000007</v>
      </c>
      <c r="J11" s="188">
        <f t="shared" si="3"/>
        <v>-13.125000000000007</v>
      </c>
      <c r="K11" s="195" t="s">
        <v>705</v>
      </c>
      <c r="L11" s="196">
        <f t="shared" si="6"/>
        <v>-13.125000000000007</v>
      </c>
      <c r="M11" s="186" t="s">
        <v>704</v>
      </c>
      <c r="N11" s="190">
        <f t="shared" si="7"/>
        <v>47</v>
      </c>
      <c r="P11" s="191">
        <f>+SUMIF('VAC+13th (2)'!$D:$D,'JV VAC+13th'!$G11,'VAC+13th (2)'!$AY:$AY)+SUMIF('VAC+13th (2)'!$D:$D,'JV VAC+13th'!$G11,'VAC+13th (2)'!$BL:$BL)</f>
        <v>-13.125000000000007</v>
      </c>
      <c r="Q11" s="192"/>
    </row>
    <row r="12" spans="1:18">
      <c r="A12" s="193">
        <f t="shared" si="0"/>
        <v>45746</v>
      </c>
      <c r="B12" s="194" t="str">
        <f t="shared" si="4"/>
        <v>SAL00715</v>
      </c>
      <c r="C12" s="186" t="s">
        <v>704</v>
      </c>
      <c r="D12" s="186">
        <v>523610</v>
      </c>
      <c r="E12" s="186"/>
      <c r="F12" s="186" t="str">
        <f t="shared" si="5"/>
        <v>Vacation Accrual+Reversal Empl. Locaux AVRIL 25</v>
      </c>
      <c r="G12" s="186">
        <v>281</v>
      </c>
      <c r="H12" s="188">
        <f t="shared" si="1"/>
        <v>279.14999999999998</v>
      </c>
      <c r="I12" s="188" t="str">
        <f t="shared" si="2"/>
        <v/>
      </c>
      <c r="J12" s="188">
        <f t="shared" si="3"/>
        <v>279.14999999999998</v>
      </c>
      <c r="K12" s="195" t="s">
        <v>705</v>
      </c>
      <c r="L12" s="196">
        <f t="shared" si="6"/>
        <v>279.14999999999998</v>
      </c>
      <c r="M12" s="186" t="s">
        <v>704</v>
      </c>
      <c r="N12" s="190">
        <f t="shared" si="7"/>
        <v>47</v>
      </c>
      <c r="P12" s="191">
        <f>+SUMIF('VAC+13th (2)'!$D:$D,'JV VAC+13th'!$G12,'VAC+13th (2)'!$AY:$AY)+SUMIF('VAC+13th (2)'!$D:$D,'JV VAC+13th'!$G12,'VAC+13th (2)'!$BL:$BL)</f>
        <v>279.14999999999998</v>
      </c>
      <c r="Q12" s="192"/>
    </row>
    <row r="13" spans="1:18">
      <c r="A13" s="193">
        <f t="shared" si="0"/>
        <v>45746</v>
      </c>
      <c r="B13" s="194" t="str">
        <f t="shared" si="4"/>
        <v>SAL00715</v>
      </c>
      <c r="C13" s="186" t="s">
        <v>704</v>
      </c>
      <c r="D13" s="186">
        <v>523610</v>
      </c>
      <c r="E13" s="186"/>
      <c r="F13" s="186" t="str">
        <f t="shared" si="5"/>
        <v>Vacation Accrual+Reversal Empl. Locaux AVRIL 25</v>
      </c>
      <c r="G13" s="186">
        <v>282</v>
      </c>
      <c r="H13" s="188" t="str">
        <f t="shared" si="1"/>
        <v/>
      </c>
      <c r="I13" s="188">
        <f t="shared" si="2"/>
        <v>14.550000000000011</v>
      </c>
      <c r="J13" s="188">
        <f t="shared" si="3"/>
        <v>-14.550000000000011</v>
      </c>
      <c r="K13" s="195" t="s">
        <v>705</v>
      </c>
      <c r="L13" s="196">
        <f t="shared" si="6"/>
        <v>-14.550000000000011</v>
      </c>
      <c r="M13" s="186" t="s">
        <v>704</v>
      </c>
      <c r="N13" s="190">
        <f t="shared" si="7"/>
        <v>47</v>
      </c>
      <c r="P13" s="191">
        <f>+SUMIF('VAC+13th (2)'!$D:$D,'JV VAC+13th'!$G13,'VAC+13th (2)'!$AY:$AY)+SUMIF('VAC+13th (2)'!$D:$D,'JV VAC+13th'!$G13,'VAC+13th (2)'!$BL:$BL)</f>
        <v>-14.550000000000011</v>
      </c>
      <c r="Q13" s="192"/>
    </row>
    <row r="14" spans="1:18">
      <c r="A14" s="193">
        <f t="shared" si="0"/>
        <v>45746</v>
      </c>
      <c r="B14" s="194" t="str">
        <f t="shared" si="4"/>
        <v>SAL00715</v>
      </c>
      <c r="C14" s="186" t="s">
        <v>704</v>
      </c>
      <c r="D14" s="186">
        <v>523610</v>
      </c>
      <c r="E14" s="186"/>
      <c r="F14" s="186" t="str">
        <f t="shared" si="5"/>
        <v>Vacation Accrual+Reversal Empl. Locaux AVRIL 25</v>
      </c>
      <c r="G14" s="186">
        <v>290</v>
      </c>
      <c r="H14" s="188">
        <f t="shared" si="1"/>
        <v>23.775000000000002</v>
      </c>
      <c r="I14" s="188" t="str">
        <f t="shared" si="2"/>
        <v/>
      </c>
      <c r="J14" s="188">
        <f t="shared" si="3"/>
        <v>23.775000000000002</v>
      </c>
      <c r="K14" s="195" t="s">
        <v>705</v>
      </c>
      <c r="L14" s="196">
        <f t="shared" si="6"/>
        <v>23.775000000000002</v>
      </c>
      <c r="M14" s="186" t="s">
        <v>704</v>
      </c>
      <c r="N14" s="190">
        <f t="shared" si="7"/>
        <v>47</v>
      </c>
      <c r="P14" s="191">
        <f>+SUMIF('VAC+13th (2)'!$D:$D,'JV VAC+13th'!$G14,'VAC+13th (2)'!$AY:$AY)+SUMIF('VAC+13th (2)'!$D:$D,'JV VAC+13th'!$G14,'VAC+13th (2)'!$BL:$BL)</f>
        <v>23.775000000000002</v>
      </c>
      <c r="Q14" s="192"/>
    </row>
    <row r="15" spans="1:18">
      <c r="A15" s="193">
        <f t="shared" si="0"/>
        <v>45746</v>
      </c>
      <c r="B15" s="194" t="str">
        <f t="shared" si="4"/>
        <v>SAL00715</v>
      </c>
      <c r="C15" s="186" t="s">
        <v>704</v>
      </c>
      <c r="D15" s="186">
        <v>523610</v>
      </c>
      <c r="E15" s="186"/>
      <c r="F15" s="186" t="str">
        <f t="shared" si="5"/>
        <v>Vacation Accrual+Reversal Empl. Locaux AVRIL 25</v>
      </c>
      <c r="G15" s="186">
        <v>420</v>
      </c>
      <c r="H15" s="188" t="str">
        <f t="shared" si="1"/>
        <v/>
      </c>
      <c r="I15" s="188">
        <f t="shared" si="2"/>
        <v>75.399999999999977</v>
      </c>
      <c r="J15" s="188">
        <f t="shared" si="3"/>
        <v>-75.399999999999977</v>
      </c>
      <c r="K15" s="195" t="s">
        <v>705</v>
      </c>
      <c r="L15" s="196">
        <f t="shared" si="6"/>
        <v>-75.399999999999977</v>
      </c>
      <c r="M15" s="186" t="s">
        <v>704</v>
      </c>
      <c r="N15" s="190">
        <f t="shared" si="7"/>
        <v>47</v>
      </c>
      <c r="P15" s="191">
        <f>+SUMIF('VAC+13th (2)'!$D:$D,'JV VAC+13th'!$G15,'VAC+13th (2)'!$AY:$AY)+SUMIF('VAC+13th (2)'!$D:$D,'JV VAC+13th'!$G15,'VAC+13th (2)'!$BL:$BL)</f>
        <v>-75.399999999999977</v>
      </c>
      <c r="Q15" s="192"/>
    </row>
    <row r="16" spans="1:18">
      <c r="A16" s="193">
        <f t="shared" si="0"/>
        <v>45746</v>
      </c>
      <c r="B16" s="194" t="str">
        <f t="shared" si="4"/>
        <v>SAL00715</v>
      </c>
      <c r="C16" s="186" t="s">
        <v>704</v>
      </c>
      <c r="D16" s="186">
        <v>523610</v>
      </c>
      <c r="E16" s="186"/>
      <c r="F16" s="186" t="str">
        <f t="shared" si="5"/>
        <v>Vacation Accrual+Reversal Empl. Locaux AVRIL 25</v>
      </c>
      <c r="G16" s="186">
        <v>443</v>
      </c>
      <c r="H16" s="188" t="str">
        <f t="shared" si="1"/>
        <v/>
      </c>
      <c r="I16" s="188">
        <f t="shared" si="2"/>
        <v>111.00000000000001</v>
      </c>
      <c r="J16" s="188">
        <f t="shared" si="3"/>
        <v>-111.00000000000001</v>
      </c>
      <c r="K16" s="195" t="s">
        <v>705</v>
      </c>
      <c r="L16" s="196">
        <f t="shared" si="6"/>
        <v>-111.00000000000001</v>
      </c>
      <c r="M16" s="186" t="s">
        <v>704</v>
      </c>
      <c r="N16" s="190">
        <f t="shared" si="7"/>
        <v>47</v>
      </c>
      <c r="P16" s="191">
        <f>+SUMIF('VAC+13th (2)'!$D:$D,'JV VAC+13th'!$G16,'VAC+13th (2)'!$AY:$AY)+SUMIF('VAC+13th (2)'!$D:$D,'JV VAC+13th'!$G16,'VAC+13th (2)'!$BL:$BL)</f>
        <v>-111.00000000000001</v>
      </c>
      <c r="Q16" s="192"/>
    </row>
    <row r="17" spans="1:17">
      <c r="A17" s="193">
        <f t="shared" si="0"/>
        <v>45746</v>
      </c>
      <c r="B17" s="194" t="str">
        <f t="shared" si="4"/>
        <v>SAL00715</v>
      </c>
      <c r="C17" s="186" t="s">
        <v>704</v>
      </c>
      <c r="D17" s="186">
        <v>523610</v>
      </c>
      <c r="E17" s="186"/>
      <c r="F17" s="186" t="str">
        <f t="shared" si="5"/>
        <v>Vacation Accrual+Reversal Empl. Locaux AVRIL 25</v>
      </c>
      <c r="G17" s="186">
        <v>460</v>
      </c>
      <c r="H17" s="188">
        <f t="shared" si="1"/>
        <v>94.425000000000011</v>
      </c>
      <c r="I17" s="188" t="str">
        <f t="shared" si="2"/>
        <v/>
      </c>
      <c r="J17" s="188">
        <f t="shared" si="3"/>
        <v>94.425000000000011</v>
      </c>
      <c r="K17" s="195" t="s">
        <v>705</v>
      </c>
      <c r="L17" s="196">
        <f t="shared" si="6"/>
        <v>94.425000000000011</v>
      </c>
      <c r="M17" s="186" t="s">
        <v>704</v>
      </c>
      <c r="N17" s="190">
        <f t="shared" si="7"/>
        <v>47</v>
      </c>
      <c r="P17" s="191">
        <f>+SUMIF('VAC+13th (2)'!$D:$D,'JV VAC+13th'!$G17,'VAC+13th (2)'!$AY:$AY)+SUMIF('VAC+13th (2)'!$D:$D,'JV VAC+13th'!$G17,'VAC+13th (2)'!$BL:$BL)</f>
        <v>94.425000000000011</v>
      </c>
      <c r="Q17" s="192"/>
    </row>
    <row r="18" spans="1:17">
      <c r="A18" s="193">
        <f t="shared" si="0"/>
        <v>45746</v>
      </c>
      <c r="B18" s="194" t="str">
        <f t="shared" si="4"/>
        <v>SAL00715</v>
      </c>
      <c r="C18" s="186" t="s">
        <v>704</v>
      </c>
      <c r="D18" s="186">
        <v>523610</v>
      </c>
      <c r="E18" s="186"/>
      <c r="F18" s="186" t="str">
        <f t="shared" si="5"/>
        <v>Vacation Accrual+Reversal Empl. Locaux AVRIL 25</v>
      </c>
      <c r="G18" s="186">
        <v>481</v>
      </c>
      <c r="H18" s="188">
        <f t="shared" si="1"/>
        <v>76.95</v>
      </c>
      <c r="I18" s="188" t="str">
        <f t="shared" si="2"/>
        <v/>
      </c>
      <c r="J18" s="188">
        <f t="shared" si="3"/>
        <v>76.95</v>
      </c>
      <c r="K18" s="195" t="s">
        <v>705</v>
      </c>
      <c r="L18" s="196">
        <f t="shared" si="6"/>
        <v>76.95</v>
      </c>
      <c r="M18" s="186" t="s">
        <v>704</v>
      </c>
      <c r="N18" s="190">
        <f t="shared" si="7"/>
        <v>47</v>
      </c>
      <c r="P18" s="191">
        <f>+SUMIF('VAC+13th (2)'!$D:$D,'JV VAC+13th'!$G18,'VAC+13th (2)'!$AY:$AY)+SUMIF('VAC+13th (2)'!$D:$D,'JV VAC+13th'!$G18,'VAC+13th (2)'!$BL:$BL)</f>
        <v>76.95</v>
      </c>
      <c r="Q18" s="192"/>
    </row>
    <row r="19" spans="1:17">
      <c r="A19" s="193">
        <f t="shared" si="0"/>
        <v>45746</v>
      </c>
      <c r="B19" s="194" t="str">
        <f t="shared" si="4"/>
        <v>SAL00715</v>
      </c>
      <c r="C19" s="186" t="s">
        <v>704</v>
      </c>
      <c r="D19" s="186">
        <v>523610</v>
      </c>
      <c r="E19" s="186"/>
      <c r="F19" s="186" t="str">
        <f t="shared" si="5"/>
        <v>Vacation Accrual+Reversal Empl. Locaux AVRIL 25</v>
      </c>
      <c r="G19" s="186">
        <v>610</v>
      </c>
      <c r="H19" s="188" t="str">
        <f t="shared" si="1"/>
        <v/>
      </c>
      <c r="I19" s="188">
        <f t="shared" si="2"/>
        <v>66.775000000000006</v>
      </c>
      <c r="J19" s="188">
        <f t="shared" si="3"/>
        <v>-66.775000000000006</v>
      </c>
      <c r="K19" s="195" t="s">
        <v>705</v>
      </c>
      <c r="L19" s="196">
        <f t="shared" si="6"/>
        <v>-66.775000000000006</v>
      </c>
      <c r="M19" s="186" t="s">
        <v>704</v>
      </c>
      <c r="N19" s="190">
        <f t="shared" si="7"/>
        <v>47</v>
      </c>
      <c r="P19" s="191">
        <f>+SUMIF('VAC+13th (2)'!$D:$D,'JV VAC+13th'!$G19,'VAC+13th (2)'!$AY:$AY)+SUMIF('VAC+13th (2)'!$D:$D,'JV VAC+13th'!$G19,'VAC+13th (2)'!$BL:$BL)</f>
        <v>-66.775000000000006</v>
      </c>
      <c r="Q19" s="192"/>
    </row>
    <row r="20" spans="1:17">
      <c r="A20" s="193">
        <f t="shared" si="0"/>
        <v>45746</v>
      </c>
      <c r="B20" s="194" t="str">
        <f t="shared" si="4"/>
        <v>SAL00715</v>
      </c>
      <c r="C20" s="186" t="s">
        <v>704</v>
      </c>
      <c r="D20" s="186">
        <v>523610</v>
      </c>
      <c r="E20" s="186"/>
      <c r="F20" s="186" t="str">
        <f t="shared" si="5"/>
        <v>Vacation Accrual+Reversal Empl. Locaux AVRIL 25</v>
      </c>
      <c r="G20" s="186">
        <v>620</v>
      </c>
      <c r="H20" s="188" t="str">
        <f t="shared" si="1"/>
        <v/>
      </c>
      <c r="I20" s="188">
        <f t="shared" si="2"/>
        <v>785.3673076923078</v>
      </c>
      <c r="J20" s="188">
        <f t="shared" si="3"/>
        <v>-785.3673076923078</v>
      </c>
      <c r="K20" s="195" t="s">
        <v>705</v>
      </c>
      <c r="L20" s="196">
        <f t="shared" si="6"/>
        <v>-785.3673076923078</v>
      </c>
      <c r="M20" s="186" t="s">
        <v>704</v>
      </c>
      <c r="N20" s="190">
        <f t="shared" si="7"/>
        <v>47</v>
      </c>
      <c r="P20" s="191">
        <f>+SUMIF('VAC+13th (2)'!$D:$D,'JV VAC+13th'!$G20,'VAC+13th (2)'!$AY:$AY)+SUMIF('VAC+13th (2)'!$D:$D,'JV VAC+13th'!$G20,'VAC+13th (2)'!$BL:$BL)</f>
        <v>-785.3673076923078</v>
      </c>
      <c r="Q20" s="192"/>
    </row>
    <row r="21" spans="1:17">
      <c r="A21" s="193">
        <f t="shared" si="0"/>
        <v>45746</v>
      </c>
      <c r="B21" s="194" t="str">
        <f t="shared" si="4"/>
        <v>SAL00715</v>
      </c>
      <c r="C21" s="186" t="s">
        <v>704</v>
      </c>
      <c r="D21" s="186">
        <v>523610</v>
      </c>
      <c r="E21" s="186"/>
      <c r="F21" s="186" t="str">
        <f t="shared" si="5"/>
        <v>Vacation Accrual+Reversal Empl. Locaux AVRIL 25</v>
      </c>
      <c r="G21" s="186">
        <v>630</v>
      </c>
      <c r="H21" s="188">
        <f t="shared" si="1"/>
        <v>60.894230769230774</v>
      </c>
      <c r="I21" s="188" t="str">
        <f t="shared" si="2"/>
        <v/>
      </c>
      <c r="J21" s="188">
        <f t="shared" si="3"/>
        <v>60.894230769230774</v>
      </c>
      <c r="K21" s="195" t="s">
        <v>705</v>
      </c>
      <c r="L21" s="196">
        <f t="shared" si="6"/>
        <v>60.894230769230774</v>
      </c>
      <c r="M21" s="186" t="s">
        <v>704</v>
      </c>
      <c r="N21" s="190">
        <f t="shared" si="7"/>
        <v>47</v>
      </c>
      <c r="P21" s="191">
        <f>+SUMIF('VAC+13th (2)'!$D:$D,'JV VAC+13th'!$G21,'VAC+13th (2)'!$AY:$AY)+SUMIF('VAC+13th (2)'!$D:$D,'JV VAC+13th'!$G21,'VAC+13th (2)'!$BL:$BL)</f>
        <v>60.894230769230774</v>
      </c>
      <c r="Q21" s="192"/>
    </row>
    <row r="22" spans="1:17">
      <c r="A22" s="193">
        <f t="shared" si="0"/>
        <v>45746</v>
      </c>
      <c r="B22" s="194" t="str">
        <f t="shared" si="4"/>
        <v>SAL00715</v>
      </c>
      <c r="C22" s="186" t="s">
        <v>704</v>
      </c>
      <c r="D22" s="186">
        <v>523610</v>
      </c>
      <c r="E22" s="186"/>
      <c r="F22" s="186" t="str">
        <f t="shared" si="5"/>
        <v>Vacation Accrual+Reversal Empl. Locaux AVRIL 25</v>
      </c>
      <c r="G22" s="186">
        <v>640</v>
      </c>
      <c r="H22" s="188">
        <f t="shared" si="1"/>
        <v>159.12692307692311</v>
      </c>
      <c r="I22" s="188" t="str">
        <f t="shared" si="2"/>
        <v/>
      </c>
      <c r="J22" s="188">
        <f t="shared" si="3"/>
        <v>159.12692307692311</v>
      </c>
      <c r="K22" s="195" t="s">
        <v>705</v>
      </c>
      <c r="L22" s="196">
        <f t="shared" si="6"/>
        <v>159.12692307692311</v>
      </c>
      <c r="M22" s="186" t="s">
        <v>704</v>
      </c>
      <c r="N22" s="190">
        <f t="shared" si="7"/>
        <v>47</v>
      </c>
      <c r="P22" s="191">
        <f>+SUMIF('VAC+13th (2)'!$D:$D,'JV VAC+13th'!$G22,'VAC+13th (2)'!$AY:$AY)+SUMIF('VAC+13th (2)'!$D:$D,'JV VAC+13th'!$G22,'VAC+13th (2)'!$BL:$BL)</f>
        <v>159.12692307692311</v>
      </c>
      <c r="Q22" s="192"/>
    </row>
    <row r="23" spans="1:17">
      <c r="A23" s="193">
        <f t="shared" si="0"/>
        <v>45746</v>
      </c>
      <c r="B23" s="194" t="str">
        <f t="shared" si="4"/>
        <v>SAL00715</v>
      </c>
      <c r="C23" s="186" t="s">
        <v>704</v>
      </c>
      <c r="D23" s="186">
        <v>523610</v>
      </c>
      <c r="E23" s="186"/>
      <c r="F23" s="186" t="str">
        <f t="shared" si="5"/>
        <v>Vacation Accrual+Reversal Empl. Locaux AVRIL 25</v>
      </c>
      <c r="G23" s="186">
        <v>650</v>
      </c>
      <c r="H23" s="188">
        <f t="shared" si="1"/>
        <v>207.35</v>
      </c>
      <c r="I23" s="188" t="str">
        <f t="shared" si="2"/>
        <v/>
      </c>
      <c r="J23" s="188">
        <f t="shared" si="3"/>
        <v>207.35</v>
      </c>
      <c r="K23" s="195" t="s">
        <v>705</v>
      </c>
      <c r="L23" s="196">
        <f t="shared" si="6"/>
        <v>207.35</v>
      </c>
      <c r="M23" s="186" t="s">
        <v>704</v>
      </c>
      <c r="N23" s="190">
        <f t="shared" si="7"/>
        <v>47</v>
      </c>
      <c r="P23" s="191">
        <f>+SUMIF('VAC+13th (2)'!$D:$D,'JV VAC+13th'!$G23,'VAC+13th (2)'!$AY:$AY)+SUMIF('VAC+13th (2)'!$D:$D,'JV VAC+13th'!$G23,'VAC+13th (2)'!$BL:$BL)</f>
        <v>207.35</v>
      </c>
      <c r="Q23" s="192"/>
    </row>
    <row r="24" spans="1:17">
      <c r="A24" s="193">
        <f t="shared" si="0"/>
        <v>45746</v>
      </c>
      <c r="B24" s="194" t="str">
        <f t="shared" si="4"/>
        <v>SAL00715</v>
      </c>
      <c r="C24" s="186" t="s">
        <v>704</v>
      </c>
      <c r="D24" s="186">
        <v>523610</v>
      </c>
      <c r="E24" s="186"/>
      <c r="F24" s="186" t="str">
        <f t="shared" si="5"/>
        <v>Vacation Accrual+Reversal Empl. Locaux AVRIL 25</v>
      </c>
      <c r="G24" s="186">
        <v>660</v>
      </c>
      <c r="H24" s="188" t="str">
        <f t="shared" si="1"/>
        <v/>
      </c>
      <c r="I24" s="188">
        <f t="shared" si="2"/>
        <v>74.000000000000014</v>
      </c>
      <c r="J24" s="188">
        <f t="shared" si="3"/>
        <v>-74.000000000000014</v>
      </c>
      <c r="K24" s="195" t="s">
        <v>705</v>
      </c>
      <c r="L24" s="196">
        <f t="shared" si="6"/>
        <v>-74.000000000000014</v>
      </c>
      <c r="M24" s="186" t="s">
        <v>704</v>
      </c>
      <c r="N24" s="190">
        <f t="shared" si="7"/>
        <v>47</v>
      </c>
      <c r="P24" s="191">
        <f>+SUMIF('VAC+13th (2)'!$D:$D,'JV VAC+13th'!$G24,'VAC+13th (2)'!$AY:$AY)+SUMIF('VAC+13th (2)'!$D:$D,'JV VAC+13th'!$G24,'VAC+13th (2)'!$BL:$BL)</f>
        <v>-74.000000000000014</v>
      </c>
      <c r="Q24" s="192"/>
    </row>
    <row r="25" spans="1:17">
      <c r="A25" s="193">
        <f t="shared" si="0"/>
        <v>45746</v>
      </c>
      <c r="B25" s="194" t="str">
        <f t="shared" si="4"/>
        <v>SAL00715</v>
      </c>
      <c r="C25" s="186" t="s">
        <v>704</v>
      </c>
      <c r="D25" s="186">
        <v>523610</v>
      </c>
      <c r="E25" s="186"/>
      <c r="F25" s="186" t="str">
        <f t="shared" si="5"/>
        <v>Vacation Accrual+Reversal Empl. Locaux AVRIL 25</v>
      </c>
      <c r="G25" s="186">
        <v>710</v>
      </c>
      <c r="H25" s="188" t="str">
        <f t="shared" si="1"/>
        <v/>
      </c>
      <c r="I25" s="188">
        <f t="shared" si="2"/>
        <v>320.42500000000007</v>
      </c>
      <c r="J25" s="188">
        <f t="shared" si="3"/>
        <v>-320.42500000000007</v>
      </c>
      <c r="K25" s="195" t="s">
        <v>705</v>
      </c>
      <c r="L25" s="196">
        <f t="shared" si="6"/>
        <v>-320.42500000000007</v>
      </c>
      <c r="M25" s="186" t="s">
        <v>704</v>
      </c>
      <c r="N25" s="190">
        <f t="shared" si="7"/>
        <v>47</v>
      </c>
      <c r="P25" s="191">
        <f>+SUMIF('VAC+13th (2)'!$D:$D,'JV VAC+13th'!$G25,'VAC+13th (2)'!$AY:$AY)+SUMIF('VAC+13th (2)'!$D:$D,'JV VAC+13th'!$G25,'VAC+13th (2)'!$BL:$BL)</f>
        <v>-320.42500000000007</v>
      </c>
    </row>
    <row r="26" spans="1:17">
      <c r="A26" s="193">
        <f t="shared" si="0"/>
        <v>45746</v>
      </c>
      <c r="B26" s="194" t="str">
        <f t="shared" si="4"/>
        <v>SAL00715</v>
      </c>
      <c r="C26" s="186" t="s">
        <v>704</v>
      </c>
      <c r="D26" s="186">
        <v>523610</v>
      </c>
      <c r="E26" s="186"/>
      <c r="F26" s="186" t="str">
        <f t="shared" si="5"/>
        <v>Vacation Accrual+Reversal Empl. Locaux AVRIL 25</v>
      </c>
      <c r="G26" s="186">
        <v>720</v>
      </c>
      <c r="H26" s="188" t="str">
        <f t="shared" si="1"/>
        <v/>
      </c>
      <c r="I26" s="188">
        <f t="shared" si="2"/>
        <v>14.100000000000001</v>
      </c>
      <c r="J26" s="188">
        <f t="shared" si="3"/>
        <v>-14.100000000000001</v>
      </c>
      <c r="K26" s="195" t="s">
        <v>705</v>
      </c>
      <c r="L26" s="196">
        <f t="shared" si="6"/>
        <v>-14.100000000000001</v>
      </c>
      <c r="M26" s="186" t="s">
        <v>704</v>
      </c>
      <c r="N26" s="190">
        <f t="shared" si="7"/>
        <v>47</v>
      </c>
      <c r="P26" s="191">
        <f>+SUMIF('VAC+13th (2)'!$D:$D,'JV VAC+13th'!$G26,'VAC+13th (2)'!$AY:$AY)+SUMIF('VAC+13th (2)'!$D:$D,'JV VAC+13th'!$G26,'VAC+13th (2)'!$BL:$BL)</f>
        <v>-14.100000000000001</v>
      </c>
    </row>
    <row r="27" spans="1:17">
      <c r="A27" s="193">
        <f t="shared" si="0"/>
        <v>45746</v>
      </c>
      <c r="B27" s="194" t="str">
        <f t="shared" si="4"/>
        <v>SAL00715</v>
      </c>
      <c r="C27" s="186" t="s">
        <v>704</v>
      </c>
      <c r="D27" s="186">
        <v>523610</v>
      </c>
      <c r="E27" s="186"/>
      <c r="F27" s="186" t="str">
        <f t="shared" si="5"/>
        <v>Vacation Accrual+Reversal Empl. Locaux AVRIL 25</v>
      </c>
      <c r="G27" s="186">
        <v>730</v>
      </c>
      <c r="H27" s="188" t="str">
        <f t="shared" si="1"/>
        <v/>
      </c>
      <c r="I27" s="188">
        <f t="shared" si="2"/>
        <v>0</v>
      </c>
      <c r="J27" s="188">
        <f t="shared" si="3"/>
        <v>0</v>
      </c>
      <c r="K27" s="195" t="s">
        <v>705</v>
      </c>
      <c r="L27" s="196">
        <f t="shared" si="6"/>
        <v>0</v>
      </c>
      <c r="M27" s="186" t="s">
        <v>704</v>
      </c>
      <c r="N27" s="190">
        <f t="shared" si="7"/>
        <v>47</v>
      </c>
      <c r="P27" s="191">
        <f>+SUMIF('VAC+13th (2)'!$D:$D,'JV VAC+13th'!$G27,'VAC+13th (2)'!$AY:$AY)+SUMIF('VAC+13th (2)'!$D:$D,'JV VAC+13th'!$G27,'VAC+13th (2)'!$BL:$BL)</f>
        <v>0</v>
      </c>
    </row>
    <row r="28" spans="1:17">
      <c r="A28" s="193">
        <f t="shared" si="0"/>
        <v>45746</v>
      </c>
      <c r="B28" s="194" t="str">
        <f t="shared" si="4"/>
        <v>SAL00715</v>
      </c>
      <c r="C28" s="186" t="s">
        <v>704</v>
      </c>
      <c r="D28" s="186">
        <v>523610</v>
      </c>
      <c r="E28" s="186"/>
      <c r="F28" s="186" t="str">
        <f t="shared" si="5"/>
        <v>Vacation Accrual+Reversal Empl. Locaux AVRIL 25</v>
      </c>
      <c r="G28" s="186">
        <v>810</v>
      </c>
      <c r="H28" s="188">
        <f t="shared" si="1"/>
        <v>74.050000000000011</v>
      </c>
      <c r="I28" s="188" t="str">
        <f t="shared" si="2"/>
        <v/>
      </c>
      <c r="J28" s="188">
        <f t="shared" si="3"/>
        <v>74.050000000000011</v>
      </c>
      <c r="K28" s="195" t="s">
        <v>705</v>
      </c>
      <c r="L28" s="196">
        <f t="shared" si="6"/>
        <v>74.050000000000011</v>
      </c>
      <c r="M28" s="186" t="s">
        <v>704</v>
      </c>
      <c r="N28" s="190">
        <f t="shared" si="7"/>
        <v>47</v>
      </c>
      <c r="P28" s="191">
        <f>+SUMIF('VAC+13th (2)'!$D:$D,'JV VAC+13th'!$G28,'VAC+13th (2)'!$AY:$AY)+SUMIF('VAC+13th (2)'!$D:$D,'JV VAC+13th'!$G28,'VAC+13th (2)'!$BL:$BL)</f>
        <v>74.050000000000011</v>
      </c>
    </row>
    <row r="29" spans="1:17">
      <c r="A29" s="193">
        <f t="shared" si="0"/>
        <v>45746</v>
      </c>
      <c r="B29" s="194" t="str">
        <f t="shared" si="4"/>
        <v>SAL00715</v>
      </c>
      <c r="C29" s="186" t="s">
        <v>704</v>
      </c>
      <c r="D29" s="186">
        <v>523610</v>
      </c>
      <c r="E29" s="186"/>
      <c r="F29" s="186" t="str">
        <f t="shared" si="5"/>
        <v>Vacation Accrual+Reversal Empl. Locaux AVRIL 25</v>
      </c>
      <c r="G29" s="186">
        <v>971</v>
      </c>
      <c r="H29" s="188">
        <f t="shared" si="1"/>
        <v>61.65</v>
      </c>
      <c r="I29" s="188" t="str">
        <f t="shared" si="2"/>
        <v/>
      </c>
      <c r="J29" s="188">
        <f t="shared" si="3"/>
        <v>61.65</v>
      </c>
      <c r="K29" s="195" t="s">
        <v>705</v>
      </c>
      <c r="L29" s="196">
        <f t="shared" si="6"/>
        <v>61.65</v>
      </c>
      <c r="M29" s="186" t="s">
        <v>704</v>
      </c>
      <c r="N29" s="190">
        <f t="shared" si="7"/>
        <v>47</v>
      </c>
      <c r="P29" s="191">
        <f>+SUMIF('VAC+13th (2)'!$D:$D,'JV VAC+13th'!$G29,'VAC+13th (2)'!$AY:$AY)+SUMIF('VAC+13th (2)'!$D:$D,'JV VAC+13th'!$G29,'VAC+13th (2)'!$BL:$BL)</f>
        <v>61.65</v>
      </c>
    </row>
    <row r="30" spans="1:17">
      <c r="A30" s="193">
        <f t="shared" si="0"/>
        <v>45746</v>
      </c>
      <c r="B30" s="194" t="str">
        <f t="shared" si="4"/>
        <v>SAL00715</v>
      </c>
      <c r="C30" s="186" t="s">
        <v>704</v>
      </c>
      <c r="D30" s="186">
        <v>523610</v>
      </c>
      <c r="E30" s="186"/>
      <c r="F30" s="186" t="str">
        <f t="shared" si="5"/>
        <v>Vacation Accrual+Reversal Empl. Locaux AVRIL 25</v>
      </c>
      <c r="G30" s="186">
        <v>972</v>
      </c>
      <c r="H30" s="188" t="str">
        <f t="shared" si="1"/>
        <v/>
      </c>
      <c r="I30" s="188">
        <f t="shared" si="2"/>
        <v>173.3346153846154</v>
      </c>
      <c r="J30" s="188">
        <f t="shared" si="3"/>
        <v>-173.3346153846154</v>
      </c>
      <c r="K30" s="195" t="s">
        <v>705</v>
      </c>
      <c r="L30" s="196">
        <f t="shared" si="6"/>
        <v>-173.3346153846154</v>
      </c>
      <c r="M30" s="186" t="s">
        <v>704</v>
      </c>
      <c r="N30" s="190">
        <f t="shared" si="7"/>
        <v>47</v>
      </c>
      <c r="P30" s="191">
        <f>+SUMIF('VAC+13th (2)'!$D:$D,'JV VAC+13th'!$G30,'VAC+13th (2)'!$AY:$AY)+SUMIF('VAC+13th (2)'!$D:$D,'JV VAC+13th'!$G30,'VAC+13th (2)'!$BL:$BL)</f>
        <v>-173.3346153846154</v>
      </c>
    </row>
    <row r="31" spans="1:17">
      <c r="A31" s="193">
        <f t="shared" si="0"/>
        <v>45746</v>
      </c>
      <c r="B31" s="194" t="str">
        <f t="shared" si="4"/>
        <v>SAL00715</v>
      </c>
      <c r="C31" s="186" t="s">
        <v>704</v>
      </c>
      <c r="D31" s="186">
        <v>523120</v>
      </c>
      <c r="E31" s="186"/>
      <c r="F31" s="186" t="str">
        <f t="shared" si="5"/>
        <v>Vacation Accrual+Reversal Empl. Locaux AVRIL 25</v>
      </c>
      <c r="G31" s="186"/>
      <c r="H31" s="188" t="str">
        <f t="shared" si="1"/>
        <v/>
      </c>
      <c r="I31" s="188">
        <f t="shared" si="2"/>
        <v>0</v>
      </c>
      <c r="J31" s="188">
        <f t="shared" si="3"/>
        <v>0</v>
      </c>
      <c r="K31" s="195" t="s">
        <v>705</v>
      </c>
      <c r="L31" s="196">
        <f t="shared" si="6"/>
        <v>0</v>
      </c>
      <c r="M31" s="186" t="s">
        <v>704</v>
      </c>
      <c r="N31" s="190">
        <f t="shared" si="7"/>
        <v>47</v>
      </c>
      <c r="P31" s="191">
        <f>+SUMIF('VAC+13th (2)'!$D:$D,'JV VAC+13th'!$G31,'VAC+13th (2)'!$AY:$AY)+SUMIF('VAC+13th (2)'!$D:$D,'JV VAC+13th'!$G31,'VAC+13th (2)'!$BL:$BL)</f>
        <v>0</v>
      </c>
    </row>
    <row r="32" spans="1:17">
      <c r="A32" s="193">
        <f t="shared" si="0"/>
        <v>45746</v>
      </c>
      <c r="B32" s="194" t="str">
        <f t="shared" si="4"/>
        <v>SAL00715</v>
      </c>
      <c r="C32" s="186" t="s">
        <v>704</v>
      </c>
      <c r="D32" s="186">
        <v>523120</v>
      </c>
      <c r="E32" s="186"/>
      <c r="F32" s="186" t="str">
        <f t="shared" si="5"/>
        <v>Vacation Accrual+Reversal Empl. Locaux AVRIL 25</v>
      </c>
      <c r="G32" s="186"/>
      <c r="H32" s="188" t="str">
        <f t="shared" si="1"/>
        <v/>
      </c>
      <c r="I32" s="188">
        <f t="shared" si="2"/>
        <v>0</v>
      </c>
      <c r="J32" s="188">
        <f t="shared" si="3"/>
        <v>0</v>
      </c>
      <c r="K32" s="195" t="s">
        <v>705</v>
      </c>
      <c r="L32" s="196">
        <f t="shared" si="6"/>
        <v>0</v>
      </c>
      <c r="M32" s="186" t="s">
        <v>704</v>
      </c>
      <c r="N32" s="190">
        <f t="shared" si="7"/>
        <v>47</v>
      </c>
      <c r="P32" s="191">
        <f>+SUMIF('VAC+13th (2)'!$D:$D,'JV VAC+13th'!$G32,'VAC+13th (2)'!$AY:$AY)+SUMIF('VAC+13th (2)'!$D:$D,'JV VAC+13th'!$G32,'VAC+13th (2)'!$BL:$BL)</f>
        <v>0</v>
      </c>
    </row>
    <row r="33" spans="1:18">
      <c r="A33" s="193">
        <f t="shared" si="0"/>
        <v>45746</v>
      </c>
      <c r="B33" s="194" t="str">
        <f t="shared" si="4"/>
        <v>SAL00715</v>
      </c>
      <c r="C33" s="186" t="s">
        <v>704</v>
      </c>
      <c r="D33" s="186">
        <v>523610</v>
      </c>
      <c r="E33" s="186"/>
      <c r="F33" s="186" t="str">
        <f>+F31</f>
        <v>Vacation Accrual+Reversal Empl. Locaux AVRIL 25</v>
      </c>
      <c r="G33" s="186"/>
      <c r="H33" s="188" t="str">
        <f t="shared" si="1"/>
        <v/>
      </c>
      <c r="I33" s="188">
        <f t="shared" si="2"/>
        <v>0</v>
      </c>
      <c r="J33" s="188">
        <f t="shared" si="3"/>
        <v>0</v>
      </c>
      <c r="K33" s="195" t="s">
        <v>705</v>
      </c>
      <c r="L33" s="196">
        <f t="shared" si="6"/>
        <v>0</v>
      </c>
      <c r="M33" s="186" t="s">
        <v>704</v>
      </c>
      <c r="N33" s="190">
        <f t="shared" si="7"/>
        <v>47</v>
      </c>
      <c r="P33" s="191">
        <f>+SUMIF('VAC+13th (2)'!$D:$D,'JV VAC+13th'!$G33,'VAC+13th (2)'!$AY:$AY)+SUMIF('VAC+13th (2)'!$D:$D,'JV VAC+13th'!$G33,'VAC+13th (2)'!$BL:$BL)</f>
        <v>0</v>
      </c>
    </row>
    <row r="34" spans="1:18">
      <c r="A34" s="193">
        <f t="shared" si="0"/>
        <v>45746</v>
      </c>
      <c r="B34" s="194" t="str">
        <f t="shared" si="4"/>
        <v>SAL00715</v>
      </c>
      <c r="C34" s="186" t="s">
        <v>704</v>
      </c>
      <c r="D34" s="186">
        <v>523610</v>
      </c>
      <c r="E34" s="186"/>
      <c r="F34" s="186" t="str">
        <f t="shared" si="5"/>
        <v>Vacation Accrual+Reversal Empl. Locaux AVRIL 25</v>
      </c>
      <c r="G34" s="186"/>
      <c r="H34" s="188" t="str">
        <f t="shared" si="1"/>
        <v/>
      </c>
      <c r="I34" s="188">
        <f t="shared" si="2"/>
        <v>0</v>
      </c>
      <c r="J34" s="188">
        <f t="shared" si="3"/>
        <v>0</v>
      </c>
      <c r="K34" s="195" t="s">
        <v>705</v>
      </c>
      <c r="L34" s="196">
        <f t="shared" si="6"/>
        <v>0</v>
      </c>
      <c r="M34" s="186" t="s">
        <v>704</v>
      </c>
      <c r="N34" s="190">
        <f t="shared" si="7"/>
        <v>47</v>
      </c>
      <c r="P34" s="191">
        <f>+SUMIF('VAC+13th (2)'!$D:$D,'JV VAC+13th'!$G34,'VAC+13th (2)'!$AY:$AY)+SUMIF('VAC+13th (2)'!$D:$D,'JV VAC+13th'!$G34,'VAC+13th (2)'!$BL:$BL)</f>
        <v>0</v>
      </c>
    </row>
    <row r="35" spans="1:18" s="202" customFormat="1" ht="17.25" thickBot="1">
      <c r="A35" s="197">
        <f t="shared" si="0"/>
        <v>45746</v>
      </c>
      <c r="B35" s="198" t="str">
        <f t="shared" si="4"/>
        <v>SAL00715</v>
      </c>
      <c r="C35" s="199" t="s">
        <v>704</v>
      </c>
      <c r="D35" s="199">
        <v>231330</v>
      </c>
      <c r="E35" s="199"/>
      <c r="F35" s="199" t="str">
        <f t="shared" si="5"/>
        <v>Vacation Accrual+Reversal Empl. Locaux AVRIL 25</v>
      </c>
      <c r="G35" s="200"/>
      <c r="H35" s="201">
        <f>-SUM(J4:J34)</f>
        <v>1255.7474999999999</v>
      </c>
      <c r="J35" s="188">
        <f>+IF(H35="",-I35,H35)</f>
        <v>1255.7474999999999</v>
      </c>
      <c r="K35" s="203" t="s">
        <v>705</v>
      </c>
      <c r="L35" s="204">
        <f t="shared" si="6"/>
        <v>1255.7474999999999</v>
      </c>
      <c r="M35" s="199" t="s">
        <v>704</v>
      </c>
      <c r="N35" s="205">
        <f t="shared" si="7"/>
        <v>47</v>
      </c>
      <c r="P35" s="191">
        <f>+SUMIF('VAC+13th (2)'!$D:$D,'JV VAC+13th'!$G35,'VAC+13th (2)'!$BH:$BH)+SUMIF('VAC+13th (2)'!$D:$D,'JV VAC+13th'!$G35,'VAC+13th (2)'!$BU:$BU)</f>
        <v>0</v>
      </c>
    </row>
    <row r="36" spans="1:18">
      <c r="A36" s="206">
        <f t="shared" si="0"/>
        <v>45746</v>
      </c>
      <c r="B36" s="207" t="str">
        <f>+B4</f>
        <v>SAL00715</v>
      </c>
      <c r="C36" s="208" t="s">
        <v>704</v>
      </c>
      <c r="D36" s="208">
        <v>517110</v>
      </c>
      <c r="E36" s="208"/>
      <c r="F36" s="187" t="str">
        <f>+"13th Month 2025 YTD Provision "&amp;'[1]JV FTE+EPAMED'!A1</f>
        <v>13th Month 2025 YTD Provision AVRIL 25</v>
      </c>
      <c r="G36" s="208">
        <f t="shared" ref="G36:G62" si="8">G4</f>
        <v>120</v>
      </c>
      <c r="H36" s="209">
        <f t="shared" ref="H36:H66" si="9">+IF(P36&gt;0,P36,"")</f>
        <v>343.27302631578937</v>
      </c>
      <c r="I36" s="209" t="str">
        <f>+IF(H36&lt;&gt;"","",-P36)</f>
        <v/>
      </c>
      <c r="J36" s="209">
        <f t="shared" si="3"/>
        <v>343.27302631578937</v>
      </c>
      <c r="K36" s="210" t="s">
        <v>705</v>
      </c>
      <c r="L36" s="211">
        <f t="shared" si="6"/>
        <v>343.27302631578937</v>
      </c>
      <c r="M36" s="208" t="s">
        <v>704</v>
      </c>
      <c r="N36" s="212">
        <f t="shared" si="7"/>
        <v>38</v>
      </c>
      <c r="P36" s="191">
        <f>+SUMIF('VAC+13th (2)'!$D:$D,'JV VAC+13th'!$G36,'VAC+13th (2)'!$BZ:$BZ)</f>
        <v>343.27302631578937</v>
      </c>
      <c r="Q36" s="192" t="s">
        <v>715</v>
      </c>
      <c r="R36" s="172" t="s">
        <v>716</v>
      </c>
    </row>
    <row r="37" spans="1:18">
      <c r="A37" s="193">
        <f t="shared" si="0"/>
        <v>45746</v>
      </c>
      <c r="B37" s="194" t="str">
        <f>+B36</f>
        <v>SAL00715</v>
      </c>
      <c r="C37" s="186" t="s">
        <v>704</v>
      </c>
      <c r="D37" s="186">
        <v>517110</v>
      </c>
      <c r="E37" s="186"/>
      <c r="F37" s="186" t="str">
        <f>+F36</f>
        <v>13th Month 2025 YTD Provision AVRIL 25</v>
      </c>
      <c r="G37" s="186">
        <f t="shared" si="8"/>
        <v>140</v>
      </c>
      <c r="H37" s="188">
        <f t="shared" si="9"/>
        <v>60.428333333333327</v>
      </c>
      <c r="I37" s="188" t="str">
        <f t="shared" ref="I37:I66" si="10">+IF(H37&lt;&gt;"","",-P37)</f>
        <v/>
      </c>
      <c r="J37" s="188">
        <f t="shared" si="3"/>
        <v>60.428333333333327</v>
      </c>
      <c r="K37" s="213" t="s">
        <v>705</v>
      </c>
      <c r="L37" s="214">
        <f t="shared" si="6"/>
        <v>60.428333333333327</v>
      </c>
      <c r="M37" s="186" t="s">
        <v>704</v>
      </c>
      <c r="N37" s="215">
        <f t="shared" si="7"/>
        <v>38</v>
      </c>
      <c r="P37" s="191">
        <f>+SUMIF('VAC+13th (2)'!$D:$D,'JV VAC+13th'!$G37,'VAC+13th (2)'!$BZ:$BZ)</f>
        <v>60.428333333333327</v>
      </c>
      <c r="Q37" s="192" t="s">
        <v>717</v>
      </c>
      <c r="R37" s="172" t="s">
        <v>718</v>
      </c>
    </row>
    <row r="38" spans="1:18">
      <c r="A38" s="193">
        <f t="shared" si="0"/>
        <v>45746</v>
      </c>
      <c r="B38" s="194" t="str">
        <f t="shared" ref="B38:B67" si="11">+B37</f>
        <v>SAL00715</v>
      </c>
      <c r="C38" s="186" t="s">
        <v>704</v>
      </c>
      <c r="D38" s="186">
        <v>517110</v>
      </c>
      <c r="E38" s="186"/>
      <c r="F38" s="186" t="str">
        <f t="shared" ref="F38:F66" si="12">+F37</f>
        <v>13th Month 2025 YTD Provision AVRIL 25</v>
      </c>
      <c r="G38" s="186">
        <f t="shared" si="8"/>
        <v>160</v>
      </c>
      <c r="H38" s="188">
        <f t="shared" si="9"/>
        <v>731.21320175438564</v>
      </c>
      <c r="I38" s="188" t="str">
        <f t="shared" si="10"/>
        <v/>
      </c>
      <c r="J38" s="188">
        <f t="shared" si="3"/>
        <v>731.21320175438564</v>
      </c>
      <c r="K38" s="213" t="s">
        <v>705</v>
      </c>
      <c r="L38" s="214">
        <f t="shared" si="6"/>
        <v>731.21320175438564</v>
      </c>
      <c r="M38" s="186" t="s">
        <v>704</v>
      </c>
      <c r="N38" s="215">
        <f t="shared" si="7"/>
        <v>38</v>
      </c>
      <c r="P38" s="191">
        <f>+SUMIF('VAC+13th (2)'!$D:$D,'JV VAC+13th'!$G38,'VAC+13th (2)'!$BZ:$BZ)</f>
        <v>731.21320175438564</v>
      </c>
      <c r="Q38" s="192" t="s">
        <v>719</v>
      </c>
      <c r="R38" s="172" t="s">
        <v>720</v>
      </c>
    </row>
    <row r="39" spans="1:18">
      <c r="A39" s="193">
        <f t="shared" si="0"/>
        <v>45746</v>
      </c>
      <c r="B39" s="194" t="str">
        <f t="shared" si="11"/>
        <v>SAL00715</v>
      </c>
      <c r="C39" s="186" t="s">
        <v>704</v>
      </c>
      <c r="D39" s="186">
        <v>517110</v>
      </c>
      <c r="E39" s="186"/>
      <c r="F39" s="186" t="str">
        <f t="shared" si="12"/>
        <v>13th Month 2025 YTD Provision AVRIL 25</v>
      </c>
      <c r="G39" s="186">
        <f t="shared" si="8"/>
        <v>212</v>
      </c>
      <c r="H39" s="188">
        <f t="shared" si="9"/>
        <v>334.56302631578939</v>
      </c>
      <c r="I39" s="188" t="str">
        <f t="shared" si="10"/>
        <v/>
      </c>
      <c r="J39" s="188">
        <f t="shared" si="3"/>
        <v>334.56302631578939</v>
      </c>
      <c r="K39" s="213" t="s">
        <v>705</v>
      </c>
      <c r="L39" s="214">
        <f t="shared" si="6"/>
        <v>334.56302631578939</v>
      </c>
      <c r="M39" s="186" t="s">
        <v>704</v>
      </c>
      <c r="N39" s="215">
        <f t="shared" si="7"/>
        <v>38</v>
      </c>
      <c r="P39" s="191">
        <f>+SUMIF('VAC+13th (2)'!$D:$D,'JV VAC+13th'!$G39,'VAC+13th (2)'!$BZ:$BZ)</f>
        <v>334.56302631578939</v>
      </c>
      <c r="Q39" s="192" t="s">
        <v>721</v>
      </c>
      <c r="R39" s="172" t="s">
        <v>722</v>
      </c>
    </row>
    <row r="40" spans="1:18">
      <c r="A40" s="193">
        <f t="shared" si="0"/>
        <v>45746</v>
      </c>
      <c r="B40" s="194" t="str">
        <f t="shared" si="11"/>
        <v>SAL00715</v>
      </c>
      <c r="C40" s="186" t="s">
        <v>704</v>
      </c>
      <c r="D40" s="186">
        <v>517110</v>
      </c>
      <c r="E40" s="186"/>
      <c r="F40" s="186" t="str">
        <f t="shared" si="12"/>
        <v>13th Month 2025 YTD Provision AVRIL 25</v>
      </c>
      <c r="G40" s="186">
        <f t="shared" si="8"/>
        <v>215</v>
      </c>
      <c r="H40" s="188">
        <f t="shared" si="9"/>
        <v>45.26052631578947</v>
      </c>
      <c r="I40" s="188" t="str">
        <f t="shared" si="10"/>
        <v/>
      </c>
      <c r="J40" s="188">
        <f t="shared" si="3"/>
        <v>45.26052631578947</v>
      </c>
      <c r="K40" s="213" t="s">
        <v>705</v>
      </c>
      <c r="L40" s="214">
        <f t="shared" si="6"/>
        <v>45.26052631578947</v>
      </c>
      <c r="M40" s="186" t="s">
        <v>704</v>
      </c>
      <c r="N40" s="215">
        <f t="shared" si="7"/>
        <v>38</v>
      </c>
      <c r="P40" s="191">
        <f>+SUMIF('VAC+13th (2)'!$D:$D,'JV VAC+13th'!$G40,'VAC+13th (2)'!$BZ:$BZ)</f>
        <v>45.26052631578947</v>
      </c>
      <c r="Q40" s="192" t="s">
        <v>723</v>
      </c>
      <c r="R40" s="172" t="s">
        <v>713</v>
      </c>
    </row>
    <row r="41" spans="1:18">
      <c r="A41" s="193">
        <f t="shared" si="0"/>
        <v>45746</v>
      </c>
      <c r="B41" s="194" t="str">
        <f t="shared" si="11"/>
        <v>SAL00715</v>
      </c>
      <c r="C41" s="186" t="s">
        <v>704</v>
      </c>
      <c r="D41" s="186">
        <v>517110</v>
      </c>
      <c r="E41" s="186"/>
      <c r="F41" s="186" t="str">
        <f t="shared" si="12"/>
        <v>13th Month 2025 YTD Provision AVRIL 25</v>
      </c>
      <c r="G41" s="186">
        <f t="shared" si="8"/>
        <v>216</v>
      </c>
      <c r="H41" s="188">
        <f t="shared" si="9"/>
        <v>189.6101315789474</v>
      </c>
      <c r="I41" s="188" t="str">
        <f t="shared" si="10"/>
        <v/>
      </c>
      <c r="J41" s="188">
        <f t="shared" si="3"/>
        <v>189.6101315789474</v>
      </c>
      <c r="K41" s="213" t="s">
        <v>705</v>
      </c>
      <c r="L41" s="214">
        <f t="shared" si="6"/>
        <v>189.6101315789474</v>
      </c>
      <c r="M41" s="186" t="s">
        <v>704</v>
      </c>
      <c r="N41" s="215">
        <f t="shared" si="7"/>
        <v>38</v>
      </c>
      <c r="P41" s="191">
        <f>+SUMIF('VAC+13th (2)'!$D:$D,'JV VAC+13th'!$G41,'VAC+13th (2)'!$BZ:$BZ)</f>
        <v>189.6101315789474</v>
      </c>
      <c r="Q41" s="192" t="s">
        <v>724</v>
      </c>
    </row>
    <row r="42" spans="1:18">
      <c r="A42" s="193">
        <f t="shared" si="0"/>
        <v>45746</v>
      </c>
      <c r="B42" s="194" t="str">
        <f t="shared" si="11"/>
        <v>SAL00715</v>
      </c>
      <c r="C42" s="186" t="s">
        <v>704</v>
      </c>
      <c r="D42" s="186">
        <v>517110</v>
      </c>
      <c r="E42" s="186"/>
      <c r="F42" s="186" t="str">
        <f t="shared" si="12"/>
        <v>13th Month 2025 YTD Provision AVRIL 25</v>
      </c>
      <c r="G42" s="186">
        <f t="shared" si="8"/>
        <v>251</v>
      </c>
      <c r="H42" s="188">
        <f t="shared" si="9"/>
        <v>157.1409210526316</v>
      </c>
      <c r="I42" s="188" t="str">
        <f t="shared" si="10"/>
        <v/>
      </c>
      <c r="J42" s="188">
        <f t="shared" si="3"/>
        <v>157.1409210526316</v>
      </c>
      <c r="K42" s="213" t="s">
        <v>705</v>
      </c>
      <c r="L42" s="214">
        <f t="shared" si="6"/>
        <v>157.1409210526316</v>
      </c>
      <c r="M42" s="186" t="s">
        <v>704</v>
      </c>
      <c r="N42" s="215">
        <f t="shared" si="7"/>
        <v>38</v>
      </c>
      <c r="P42" s="191">
        <f>+SUMIF('VAC+13th (2)'!$D:$D,'JV VAC+13th'!$G42,'VAC+13th (2)'!$BZ:$BZ)</f>
        <v>157.1409210526316</v>
      </c>
      <c r="Q42" s="192"/>
    </row>
    <row r="43" spans="1:18">
      <c r="A43" s="193">
        <f t="shared" si="0"/>
        <v>45746</v>
      </c>
      <c r="B43" s="194" t="str">
        <f t="shared" si="11"/>
        <v>SAL00715</v>
      </c>
      <c r="C43" s="186" t="s">
        <v>704</v>
      </c>
      <c r="D43" s="186">
        <v>517110</v>
      </c>
      <c r="E43" s="186"/>
      <c r="F43" s="186" t="str">
        <f t="shared" si="12"/>
        <v>13th Month 2025 YTD Provision AVRIL 25</v>
      </c>
      <c r="G43" s="186">
        <f t="shared" si="8"/>
        <v>260</v>
      </c>
      <c r="H43" s="188">
        <f t="shared" si="9"/>
        <v>73.027500000000003</v>
      </c>
      <c r="I43" s="188" t="str">
        <f t="shared" si="10"/>
        <v/>
      </c>
      <c r="J43" s="188">
        <f t="shared" si="3"/>
        <v>73.027500000000003</v>
      </c>
      <c r="K43" s="213" t="s">
        <v>705</v>
      </c>
      <c r="L43" s="214">
        <f t="shared" si="6"/>
        <v>73.027500000000003</v>
      </c>
      <c r="M43" s="186" t="s">
        <v>704</v>
      </c>
      <c r="N43" s="215">
        <f t="shared" si="7"/>
        <v>38</v>
      </c>
      <c r="P43" s="191">
        <f>+SUMIF('VAC+13th (2)'!$D:$D,'JV VAC+13th'!$G43,'VAC+13th (2)'!$BZ:$BZ)</f>
        <v>73.027500000000003</v>
      </c>
      <c r="Q43" s="192"/>
    </row>
    <row r="44" spans="1:18">
      <c r="A44" s="193">
        <f t="shared" si="0"/>
        <v>45746</v>
      </c>
      <c r="B44" s="194" t="str">
        <f t="shared" si="11"/>
        <v>SAL00715</v>
      </c>
      <c r="C44" s="186" t="s">
        <v>704</v>
      </c>
      <c r="D44" s="186">
        <v>517110</v>
      </c>
      <c r="E44" s="186"/>
      <c r="F44" s="186" t="str">
        <f t="shared" si="12"/>
        <v>13th Month 2025 YTD Provision AVRIL 25</v>
      </c>
      <c r="G44" s="186">
        <f t="shared" si="8"/>
        <v>281</v>
      </c>
      <c r="H44" s="188">
        <f t="shared" si="9"/>
        <v>806.47478468899556</v>
      </c>
      <c r="I44" s="188" t="str">
        <f t="shared" si="10"/>
        <v/>
      </c>
      <c r="J44" s="188">
        <f t="shared" si="3"/>
        <v>806.47478468899556</v>
      </c>
      <c r="K44" s="213" t="s">
        <v>705</v>
      </c>
      <c r="L44" s="214">
        <f t="shared" si="6"/>
        <v>806.47478468899556</v>
      </c>
      <c r="M44" s="186" t="s">
        <v>704</v>
      </c>
      <c r="N44" s="215">
        <f t="shared" si="7"/>
        <v>38</v>
      </c>
      <c r="P44" s="191">
        <f>+SUMIF('VAC+13th (2)'!$D:$D,'JV VAC+13th'!$G44,'VAC+13th (2)'!$BZ:$BZ)</f>
        <v>806.47478468899556</v>
      </c>
      <c r="Q44" s="192"/>
    </row>
    <row r="45" spans="1:18">
      <c r="A45" s="193">
        <f t="shared" si="0"/>
        <v>45746</v>
      </c>
      <c r="B45" s="194" t="str">
        <f t="shared" si="11"/>
        <v>SAL00715</v>
      </c>
      <c r="C45" s="186" t="s">
        <v>704</v>
      </c>
      <c r="D45" s="186">
        <v>517110</v>
      </c>
      <c r="E45" s="186"/>
      <c r="F45" s="186" t="str">
        <f t="shared" si="12"/>
        <v>13th Month 2025 YTD Provision AVRIL 25</v>
      </c>
      <c r="G45" s="186">
        <f t="shared" si="8"/>
        <v>282</v>
      </c>
      <c r="H45" s="188">
        <f t="shared" si="9"/>
        <v>218.4364912280702</v>
      </c>
      <c r="I45" s="188" t="str">
        <f t="shared" si="10"/>
        <v/>
      </c>
      <c r="J45" s="188">
        <f t="shared" si="3"/>
        <v>218.4364912280702</v>
      </c>
      <c r="K45" s="213" t="s">
        <v>705</v>
      </c>
      <c r="L45" s="214">
        <f t="shared" si="6"/>
        <v>218.4364912280702</v>
      </c>
      <c r="M45" s="186" t="s">
        <v>704</v>
      </c>
      <c r="N45" s="215">
        <f t="shared" si="7"/>
        <v>38</v>
      </c>
      <c r="P45" s="191">
        <f>+SUMIF('VAC+13th (2)'!$D:$D,'JV VAC+13th'!$G45,'VAC+13th (2)'!$BZ:$BZ)</f>
        <v>218.4364912280702</v>
      </c>
      <c r="Q45" s="192"/>
    </row>
    <row r="46" spans="1:18">
      <c r="A46" s="193">
        <f t="shared" si="0"/>
        <v>45746</v>
      </c>
      <c r="B46" s="194" t="str">
        <f t="shared" si="11"/>
        <v>SAL00715</v>
      </c>
      <c r="C46" s="186" t="s">
        <v>704</v>
      </c>
      <c r="D46" s="186">
        <v>517110</v>
      </c>
      <c r="E46" s="186"/>
      <c r="F46" s="186" t="str">
        <f t="shared" si="12"/>
        <v>13th Month 2025 YTD Provision AVRIL 25</v>
      </c>
      <c r="G46" s="186">
        <f t="shared" si="8"/>
        <v>290</v>
      </c>
      <c r="H46" s="188">
        <f t="shared" si="9"/>
        <v>30.907499999999999</v>
      </c>
      <c r="I46" s="188" t="str">
        <f t="shared" si="10"/>
        <v/>
      </c>
      <c r="J46" s="188">
        <f t="shared" si="3"/>
        <v>30.907499999999999</v>
      </c>
      <c r="K46" s="213" t="s">
        <v>705</v>
      </c>
      <c r="L46" s="214">
        <f t="shared" si="6"/>
        <v>30.907499999999999</v>
      </c>
      <c r="M46" s="186" t="s">
        <v>704</v>
      </c>
      <c r="N46" s="215">
        <f t="shared" si="7"/>
        <v>38</v>
      </c>
      <c r="P46" s="191">
        <f>+SUMIF('VAC+13th (2)'!$D:$D,'JV VAC+13th'!$G46,'VAC+13th (2)'!$BZ:$BZ)</f>
        <v>30.907499999999999</v>
      </c>
      <c r="Q46" s="192"/>
    </row>
    <row r="47" spans="1:18">
      <c r="A47" s="193">
        <f t="shared" si="0"/>
        <v>45746</v>
      </c>
      <c r="B47" s="194" t="str">
        <f t="shared" si="11"/>
        <v>SAL00715</v>
      </c>
      <c r="C47" s="186" t="s">
        <v>704</v>
      </c>
      <c r="D47" s="186">
        <v>517110</v>
      </c>
      <c r="E47" s="186"/>
      <c r="F47" s="186" t="str">
        <f t="shared" si="12"/>
        <v>13th Month 2025 YTD Provision AVRIL 25</v>
      </c>
      <c r="G47" s="186">
        <f t="shared" si="8"/>
        <v>420</v>
      </c>
      <c r="H47" s="188">
        <f t="shared" si="9"/>
        <v>43.993596491228068</v>
      </c>
      <c r="I47" s="188" t="str">
        <f t="shared" si="10"/>
        <v/>
      </c>
      <c r="J47" s="188">
        <f t="shared" si="3"/>
        <v>43.993596491228068</v>
      </c>
      <c r="K47" s="213" t="s">
        <v>705</v>
      </c>
      <c r="L47" s="214">
        <f t="shared" si="6"/>
        <v>43.993596491228068</v>
      </c>
      <c r="M47" s="186" t="s">
        <v>704</v>
      </c>
      <c r="N47" s="215">
        <f t="shared" si="7"/>
        <v>38</v>
      </c>
      <c r="P47" s="191">
        <f>+SUMIF('VAC+13th (2)'!$D:$D,'JV VAC+13th'!$G47,'VAC+13th (2)'!$BZ:$BZ)</f>
        <v>43.993596491228068</v>
      </c>
      <c r="Q47" s="192"/>
    </row>
    <row r="48" spans="1:18">
      <c r="A48" s="193">
        <f t="shared" si="0"/>
        <v>45746</v>
      </c>
      <c r="B48" s="194" t="str">
        <f t="shared" si="11"/>
        <v>SAL00715</v>
      </c>
      <c r="C48" s="186" t="s">
        <v>704</v>
      </c>
      <c r="D48" s="186">
        <v>517110</v>
      </c>
      <c r="E48" s="186"/>
      <c r="F48" s="186" t="str">
        <f t="shared" si="12"/>
        <v>13th Month 2025 YTD Provision AVRIL 25</v>
      </c>
      <c r="G48" s="186">
        <f t="shared" si="8"/>
        <v>443</v>
      </c>
      <c r="H48" s="188">
        <f t="shared" si="9"/>
        <v>74.88</v>
      </c>
      <c r="I48" s="188" t="str">
        <f t="shared" si="10"/>
        <v/>
      </c>
      <c r="J48" s="188">
        <f t="shared" si="3"/>
        <v>74.88</v>
      </c>
      <c r="K48" s="213" t="s">
        <v>705</v>
      </c>
      <c r="L48" s="214">
        <f t="shared" si="6"/>
        <v>74.88</v>
      </c>
      <c r="M48" s="186" t="s">
        <v>704</v>
      </c>
      <c r="N48" s="215">
        <f t="shared" si="7"/>
        <v>38</v>
      </c>
      <c r="P48" s="191">
        <f>+SUMIF('VAC+13th (2)'!$D:$D,'JV VAC+13th'!$G48,'VAC+13th (2)'!$BZ:$BZ)</f>
        <v>74.88</v>
      </c>
      <c r="Q48" s="192"/>
    </row>
    <row r="49" spans="1:17">
      <c r="A49" s="193">
        <f t="shared" si="0"/>
        <v>45746</v>
      </c>
      <c r="B49" s="194" t="str">
        <f t="shared" si="11"/>
        <v>SAL00715</v>
      </c>
      <c r="C49" s="186" t="s">
        <v>704</v>
      </c>
      <c r="D49" s="186">
        <v>517110</v>
      </c>
      <c r="E49" s="186"/>
      <c r="F49" s="186" t="str">
        <f t="shared" si="12"/>
        <v>13th Month 2025 YTD Provision AVRIL 25</v>
      </c>
      <c r="G49" s="186">
        <f t="shared" si="8"/>
        <v>460</v>
      </c>
      <c r="H49" s="188">
        <f t="shared" si="9"/>
        <v>122.7525</v>
      </c>
      <c r="I49" s="188" t="str">
        <f t="shared" si="10"/>
        <v/>
      </c>
      <c r="J49" s="188">
        <f t="shared" si="3"/>
        <v>122.7525</v>
      </c>
      <c r="K49" s="213" t="s">
        <v>705</v>
      </c>
      <c r="L49" s="214">
        <f t="shared" si="6"/>
        <v>122.7525</v>
      </c>
      <c r="M49" s="186" t="s">
        <v>704</v>
      </c>
      <c r="N49" s="215">
        <f t="shared" si="7"/>
        <v>38</v>
      </c>
      <c r="P49" s="191">
        <f>+SUMIF('VAC+13th (2)'!$D:$D,'JV VAC+13th'!$G49,'VAC+13th (2)'!$BZ:$BZ)</f>
        <v>122.7525</v>
      </c>
      <c r="Q49" s="192"/>
    </row>
    <row r="50" spans="1:17">
      <c r="A50" s="193">
        <f t="shared" si="0"/>
        <v>45746</v>
      </c>
      <c r="B50" s="194" t="str">
        <f t="shared" si="11"/>
        <v>SAL00715</v>
      </c>
      <c r="C50" s="186" t="s">
        <v>704</v>
      </c>
      <c r="D50" s="186">
        <v>517110</v>
      </c>
      <c r="E50" s="186"/>
      <c r="F50" s="186" t="str">
        <f t="shared" si="12"/>
        <v>13th Month 2025 YTD Provision AVRIL 25</v>
      </c>
      <c r="G50" s="186">
        <f t="shared" si="8"/>
        <v>481</v>
      </c>
      <c r="H50" s="188">
        <f t="shared" si="9"/>
        <v>104.48749999999998</v>
      </c>
      <c r="I50" s="188" t="str">
        <f t="shared" si="10"/>
        <v/>
      </c>
      <c r="J50" s="188">
        <f t="shared" si="3"/>
        <v>104.48749999999998</v>
      </c>
      <c r="K50" s="213" t="s">
        <v>705</v>
      </c>
      <c r="L50" s="214">
        <f t="shared" si="6"/>
        <v>104.48749999999998</v>
      </c>
      <c r="M50" s="186" t="s">
        <v>704</v>
      </c>
      <c r="N50" s="215">
        <f t="shared" si="7"/>
        <v>38</v>
      </c>
      <c r="P50" s="191">
        <f>+SUMIF('VAC+13th (2)'!$D:$D,'JV VAC+13th'!$G50,'VAC+13th (2)'!$BZ:$BZ)</f>
        <v>104.48749999999998</v>
      </c>
      <c r="Q50" s="192"/>
    </row>
    <row r="51" spans="1:17">
      <c r="A51" s="193">
        <f t="shared" si="0"/>
        <v>45746</v>
      </c>
      <c r="B51" s="194" t="str">
        <f>+B49</f>
        <v>SAL00715</v>
      </c>
      <c r="C51" s="186" t="s">
        <v>704</v>
      </c>
      <c r="D51" s="186">
        <v>517110</v>
      </c>
      <c r="E51" s="186"/>
      <c r="F51" s="186" t="str">
        <f>+F49</f>
        <v>13th Month 2025 YTD Provision AVRIL 25</v>
      </c>
      <c r="G51" s="186">
        <f t="shared" si="8"/>
        <v>610</v>
      </c>
      <c r="H51" s="188" t="str">
        <f t="shared" si="9"/>
        <v/>
      </c>
      <c r="I51" s="188">
        <f t="shared" si="10"/>
        <v>14.246315789473684</v>
      </c>
      <c r="J51" s="188">
        <f t="shared" si="3"/>
        <v>-14.246315789473684</v>
      </c>
      <c r="K51" s="213" t="s">
        <v>705</v>
      </c>
      <c r="L51" s="214">
        <f t="shared" si="6"/>
        <v>-14.246315789473684</v>
      </c>
      <c r="M51" s="186" t="s">
        <v>704</v>
      </c>
      <c r="N51" s="215">
        <f t="shared" si="7"/>
        <v>38</v>
      </c>
      <c r="P51" s="191">
        <f>+SUMIF('VAC+13th (2)'!$D:$D,'JV VAC+13th'!$G51,'VAC+13th (2)'!$BZ:$BZ)</f>
        <v>-14.246315789473684</v>
      </c>
      <c r="Q51" s="192"/>
    </row>
    <row r="52" spans="1:17">
      <c r="A52" s="193">
        <f t="shared" si="0"/>
        <v>45746</v>
      </c>
      <c r="B52" s="194" t="str">
        <f t="shared" si="11"/>
        <v>SAL00715</v>
      </c>
      <c r="C52" s="186" t="s">
        <v>704</v>
      </c>
      <c r="D52" s="186">
        <v>517110</v>
      </c>
      <c r="E52" s="186"/>
      <c r="F52" s="186" t="str">
        <f t="shared" si="12"/>
        <v>13th Month 2025 YTD Provision AVRIL 25</v>
      </c>
      <c r="G52" s="186">
        <f t="shared" si="8"/>
        <v>620</v>
      </c>
      <c r="H52" s="188">
        <f t="shared" si="9"/>
        <v>441.44333333333333</v>
      </c>
      <c r="I52" s="188" t="str">
        <f t="shared" si="10"/>
        <v/>
      </c>
      <c r="J52" s="188">
        <f t="shared" si="3"/>
        <v>441.44333333333333</v>
      </c>
      <c r="K52" s="213" t="s">
        <v>705</v>
      </c>
      <c r="L52" s="214">
        <f t="shared" si="6"/>
        <v>441.44333333333333</v>
      </c>
      <c r="M52" s="186" t="s">
        <v>704</v>
      </c>
      <c r="N52" s="215">
        <f t="shared" si="7"/>
        <v>38</v>
      </c>
      <c r="P52" s="191">
        <f>+SUMIF('VAC+13th (2)'!$D:$D,'JV VAC+13th'!$G52,'VAC+13th (2)'!$BZ:$BZ)</f>
        <v>441.44333333333333</v>
      </c>
      <c r="Q52" s="192"/>
    </row>
    <row r="53" spans="1:17">
      <c r="A53" s="193">
        <f t="shared" si="0"/>
        <v>45746</v>
      </c>
      <c r="B53" s="194" t="str">
        <f t="shared" si="11"/>
        <v>SAL00715</v>
      </c>
      <c r="C53" s="186" t="s">
        <v>704</v>
      </c>
      <c r="D53" s="186">
        <v>517110</v>
      </c>
      <c r="E53" s="186"/>
      <c r="F53" s="186" t="str">
        <f t="shared" si="12"/>
        <v>13th Month 2025 YTD Provision AVRIL 25</v>
      </c>
      <c r="G53" s="186">
        <f t="shared" si="8"/>
        <v>630</v>
      </c>
      <c r="H53" s="188">
        <f t="shared" si="9"/>
        <v>83.73333333333332</v>
      </c>
      <c r="I53" s="188" t="str">
        <f t="shared" si="10"/>
        <v/>
      </c>
      <c r="J53" s="188">
        <f t="shared" si="3"/>
        <v>83.73333333333332</v>
      </c>
      <c r="K53" s="213" t="s">
        <v>705</v>
      </c>
      <c r="L53" s="214">
        <f t="shared" si="6"/>
        <v>83.73333333333332</v>
      </c>
      <c r="M53" s="186" t="s">
        <v>704</v>
      </c>
      <c r="N53" s="215">
        <f t="shared" si="7"/>
        <v>38</v>
      </c>
      <c r="P53" s="191">
        <f>+SUMIF('VAC+13th (2)'!$D:$D,'JV VAC+13th'!$G53,'VAC+13th (2)'!$BZ:$BZ)</f>
        <v>83.73333333333332</v>
      </c>
      <c r="Q53" s="192"/>
    </row>
    <row r="54" spans="1:17">
      <c r="A54" s="193">
        <f t="shared" si="0"/>
        <v>45746</v>
      </c>
      <c r="B54" s="194" t="str">
        <f t="shared" si="11"/>
        <v>SAL00715</v>
      </c>
      <c r="C54" s="186" t="s">
        <v>704</v>
      </c>
      <c r="D54" s="186">
        <v>517110</v>
      </c>
      <c r="E54" s="186"/>
      <c r="F54" s="186" t="str">
        <f t="shared" si="12"/>
        <v>13th Month 2025 YTD Provision AVRIL 25</v>
      </c>
      <c r="G54" s="186">
        <f t="shared" si="8"/>
        <v>640</v>
      </c>
      <c r="H54" s="188">
        <f t="shared" si="9"/>
        <v>244.12833333333333</v>
      </c>
      <c r="I54" s="188" t="str">
        <f t="shared" si="10"/>
        <v/>
      </c>
      <c r="J54" s="188">
        <f t="shared" si="3"/>
        <v>244.12833333333333</v>
      </c>
      <c r="K54" s="213" t="s">
        <v>705</v>
      </c>
      <c r="L54" s="214">
        <f t="shared" si="6"/>
        <v>244.12833333333333</v>
      </c>
      <c r="M54" s="186" t="s">
        <v>704</v>
      </c>
      <c r="N54" s="215">
        <f t="shared" si="7"/>
        <v>38</v>
      </c>
      <c r="P54" s="191">
        <f>+SUMIF('VAC+13th (2)'!$D:$D,'JV VAC+13th'!$G54,'VAC+13th (2)'!$BZ:$BZ)</f>
        <v>244.12833333333333</v>
      </c>
      <c r="Q54" s="192"/>
    </row>
    <row r="55" spans="1:17">
      <c r="A55" s="193">
        <f t="shared" si="0"/>
        <v>45746</v>
      </c>
      <c r="B55" s="194" t="str">
        <f t="shared" si="11"/>
        <v>SAL00715</v>
      </c>
      <c r="C55" s="186" t="s">
        <v>704</v>
      </c>
      <c r="D55" s="186">
        <v>517110</v>
      </c>
      <c r="E55" s="186"/>
      <c r="F55" s="186" t="str">
        <f t="shared" si="12"/>
        <v>13th Month 2025 YTD Provision AVRIL 25</v>
      </c>
      <c r="G55" s="186">
        <f t="shared" si="8"/>
        <v>650</v>
      </c>
      <c r="H55" s="188">
        <f t="shared" si="9"/>
        <v>330.43890350877189</v>
      </c>
      <c r="I55" s="188" t="str">
        <f t="shared" si="10"/>
        <v/>
      </c>
      <c r="J55" s="188">
        <f t="shared" si="3"/>
        <v>330.43890350877189</v>
      </c>
      <c r="K55" s="213" t="s">
        <v>705</v>
      </c>
      <c r="L55" s="214">
        <f t="shared" si="6"/>
        <v>330.43890350877189</v>
      </c>
      <c r="M55" s="186" t="s">
        <v>704</v>
      </c>
      <c r="N55" s="215">
        <f t="shared" si="7"/>
        <v>38</v>
      </c>
      <c r="P55" s="191">
        <f>+SUMIF('VAC+13th (2)'!$D:$D,'JV VAC+13th'!$G55,'VAC+13th (2)'!$BZ:$BZ)</f>
        <v>330.43890350877189</v>
      </c>
      <c r="Q55" s="192"/>
    </row>
    <row r="56" spans="1:17">
      <c r="A56" s="193">
        <f t="shared" si="0"/>
        <v>45746</v>
      </c>
      <c r="B56" s="194" t="str">
        <f t="shared" si="11"/>
        <v>SAL00715</v>
      </c>
      <c r="C56" s="186" t="s">
        <v>704</v>
      </c>
      <c r="D56" s="186">
        <v>517110</v>
      </c>
      <c r="E56" s="186"/>
      <c r="F56" s="186" t="str">
        <f t="shared" si="12"/>
        <v>13th Month 2025 YTD Provision AVRIL 25</v>
      </c>
      <c r="G56" s="186">
        <f t="shared" si="8"/>
        <v>660</v>
      </c>
      <c r="H56" s="188">
        <f t="shared" si="9"/>
        <v>88.867543859649132</v>
      </c>
      <c r="I56" s="188" t="str">
        <f t="shared" si="10"/>
        <v/>
      </c>
      <c r="J56" s="188">
        <f t="shared" si="3"/>
        <v>88.867543859649132</v>
      </c>
      <c r="K56" s="213" t="s">
        <v>705</v>
      </c>
      <c r="L56" s="214">
        <f t="shared" si="6"/>
        <v>88.867543859649132</v>
      </c>
      <c r="M56" s="186" t="s">
        <v>704</v>
      </c>
      <c r="N56" s="215">
        <f t="shared" si="7"/>
        <v>38</v>
      </c>
      <c r="P56" s="191">
        <f>+SUMIF('VAC+13th (2)'!$D:$D,'JV VAC+13th'!$G56,'VAC+13th (2)'!$BZ:$BZ)</f>
        <v>88.867543859649132</v>
      </c>
      <c r="Q56" s="192"/>
    </row>
    <row r="57" spans="1:17">
      <c r="A57" s="193">
        <f t="shared" si="0"/>
        <v>45746</v>
      </c>
      <c r="B57" s="194" t="str">
        <f t="shared" si="11"/>
        <v>SAL00715</v>
      </c>
      <c r="C57" s="186" t="s">
        <v>704</v>
      </c>
      <c r="D57" s="186">
        <v>517110</v>
      </c>
      <c r="E57" s="186"/>
      <c r="F57" s="186" t="str">
        <f t="shared" si="12"/>
        <v>13th Month 2025 YTD Provision AVRIL 25</v>
      </c>
      <c r="G57" s="186">
        <f t="shared" si="8"/>
        <v>710</v>
      </c>
      <c r="H57" s="188">
        <f t="shared" si="9"/>
        <v>191.47916666666666</v>
      </c>
      <c r="I57" s="188" t="str">
        <f t="shared" si="10"/>
        <v/>
      </c>
      <c r="J57" s="188">
        <f t="shared" si="3"/>
        <v>191.47916666666666</v>
      </c>
      <c r="K57" s="213" t="s">
        <v>705</v>
      </c>
      <c r="L57" s="214">
        <f t="shared" si="6"/>
        <v>191.47916666666666</v>
      </c>
      <c r="M57" s="186" t="s">
        <v>704</v>
      </c>
      <c r="N57" s="215">
        <f t="shared" si="7"/>
        <v>38</v>
      </c>
      <c r="P57" s="191">
        <f>+SUMIF('VAC+13th (2)'!$D:$D,'JV VAC+13th'!$G57,'VAC+13th (2)'!$BZ:$BZ)</f>
        <v>191.47916666666666</v>
      </c>
      <c r="Q57" s="192"/>
    </row>
    <row r="58" spans="1:17">
      <c r="A58" s="193">
        <f t="shared" si="0"/>
        <v>45746</v>
      </c>
      <c r="B58" s="194" t="str">
        <f t="shared" si="11"/>
        <v>SAL00715</v>
      </c>
      <c r="C58" s="186" t="s">
        <v>704</v>
      </c>
      <c r="D58" s="186">
        <v>517110</v>
      </c>
      <c r="E58" s="186"/>
      <c r="F58" s="186" t="str">
        <f t="shared" si="12"/>
        <v>13th Month 2025 YTD Provision AVRIL 25</v>
      </c>
      <c r="G58" s="186">
        <f t="shared" si="8"/>
        <v>720</v>
      </c>
      <c r="H58" s="188">
        <f t="shared" si="9"/>
        <v>61.1</v>
      </c>
      <c r="I58" s="188" t="str">
        <f t="shared" si="10"/>
        <v/>
      </c>
      <c r="J58" s="188">
        <f t="shared" si="3"/>
        <v>61.1</v>
      </c>
      <c r="K58" s="213" t="s">
        <v>705</v>
      </c>
      <c r="L58" s="214">
        <f t="shared" si="6"/>
        <v>61.1</v>
      </c>
      <c r="M58" s="186" t="s">
        <v>704</v>
      </c>
      <c r="N58" s="215">
        <f t="shared" si="7"/>
        <v>38</v>
      </c>
      <c r="P58" s="191">
        <f>+SUMIF('VAC+13th (2)'!$D:$D,'JV VAC+13th'!$G58,'VAC+13th (2)'!$BZ:$BZ)</f>
        <v>61.1</v>
      </c>
      <c r="Q58" s="192"/>
    </row>
    <row r="59" spans="1:17">
      <c r="A59" s="193">
        <f t="shared" si="0"/>
        <v>45746</v>
      </c>
      <c r="B59" s="194" t="str">
        <f t="shared" si="11"/>
        <v>SAL00715</v>
      </c>
      <c r="C59" s="186" t="s">
        <v>704</v>
      </c>
      <c r="D59" s="186">
        <v>517110</v>
      </c>
      <c r="E59" s="186"/>
      <c r="F59" s="186" t="str">
        <f t="shared" si="12"/>
        <v>13th Month 2025 YTD Provision AVRIL 25</v>
      </c>
      <c r="G59" s="186">
        <f t="shared" si="8"/>
        <v>730</v>
      </c>
      <c r="H59" s="188" t="str">
        <f t="shared" si="9"/>
        <v/>
      </c>
      <c r="I59" s="188">
        <f t="shared" si="10"/>
        <v>0</v>
      </c>
      <c r="J59" s="188">
        <f t="shared" si="3"/>
        <v>0</v>
      </c>
      <c r="K59" s="213" t="s">
        <v>705</v>
      </c>
      <c r="L59" s="214">
        <f t="shared" si="6"/>
        <v>0</v>
      </c>
      <c r="M59" s="186" t="s">
        <v>704</v>
      </c>
      <c r="N59" s="215">
        <f t="shared" si="7"/>
        <v>38</v>
      </c>
      <c r="P59" s="191">
        <f>+SUMIF('VAC+13th (2)'!$D:$D,'JV VAC+13th'!$G59,'VAC+13th (2)'!$BZ:$BZ)</f>
        <v>0</v>
      </c>
      <c r="Q59" s="192"/>
    </row>
    <row r="60" spans="1:17">
      <c r="A60" s="193">
        <f t="shared" si="0"/>
        <v>45746</v>
      </c>
      <c r="B60" s="194" t="str">
        <f t="shared" si="11"/>
        <v>SAL00715</v>
      </c>
      <c r="C60" s="186" t="s">
        <v>704</v>
      </c>
      <c r="D60" s="186">
        <v>517110</v>
      </c>
      <c r="E60" s="186"/>
      <c r="F60" s="186" t="str">
        <f t="shared" si="12"/>
        <v>13th Month 2025 YTD Provision AVRIL 25</v>
      </c>
      <c r="G60" s="186">
        <f t="shared" si="8"/>
        <v>810</v>
      </c>
      <c r="H60" s="188">
        <f t="shared" si="9"/>
        <v>247.64942982456139</v>
      </c>
      <c r="I60" s="188" t="str">
        <f t="shared" si="10"/>
        <v/>
      </c>
      <c r="J60" s="188">
        <f t="shared" si="3"/>
        <v>247.64942982456139</v>
      </c>
      <c r="K60" s="213" t="s">
        <v>705</v>
      </c>
      <c r="L60" s="214">
        <f t="shared" si="6"/>
        <v>247.64942982456139</v>
      </c>
      <c r="M60" s="186" t="s">
        <v>704</v>
      </c>
      <c r="N60" s="215">
        <f t="shared" si="7"/>
        <v>38</v>
      </c>
      <c r="P60" s="191">
        <f>+SUMIF('VAC+13th (2)'!$D:$D,'JV VAC+13th'!$G60,'VAC+13th (2)'!$BZ:$BZ)</f>
        <v>247.64942982456139</v>
      </c>
      <c r="Q60" s="192"/>
    </row>
    <row r="61" spans="1:17">
      <c r="A61" s="193">
        <f t="shared" si="0"/>
        <v>45746</v>
      </c>
      <c r="B61" s="194" t="str">
        <f t="shared" si="11"/>
        <v>SAL00715</v>
      </c>
      <c r="C61" s="186" t="s">
        <v>704</v>
      </c>
      <c r="D61" s="186">
        <v>517110</v>
      </c>
      <c r="E61" s="186"/>
      <c r="F61" s="186" t="str">
        <f t="shared" si="12"/>
        <v>13th Month 2025 YTD Provision AVRIL 25</v>
      </c>
      <c r="G61" s="186">
        <f t="shared" si="8"/>
        <v>971</v>
      </c>
      <c r="H61" s="188">
        <f t="shared" si="9"/>
        <v>80.14500000000001</v>
      </c>
      <c r="I61" s="188" t="str">
        <f t="shared" si="10"/>
        <v/>
      </c>
      <c r="J61" s="188">
        <f t="shared" si="3"/>
        <v>80.14500000000001</v>
      </c>
      <c r="K61" s="213" t="s">
        <v>705</v>
      </c>
      <c r="L61" s="214">
        <f t="shared" si="6"/>
        <v>80.14500000000001</v>
      </c>
      <c r="M61" s="186" t="s">
        <v>704</v>
      </c>
      <c r="N61" s="215">
        <f t="shared" si="7"/>
        <v>38</v>
      </c>
      <c r="P61" s="191">
        <f>+SUMIF('VAC+13th (2)'!$D:$D,'JV VAC+13th'!$G61,'VAC+13th (2)'!$BZ:$BZ)</f>
        <v>80.14500000000001</v>
      </c>
      <c r="Q61" s="192"/>
    </row>
    <row r="62" spans="1:17">
      <c r="A62" s="193">
        <f t="shared" si="0"/>
        <v>45746</v>
      </c>
      <c r="B62" s="194" t="str">
        <f t="shared" si="11"/>
        <v>SAL00715</v>
      </c>
      <c r="C62" s="186" t="s">
        <v>704</v>
      </c>
      <c r="D62" s="186">
        <v>517110</v>
      </c>
      <c r="E62" s="186"/>
      <c r="F62" s="186" t="str">
        <f t="shared" si="12"/>
        <v>13th Month 2025 YTD Provision AVRIL 25</v>
      </c>
      <c r="G62" s="186">
        <f t="shared" si="8"/>
        <v>972</v>
      </c>
      <c r="H62" s="188">
        <f t="shared" si="9"/>
        <v>152.89065789473685</v>
      </c>
      <c r="I62" s="188" t="str">
        <f t="shared" si="10"/>
        <v/>
      </c>
      <c r="J62" s="188">
        <f t="shared" si="3"/>
        <v>152.89065789473685</v>
      </c>
      <c r="K62" s="213" t="s">
        <v>705</v>
      </c>
      <c r="L62" s="214">
        <f t="shared" si="6"/>
        <v>152.89065789473685</v>
      </c>
      <c r="M62" s="186" t="s">
        <v>704</v>
      </c>
      <c r="N62" s="215">
        <f t="shared" si="7"/>
        <v>38</v>
      </c>
      <c r="P62" s="191">
        <f>+SUMIF('VAC+13th (2)'!$D:$D,'JV VAC+13th'!$G62,'VAC+13th (2)'!$BZ:$BZ)</f>
        <v>152.89065789473685</v>
      </c>
      <c r="Q62" s="192"/>
    </row>
    <row r="63" spans="1:17">
      <c r="A63" s="193">
        <f t="shared" si="0"/>
        <v>45746</v>
      </c>
      <c r="B63" s="194" t="str">
        <f t="shared" si="11"/>
        <v>SAL00715</v>
      </c>
      <c r="C63" s="186" t="s">
        <v>704</v>
      </c>
      <c r="D63" s="186">
        <v>517110</v>
      </c>
      <c r="E63" s="186"/>
      <c r="F63" s="186" t="str">
        <f t="shared" si="12"/>
        <v>13th Month 2025 YTD Provision AVRIL 25</v>
      </c>
      <c r="G63" s="186"/>
      <c r="H63" s="188" t="str">
        <f t="shared" si="9"/>
        <v/>
      </c>
      <c r="I63" s="188">
        <f t="shared" si="10"/>
        <v>0</v>
      </c>
      <c r="J63" s="188">
        <f t="shared" si="3"/>
        <v>0</v>
      </c>
      <c r="K63" s="213" t="s">
        <v>705</v>
      </c>
      <c r="L63" s="214">
        <f t="shared" si="6"/>
        <v>0</v>
      </c>
      <c r="M63" s="186" t="s">
        <v>704</v>
      </c>
      <c r="N63" s="215">
        <f t="shared" si="7"/>
        <v>38</v>
      </c>
      <c r="P63" s="191">
        <f>+SUMIF('VAC+13th (2)'!$D:$D,'JV VAC+13th'!$G63,'VAC+13th (2)'!$BZ:$BZ)</f>
        <v>0</v>
      </c>
      <c r="Q63" s="192"/>
    </row>
    <row r="64" spans="1:17">
      <c r="A64" s="193">
        <f t="shared" si="0"/>
        <v>45746</v>
      </c>
      <c r="B64" s="194" t="str">
        <f t="shared" si="11"/>
        <v>SAL00715</v>
      </c>
      <c r="C64" s="186" t="s">
        <v>704</v>
      </c>
      <c r="D64" s="186">
        <v>517110</v>
      </c>
      <c r="E64" s="186"/>
      <c r="F64" s="186" t="str">
        <f t="shared" si="12"/>
        <v>13th Month 2025 YTD Provision AVRIL 25</v>
      </c>
      <c r="G64" s="186"/>
      <c r="H64" s="188" t="str">
        <f t="shared" si="9"/>
        <v/>
      </c>
      <c r="I64" s="188">
        <f t="shared" si="10"/>
        <v>0</v>
      </c>
      <c r="J64" s="188">
        <f t="shared" si="3"/>
        <v>0</v>
      </c>
      <c r="K64" s="213" t="s">
        <v>705</v>
      </c>
      <c r="L64" s="214">
        <f t="shared" si="6"/>
        <v>0</v>
      </c>
      <c r="M64" s="186" t="s">
        <v>704</v>
      </c>
      <c r="N64" s="215">
        <f t="shared" si="7"/>
        <v>38</v>
      </c>
      <c r="P64" s="191">
        <f>+SUMIF('VAC+13th (2)'!$D:$D,'JV VAC+13th'!$G64,'VAC+13th (2)'!$BZ:$BZ)</f>
        <v>0</v>
      </c>
      <c r="Q64" s="192"/>
    </row>
    <row r="65" spans="1:17">
      <c r="A65" s="193">
        <f t="shared" si="0"/>
        <v>45746</v>
      </c>
      <c r="B65" s="194" t="str">
        <f t="shared" si="11"/>
        <v>SAL00715</v>
      </c>
      <c r="C65" s="186" t="s">
        <v>704</v>
      </c>
      <c r="D65" s="186">
        <v>517110</v>
      </c>
      <c r="E65" s="186"/>
      <c r="F65" s="186" t="str">
        <f>+F63</f>
        <v>13th Month 2025 YTD Provision AVRIL 25</v>
      </c>
      <c r="G65" s="186"/>
      <c r="H65" s="188" t="str">
        <f t="shared" si="9"/>
        <v/>
      </c>
      <c r="I65" s="188">
        <f t="shared" si="10"/>
        <v>0</v>
      </c>
      <c r="J65" s="188">
        <f t="shared" si="3"/>
        <v>0</v>
      </c>
      <c r="K65" s="213" t="s">
        <v>705</v>
      </c>
      <c r="L65" s="214">
        <f t="shared" si="6"/>
        <v>0</v>
      </c>
      <c r="M65" s="186" t="s">
        <v>704</v>
      </c>
      <c r="N65" s="215">
        <f t="shared" si="7"/>
        <v>38</v>
      </c>
      <c r="P65" s="191">
        <f>+SUMIF('VAC+13th (2)'!$D:$D,'JV VAC+13th'!$G65,'VAC+13th (2)'!$BZ:$BZ)</f>
        <v>0</v>
      </c>
      <c r="Q65" s="192"/>
    </row>
    <row r="66" spans="1:17">
      <c r="A66" s="193">
        <f t="shared" si="0"/>
        <v>45746</v>
      </c>
      <c r="B66" s="194" t="str">
        <f t="shared" si="11"/>
        <v>SAL00715</v>
      </c>
      <c r="C66" s="186" t="s">
        <v>704</v>
      </c>
      <c r="D66" s="186">
        <v>517110</v>
      </c>
      <c r="E66" s="186"/>
      <c r="F66" s="186" t="str">
        <f t="shared" si="12"/>
        <v>13th Month 2025 YTD Provision AVRIL 25</v>
      </c>
      <c r="G66" s="186"/>
      <c r="H66" s="188" t="str">
        <f t="shared" si="9"/>
        <v/>
      </c>
      <c r="I66" s="188">
        <f t="shared" si="10"/>
        <v>0</v>
      </c>
      <c r="J66" s="188">
        <f t="shared" si="3"/>
        <v>0</v>
      </c>
      <c r="K66" s="213" t="s">
        <v>705</v>
      </c>
      <c r="L66" s="214">
        <f t="shared" si="6"/>
        <v>0</v>
      </c>
      <c r="M66" s="186" t="s">
        <v>704</v>
      </c>
      <c r="N66" s="215">
        <f t="shared" si="7"/>
        <v>38</v>
      </c>
      <c r="P66" s="191">
        <f>+SUMIF('VAC+13th (2)'!$D:$D,'JV VAC+13th'!$G66,'VAC+13th (2)'!$BZ:$BZ)</f>
        <v>0</v>
      </c>
      <c r="Q66" s="192"/>
    </row>
    <row r="67" spans="1:17" s="202" customFormat="1">
      <c r="A67" s="216">
        <f t="shared" si="0"/>
        <v>45746</v>
      </c>
      <c r="B67" s="217" t="str">
        <f t="shared" si="11"/>
        <v>SAL00715</v>
      </c>
      <c r="C67" s="217" t="s">
        <v>704</v>
      </c>
      <c r="D67" s="217">
        <v>231120</v>
      </c>
      <c r="E67" s="217"/>
      <c r="F67" s="217" t="str">
        <f>+F62</f>
        <v>13th Month 2025 YTD Provision AVRIL 25</v>
      </c>
      <c r="G67" s="217"/>
      <c r="H67" s="218"/>
      <c r="I67" s="218">
        <f>SUM(J36:J66)</f>
        <v>5244.0784250398738</v>
      </c>
      <c r="J67" s="218">
        <f t="shared" si="3"/>
        <v>-5244.0784250398738</v>
      </c>
      <c r="K67" s="219" t="s">
        <v>705</v>
      </c>
      <c r="L67" s="220">
        <f t="shared" si="6"/>
        <v>-5244.0784250398738</v>
      </c>
      <c r="M67" s="217" t="s">
        <v>704</v>
      </c>
      <c r="N67" s="221">
        <f t="shared" si="7"/>
        <v>38</v>
      </c>
      <c r="P67" s="191">
        <f>+SUMIF('VAC+13th (2)'!$D:$D,'JV VAC+13th'!$G67,'VAC+13th (2)'!$BY:$BY)</f>
        <v>0</v>
      </c>
    </row>
    <row r="68" spans="1:17">
      <c r="K68" s="222"/>
      <c r="L68" s="223"/>
    </row>
    <row r="69" spans="1:17">
      <c r="K69" s="222"/>
      <c r="L69" s="224"/>
    </row>
    <row r="70" spans="1:17">
      <c r="K70" s="222"/>
    </row>
    <row r="71" spans="1:17">
      <c r="K71" s="222"/>
      <c r="L71" s="224"/>
    </row>
    <row r="72" spans="1:17">
      <c r="K72" s="222"/>
    </row>
    <row r="73" spans="1:17" ht="17.25" thickBot="1">
      <c r="K73" s="222"/>
    </row>
    <row r="74" spans="1:17">
      <c r="G74" s="208"/>
      <c r="K74" s="222"/>
    </row>
    <row r="75" spans="1:17">
      <c r="G75" s="186"/>
      <c r="K75" s="222"/>
    </row>
    <row r="76" spans="1:17">
      <c r="G76" s="186"/>
      <c r="K76" s="222"/>
    </row>
    <row r="77" spans="1:17">
      <c r="G77" s="186"/>
      <c r="K77" s="222"/>
    </row>
    <row r="78" spans="1:17">
      <c r="G78" s="186"/>
      <c r="K78" s="222"/>
    </row>
    <row r="79" spans="1:17">
      <c r="G79" s="186"/>
      <c r="K79" s="222"/>
    </row>
    <row r="80" spans="1:17">
      <c r="G80" s="186"/>
      <c r="K80" s="222"/>
    </row>
    <row r="81" spans="7:11">
      <c r="G81" s="186"/>
      <c r="K81" s="222"/>
    </row>
    <row r="82" spans="7:11">
      <c r="G82" s="186"/>
      <c r="K82" s="222"/>
    </row>
    <row r="83" spans="7:11">
      <c r="G83" s="186"/>
      <c r="K83" s="222"/>
    </row>
    <row r="84" spans="7:11">
      <c r="G84" s="186"/>
      <c r="K84" s="222"/>
    </row>
    <row r="85" spans="7:11">
      <c r="G85" s="186"/>
      <c r="K85" s="222"/>
    </row>
    <row r="86" spans="7:11">
      <c r="G86" s="186"/>
      <c r="K86" s="222"/>
    </row>
    <row r="87" spans="7:11">
      <c r="G87" s="186"/>
      <c r="K87" s="222"/>
    </row>
    <row r="88" spans="7:11">
      <c r="G88" s="186"/>
      <c r="K88" s="222"/>
    </row>
    <row r="89" spans="7:11">
      <c r="G89" s="186"/>
      <c r="K89" s="222"/>
    </row>
    <row r="90" spans="7:11">
      <c r="G90" s="186"/>
      <c r="K90" s="222"/>
    </row>
    <row r="91" spans="7:11">
      <c r="G91" s="186"/>
      <c r="K91" s="222"/>
    </row>
    <row r="92" spans="7:11">
      <c r="G92" s="186"/>
    </row>
    <row r="93" spans="7:11">
      <c r="G93" s="186"/>
    </row>
    <row r="94" spans="7:11">
      <c r="G94" s="186"/>
    </row>
    <row r="95" spans="7:11">
      <c r="G95" s="186"/>
    </row>
    <row r="96" spans="7:11">
      <c r="G96" s="186"/>
    </row>
    <row r="97" spans="7:7">
      <c r="G97" s="186"/>
    </row>
  </sheetData>
  <autoFilter ref="A3:M67" xr:uid="{00000000-0009-0000-0000-000016000000}"/>
  <pageMargins left="0.25" right="0.25" top="0.75" bottom="0.75" header="0.3" footer="0.3"/>
  <pageSetup paperSize="9" scale="43" orientation="landscape" r:id="rId1"/>
  <rowBreaks count="1" manualBreakCount="1">
    <brk id="68" max="12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VAC+13th (2)</vt:lpstr>
      <vt:lpstr>JV VAC+13th</vt:lpstr>
      <vt:lpstr>'JV VAC+13th'!Print_Area</vt:lpstr>
      <vt:lpstr>'VAC+13th (2)'!Print_Area</vt:lpstr>
      <vt:lpstr>'VAC+13th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Angono</dc:creator>
  <cp:lastModifiedBy>Stephanie Angono</cp:lastModifiedBy>
  <dcterms:created xsi:type="dcterms:W3CDTF">2025-04-23T11:53:00Z</dcterms:created>
  <dcterms:modified xsi:type="dcterms:W3CDTF">2025-04-23T11:53:59Z</dcterms:modified>
</cp:coreProperties>
</file>